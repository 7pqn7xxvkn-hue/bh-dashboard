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aulocarlos/Downloads/"/>
    </mc:Choice>
  </mc:AlternateContent>
  <xr:revisionPtr revIDLastSave="0" documentId="8_{3CDD971C-1EAE-2E4B-8C10-BB4A0DBA6C05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🏆 Dashboard" sheetId="1" r:id="rId1"/>
    <sheet name="⚙️ Configuração" sheetId="2" r:id="rId2"/>
    <sheet name="🔄 Rotação Duplas" sheetId="3" r:id="rId3"/>
    <sheet name="💱 Pontos Transitados" sheetId="4" r:id="rId4"/>
    <sheet name="📋 Registo Diário" sheetId="5" r:id="rId5"/>
    <sheet name="📈 Taxas de Conversão" sheetId="6" r:id="rId6"/>
    <sheet name="📊 Resumo Semanal" sheetId="7" r:id="rId7"/>
    <sheet name="👤 Ranking Individual" sheetId="8" r:id="rId8"/>
    <sheet name="👥 Ranking Duplas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6" i="5" l="1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S646" i="5" a="1"/>
  <c r="S646" i="5" s="1"/>
  <c r="S645" i="5" a="1"/>
  <c r="S645" i="5" s="1"/>
  <c r="S644" i="5" a="1"/>
  <c r="S644" i="5" s="1"/>
  <c r="S643" i="5"/>
  <c r="S643" i="5" a="1"/>
  <c r="S642" i="5" a="1"/>
  <c r="S642" i="5" s="1"/>
  <c r="S641" i="5" a="1"/>
  <c r="S641" i="5" s="1"/>
  <c r="S640" i="5" a="1"/>
  <c r="S640" i="5" s="1"/>
  <c r="S639" i="5" a="1"/>
  <c r="S639" i="5" s="1"/>
  <c r="S638" i="5" a="1"/>
  <c r="S638" i="5" s="1"/>
  <c r="S637" i="5" a="1"/>
  <c r="S637" i="5" s="1"/>
  <c r="S636" i="5"/>
  <c r="S636" i="5" a="1"/>
  <c r="S635" i="5" a="1"/>
  <c r="S635" i="5" s="1"/>
  <c r="S634" i="5" a="1"/>
  <c r="S634" i="5" s="1"/>
  <c r="S633" i="5" a="1"/>
  <c r="S633" i="5" s="1"/>
  <c r="S632" i="5" a="1"/>
  <c r="S632" i="5" s="1"/>
  <c r="S631" i="5"/>
  <c r="S631" i="5" a="1"/>
  <c r="S630" i="5" a="1"/>
  <c r="S630" i="5" s="1"/>
  <c r="S629" i="5" a="1"/>
  <c r="S629" i="5" s="1"/>
  <c r="S628" i="5" a="1"/>
  <c r="S628" i="5" s="1"/>
  <c r="S627" i="5" a="1"/>
  <c r="S627" i="5" s="1"/>
  <c r="S626" i="5" a="1"/>
  <c r="S626" i="5" s="1"/>
  <c r="S625" i="5" a="1"/>
  <c r="S625" i="5" s="1"/>
  <c r="S624" i="5" a="1"/>
  <c r="S624" i="5" s="1"/>
  <c r="S623" i="5" a="1"/>
  <c r="S623" i="5" s="1"/>
  <c r="S622" i="5" a="1"/>
  <c r="S622" i="5" s="1"/>
  <c r="S621" i="5" a="1"/>
  <c r="S621" i="5" s="1"/>
  <c r="S620" i="5"/>
  <c r="S620" i="5" a="1"/>
  <c r="S619" i="5" a="1"/>
  <c r="S619" i="5" s="1"/>
  <c r="S618" i="5" a="1"/>
  <c r="S618" i="5" s="1"/>
  <c r="S617" i="5" a="1"/>
  <c r="S617" i="5" s="1"/>
  <c r="S616" i="5" a="1"/>
  <c r="S616" i="5" s="1"/>
  <c r="S615" i="5"/>
  <c r="S615" i="5" a="1"/>
  <c r="S614" i="5" a="1"/>
  <c r="S614" i="5" s="1"/>
  <c r="S613" i="5" a="1"/>
  <c r="S613" i="5" s="1"/>
  <c r="S612" i="5" a="1"/>
  <c r="S612" i="5" s="1"/>
  <c r="S611" i="5" a="1"/>
  <c r="S611" i="5" s="1"/>
  <c r="S610" i="5" a="1"/>
  <c r="S610" i="5" s="1"/>
  <c r="S609" i="5" a="1"/>
  <c r="S609" i="5" s="1"/>
  <c r="S608" i="5" a="1"/>
  <c r="S608" i="5" s="1"/>
  <c r="S607" i="5" a="1"/>
  <c r="S607" i="5" s="1"/>
  <c r="S606" i="5" a="1"/>
  <c r="S606" i="5" s="1"/>
  <c r="S605" i="5" a="1"/>
  <c r="S605" i="5" s="1"/>
  <c r="S604" i="5"/>
  <c r="S604" i="5" a="1"/>
  <c r="S603" i="5" a="1"/>
  <c r="S603" i="5" s="1"/>
  <c r="S602" i="5" a="1"/>
  <c r="S602" i="5" s="1"/>
  <c r="S601" i="5" a="1"/>
  <c r="S601" i="5" s="1"/>
  <c r="S600" i="5" a="1"/>
  <c r="S600" i="5" s="1"/>
  <c r="S599" i="5"/>
  <c r="S599" i="5" a="1"/>
  <c r="S598" i="5" a="1"/>
  <c r="S598" i="5" s="1"/>
  <c r="S597" i="5" a="1"/>
  <c r="S597" i="5" s="1"/>
  <c r="S596" i="5" a="1"/>
  <c r="S596" i="5" s="1"/>
  <c r="S595" i="5" a="1"/>
  <c r="S595" i="5" s="1"/>
  <c r="S594" i="5" a="1"/>
  <c r="S594" i="5" s="1"/>
  <c r="S593" i="5" a="1"/>
  <c r="S593" i="5" s="1"/>
  <c r="S592" i="5" a="1"/>
  <c r="S592" i="5" s="1"/>
  <c r="S591" i="5" a="1"/>
  <c r="S591" i="5" s="1"/>
  <c r="S590" i="5" a="1"/>
  <c r="S590" i="5" s="1"/>
  <c r="S589" i="5" a="1"/>
  <c r="S589" i="5" s="1"/>
  <c r="S588" i="5"/>
  <c r="S588" i="5" a="1"/>
  <c r="S587" i="5" a="1"/>
  <c r="S587" i="5" s="1"/>
  <c r="S586" i="5" a="1"/>
  <c r="S586" i="5" s="1"/>
  <c r="S585" i="5" a="1"/>
  <c r="S585" i="5" s="1"/>
  <c r="S584" i="5" a="1"/>
  <c r="S584" i="5" s="1"/>
  <c r="S583" i="5"/>
  <c r="S583" i="5" a="1"/>
  <c r="S582" i="5" a="1"/>
  <c r="S582" i="5" s="1"/>
  <c r="S581" i="5" a="1"/>
  <c r="S581" i="5" s="1"/>
  <c r="S580" i="5" a="1"/>
  <c r="S580" i="5" s="1"/>
  <c r="S579" i="5" a="1"/>
  <c r="S579" i="5" s="1"/>
  <c r="S578" i="5" a="1"/>
  <c r="S578" i="5" s="1"/>
  <c r="S577" i="5" a="1"/>
  <c r="S577" i="5" s="1"/>
  <c r="S576" i="5" a="1"/>
  <c r="S576" i="5" s="1"/>
  <c r="S575" i="5" a="1"/>
  <c r="S575" i="5" s="1"/>
  <c r="S574" i="5" a="1"/>
  <c r="S574" i="5" s="1"/>
  <c r="S573" i="5" a="1"/>
  <c r="S573" i="5" s="1"/>
  <c r="S572" i="5"/>
  <c r="S572" i="5" a="1"/>
  <c r="S571" i="5" a="1"/>
  <c r="S571" i="5" s="1"/>
  <c r="S570" i="5" a="1"/>
  <c r="S570" i="5" s="1"/>
  <c r="S569" i="5" a="1"/>
  <c r="S569" i="5" s="1"/>
  <c r="S568" i="5" a="1"/>
  <c r="S568" i="5" s="1"/>
  <c r="S567" i="5"/>
  <c r="S567" i="5" a="1"/>
  <c r="S566" i="5" a="1"/>
  <c r="S566" i="5" s="1"/>
  <c r="S565" i="5" a="1"/>
  <c r="S565" i="5" s="1"/>
  <c r="S564" i="5" a="1"/>
  <c r="S564" i="5" s="1"/>
  <c r="S563" i="5" a="1"/>
  <c r="S563" i="5" s="1"/>
  <c r="S562" i="5" a="1"/>
  <c r="S562" i="5" s="1"/>
  <c r="S561" i="5" a="1"/>
  <c r="S561" i="5" s="1"/>
  <c r="S560" i="5" a="1"/>
  <c r="S560" i="5" s="1"/>
  <c r="S559" i="5" a="1"/>
  <c r="S559" i="5" s="1"/>
  <c r="S558" i="5" a="1"/>
  <c r="S558" i="5" s="1"/>
  <c r="S557" i="5" a="1"/>
  <c r="S557" i="5" s="1"/>
  <c r="S556" i="5"/>
  <c r="S556" i="5" a="1"/>
  <c r="S555" i="5" a="1"/>
  <c r="S555" i="5" s="1"/>
  <c r="S554" i="5" a="1"/>
  <c r="S554" i="5" s="1"/>
  <c r="S553" i="5" a="1"/>
  <c r="S553" i="5" s="1"/>
  <c r="S552" i="5" a="1"/>
  <c r="S552" i="5" s="1"/>
  <c r="S551" i="5"/>
  <c r="S551" i="5" a="1"/>
  <c r="S550" i="5" a="1"/>
  <c r="S550" i="5" s="1"/>
  <c r="S549" i="5" a="1"/>
  <c r="S549" i="5" s="1"/>
  <c r="S548" i="5" a="1"/>
  <c r="S548" i="5" s="1"/>
  <c r="S547" i="5" a="1"/>
  <c r="S547" i="5" s="1"/>
  <c r="S546" i="5" a="1"/>
  <c r="S546" i="5" s="1"/>
  <c r="S545" i="5" a="1"/>
  <c r="S545" i="5" s="1"/>
  <c r="S544" i="5" a="1"/>
  <c r="S544" i="5" s="1"/>
  <c r="S543" i="5" a="1"/>
  <c r="S543" i="5" s="1"/>
  <c r="S542" i="5" a="1"/>
  <c r="S542" i="5" s="1"/>
  <c r="S541" i="5" a="1"/>
  <c r="S541" i="5" s="1"/>
  <c r="S540" i="5"/>
  <c r="S540" i="5" a="1"/>
  <c r="S539" i="5" a="1"/>
  <c r="S539" i="5" s="1"/>
  <c r="S538" i="5" a="1"/>
  <c r="S538" i="5" s="1"/>
  <c r="S537" i="5" a="1"/>
  <c r="S537" i="5" s="1"/>
  <c r="S536" i="5" a="1"/>
  <c r="S536" i="5" s="1"/>
  <c r="S535" i="5"/>
  <c r="S535" i="5" a="1"/>
  <c r="S534" i="5" a="1"/>
  <c r="S534" i="5" s="1"/>
  <c r="S533" i="5" a="1"/>
  <c r="S533" i="5" s="1"/>
  <c r="S532" i="5" a="1"/>
  <c r="S532" i="5" s="1"/>
  <c r="S531" i="5" a="1"/>
  <c r="S531" i="5" s="1"/>
  <c r="S530" i="5" a="1"/>
  <c r="S530" i="5" s="1"/>
  <c r="S529" i="5" a="1"/>
  <c r="S529" i="5" s="1"/>
  <c r="S528" i="5" a="1"/>
  <c r="S528" i="5" s="1"/>
  <c r="S527" i="5" a="1"/>
  <c r="S527" i="5" s="1"/>
  <c r="S526" i="5" a="1"/>
  <c r="S526" i="5" s="1"/>
  <c r="S525" i="5" a="1"/>
  <c r="S525" i="5" s="1"/>
  <c r="S524" i="5"/>
  <c r="S524" i="5" a="1"/>
  <c r="S523" i="5" a="1"/>
  <c r="S523" i="5" s="1"/>
  <c r="S522" i="5" a="1"/>
  <c r="S522" i="5" s="1"/>
  <c r="S521" i="5" a="1"/>
  <c r="S521" i="5" s="1"/>
  <c r="S520" i="5" a="1"/>
  <c r="S520" i="5" s="1"/>
  <c r="S519" i="5"/>
  <c r="S519" i="5" a="1"/>
  <c r="S518" i="5" a="1"/>
  <c r="S518" i="5" s="1"/>
  <c r="S517" i="5" a="1"/>
  <c r="S517" i="5" s="1"/>
  <c r="S516" i="5" a="1"/>
  <c r="S516" i="5" s="1"/>
  <c r="S515" i="5" a="1"/>
  <c r="S515" i="5" s="1"/>
  <c r="S514" i="5" a="1"/>
  <c r="S514" i="5" s="1"/>
  <c r="S513" i="5" a="1"/>
  <c r="S513" i="5" s="1"/>
  <c r="S512" i="5" a="1"/>
  <c r="S512" i="5" s="1"/>
  <c r="S511" i="5" a="1"/>
  <c r="S511" i="5" s="1"/>
  <c r="S510" i="5" a="1"/>
  <c r="S510" i="5" s="1"/>
  <c r="S509" i="5" a="1"/>
  <c r="S509" i="5" s="1"/>
  <c r="S508" i="5"/>
  <c r="S508" i="5" a="1"/>
  <c r="S507" i="5" a="1"/>
  <c r="S507" i="5" s="1"/>
  <c r="S506" i="5" a="1"/>
  <c r="S506" i="5" s="1"/>
  <c r="S505" i="5" a="1"/>
  <c r="S505" i="5" s="1"/>
  <c r="S504" i="5" a="1"/>
  <c r="S504" i="5" s="1"/>
  <c r="S503" i="5"/>
  <c r="S503" i="5" a="1"/>
  <c r="S502" i="5" a="1"/>
  <c r="S502" i="5" s="1"/>
  <c r="S501" i="5" a="1"/>
  <c r="S501" i="5" s="1"/>
  <c r="S500" i="5" a="1"/>
  <c r="S500" i="5" s="1"/>
  <c r="S499" i="5" a="1"/>
  <c r="S499" i="5" s="1"/>
  <c r="S498" i="5" a="1"/>
  <c r="S498" i="5" s="1"/>
  <c r="S497" i="5" a="1"/>
  <c r="S497" i="5" s="1"/>
  <c r="S496" i="5" a="1"/>
  <c r="S496" i="5" s="1"/>
  <c r="S495" i="5" a="1"/>
  <c r="S495" i="5" s="1"/>
  <c r="S494" i="5" a="1"/>
  <c r="S494" i="5" s="1"/>
  <c r="S493" i="5" a="1"/>
  <c r="S493" i="5" s="1"/>
  <c r="S492" i="5"/>
  <c r="S492" i="5" a="1"/>
  <c r="S491" i="5" a="1"/>
  <c r="S491" i="5" s="1"/>
  <c r="S490" i="5" a="1"/>
  <c r="S490" i="5" s="1"/>
  <c r="S489" i="5" a="1"/>
  <c r="S489" i="5" s="1"/>
  <c r="S488" i="5" a="1"/>
  <c r="S488" i="5" s="1"/>
  <c r="S487" i="5"/>
  <c r="S487" i="5" a="1"/>
  <c r="S486" i="5" a="1"/>
  <c r="S486" i="5" s="1"/>
  <c r="S485" i="5" a="1"/>
  <c r="S485" i="5" s="1"/>
  <c r="S484" i="5" a="1"/>
  <c r="S484" i="5" s="1"/>
  <c r="S483" i="5" a="1"/>
  <c r="S483" i="5" s="1"/>
  <c r="S482" i="5" a="1"/>
  <c r="S482" i="5" s="1"/>
  <c r="S481" i="5" a="1"/>
  <c r="S481" i="5" s="1"/>
  <c r="S480" i="5" a="1"/>
  <c r="S480" i="5" s="1"/>
  <c r="S479" i="5" a="1"/>
  <c r="S479" i="5" s="1"/>
  <c r="S478" i="5" a="1"/>
  <c r="S478" i="5" s="1"/>
  <c r="S477" i="5" a="1"/>
  <c r="S477" i="5" s="1"/>
  <c r="S476" i="5"/>
  <c r="S476" i="5" a="1"/>
  <c r="S475" i="5" a="1"/>
  <c r="S475" i="5" s="1"/>
  <c r="S474" i="5" a="1"/>
  <c r="S474" i="5" s="1"/>
  <c r="S473" i="5" a="1"/>
  <c r="S473" i="5" s="1"/>
  <c r="S472" i="5" a="1"/>
  <c r="S472" i="5" s="1"/>
  <c r="S471" i="5"/>
  <c r="S471" i="5" a="1"/>
  <c r="S470" i="5" a="1"/>
  <c r="S470" i="5" s="1"/>
  <c r="S469" i="5" a="1"/>
  <c r="S469" i="5" s="1"/>
  <c r="S468" i="5" a="1"/>
  <c r="S468" i="5" s="1"/>
  <c r="S467" i="5" a="1"/>
  <c r="S467" i="5" s="1"/>
  <c r="S466" i="5" a="1"/>
  <c r="S466" i="5" s="1"/>
  <c r="S465" i="5" a="1"/>
  <c r="S465" i="5" s="1"/>
  <c r="S464" i="5" a="1"/>
  <c r="S464" i="5" s="1"/>
  <c r="S463" i="5" a="1"/>
  <c r="S463" i="5" s="1"/>
  <c r="S462" i="5" a="1"/>
  <c r="S462" i="5" s="1"/>
  <c r="S461" i="5" a="1"/>
  <c r="S461" i="5" s="1"/>
  <c r="S460" i="5"/>
  <c r="S460" i="5" a="1"/>
  <c r="S459" i="5" a="1"/>
  <c r="S459" i="5" s="1"/>
  <c r="S458" i="5" a="1"/>
  <c r="S458" i="5" s="1"/>
  <c r="S457" i="5" a="1"/>
  <c r="S457" i="5" s="1"/>
  <c r="S456" i="5" a="1"/>
  <c r="S456" i="5" s="1"/>
  <c r="S455" i="5"/>
  <c r="S455" i="5" a="1"/>
  <c r="S454" i="5" a="1"/>
  <c r="S454" i="5" s="1"/>
  <c r="S453" i="5" a="1"/>
  <c r="S453" i="5" s="1"/>
  <c r="S452" i="5" a="1"/>
  <c r="S452" i="5" s="1"/>
  <c r="S451" i="5" a="1"/>
  <c r="S451" i="5" s="1"/>
  <c r="S450" i="5" a="1"/>
  <c r="S450" i="5" s="1"/>
  <c r="S449" i="5" a="1"/>
  <c r="S449" i="5" s="1"/>
  <c r="S448" i="5" a="1"/>
  <c r="S448" i="5" s="1"/>
  <c r="S447" i="5" a="1"/>
  <c r="S447" i="5" s="1"/>
  <c r="S446" i="5" a="1"/>
  <c r="S446" i="5" s="1"/>
  <c r="S445" i="5" a="1"/>
  <c r="S445" i="5" s="1"/>
  <c r="S444" i="5"/>
  <c r="S444" i="5" a="1"/>
  <c r="S443" i="5" a="1"/>
  <c r="S443" i="5" s="1"/>
  <c r="S442" i="5" a="1"/>
  <c r="S442" i="5" s="1"/>
  <c r="S441" i="5" a="1"/>
  <c r="S441" i="5" s="1"/>
  <c r="S440" i="5" a="1"/>
  <c r="S440" i="5" s="1"/>
  <c r="S439" i="5"/>
  <c r="S439" i="5" a="1"/>
  <c r="S438" i="5" a="1"/>
  <c r="S438" i="5" s="1"/>
  <c r="S437" i="5" a="1"/>
  <c r="S437" i="5" s="1"/>
  <c r="S436" i="5" a="1"/>
  <c r="S436" i="5" s="1"/>
  <c r="S435" i="5" a="1"/>
  <c r="S435" i="5" s="1"/>
  <c r="S434" i="5" a="1"/>
  <c r="S434" i="5" s="1"/>
  <c r="S433" i="5" a="1"/>
  <c r="S433" i="5" s="1"/>
  <c r="S432" i="5" a="1"/>
  <c r="S432" i="5" s="1"/>
  <c r="S431" i="5" a="1"/>
  <c r="S431" i="5" s="1"/>
  <c r="S430" i="5" a="1"/>
  <c r="S430" i="5" s="1"/>
  <c r="S429" i="5" a="1"/>
  <c r="S429" i="5" s="1"/>
  <c r="S428" i="5"/>
  <c r="S428" i="5" a="1"/>
  <c r="S427" i="5" a="1"/>
  <c r="S427" i="5" s="1"/>
  <c r="S426" i="5" a="1"/>
  <c r="S426" i="5" s="1"/>
  <c r="S425" i="5" a="1"/>
  <c r="S425" i="5" s="1"/>
  <c r="S424" i="5" a="1"/>
  <c r="S424" i="5" s="1"/>
  <c r="S423" i="5"/>
  <c r="S423" i="5" a="1"/>
  <c r="S422" i="5" a="1"/>
  <c r="S422" i="5" s="1"/>
  <c r="S421" i="5" a="1"/>
  <c r="S421" i="5" s="1"/>
  <c r="S420" i="5" a="1"/>
  <c r="S420" i="5" s="1"/>
  <c r="S419" i="5" a="1"/>
  <c r="S419" i="5" s="1"/>
  <c r="S418" i="5" a="1"/>
  <c r="S418" i="5" s="1"/>
  <c r="S417" i="5" a="1"/>
  <c r="S417" i="5" s="1"/>
  <c r="S416" i="5" a="1"/>
  <c r="S416" i="5" s="1"/>
  <c r="S415" i="5" a="1"/>
  <c r="S415" i="5" s="1"/>
  <c r="S414" i="5" a="1"/>
  <c r="S414" i="5" s="1"/>
  <c r="S413" i="5" a="1"/>
  <c r="S413" i="5" s="1"/>
  <c r="S412" i="5"/>
  <c r="S412" i="5" a="1"/>
  <c r="S411" i="5" a="1"/>
  <c r="S411" i="5" s="1"/>
  <c r="S410" i="5" a="1"/>
  <c r="S410" i="5" s="1"/>
  <c r="S409" i="5" a="1"/>
  <c r="S409" i="5" s="1"/>
  <c r="S408" i="5" a="1"/>
  <c r="S408" i="5" s="1"/>
  <c r="S407" i="5"/>
  <c r="S407" i="5" a="1"/>
  <c r="S406" i="5" a="1"/>
  <c r="S406" i="5" s="1"/>
  <c r="S405" i="5" a="1"/>
  <c r="S405" i="5" s="1"/>
  <c r="S404" i="5" a="1"/>
  <c r="S404" i="5" s="1"/>
  <c r="S403" i="5" a="1"/>
  <c r="S403" i="5" s="1"/>
  <c r="S402" i="5" a="1"/>
  <c r="S402" i="5" s="1"/>
  <c r="S401" i="5" a="1"/>
  <c r="S401" i="5" s="1"/>
  <c r="S400" i="5" a="1"/>
  <c r="S400" i="5" s="1"/>
  <c r="S399" i="5" a="1"/>
  <c r="S399" i="5" s="1"/>
  <c r="S398" i="5" a="1"/>
  <c r="S398" i="5" s="1"/>
  <c r="S397" i="5" a="1"/>
  <c r="S397" i="5" s="1"/>
  <c r="S396" i="5"/>
  <c r="S396" i="5" a="1"/>
  <c r="S395" i="5" a="1"/>
  <c r="S395" i="5" s="1"/>
  <c r="S394" i="5" a="1"/>
  <c r="S394" i="5" s="1"/>
  <c r="S393" i="5" a="1"/>
  <c r="S393" i="5" s="1"/>
  <c r="S392" i="5" a="1"/>
  <c r="S392" i="5" s="1"/>
  <c r="S391" i="5"/>
  <c r="S391" i="5" a="1"/>
  <c r="S390" i="5" a="1"/>
  <c r="S390" i="5" s="1"/>
  <c r="S389" i="5" a="1"/>
  <c r="S389" i="5" s="1"/>
  <c r="S388" i="5" a="1"/>
  <c r="S388" i="5" s="1"/>
  <c r="S387" i="5" a="1"/>
  <c r="S387" i="5" s="1"/>
  <c r="S386" i="5" a="1"/>
  <c r="S386" i="5" s="1"/>
  <c r="S385" i="5" a="1"/>
  <c r="S385" i="5" s="1"/>
  <c r="S384" i="5" a="1"/>
  <c r="S384" i="5" s="1"/>
  <c r="S383" i="5" a="1"/>
  <c r="S383" i="5" s="1"/>
  <c r="S382" i="5" a="1"/>
  <c r="S382" i="5" s="1"/>
  <c r="S381" i="5" a="1"/>
  <c r="S381" i="5" s="1"/>
  <c r="S380" i="5"/>
  <c r="S380" i="5" a="1"/>
  <c r="S379" i="5" a="1"/>
  <c r="S379" i="5" s="1"/>
  <c r="S378" i="5" a="1"/>
  <c r="S378" i="5" s="1"/>
  <c r="S377" i="5" a="1"/>
  <c r="S377" i="5" s="1"/>
  <c r="S376" i="5" a="1"/>
  <c r="S376" i="5" s="1"/>
  <c r="S375" i="5"/>
  <c r="S375" i="5" a="1"/>
  <c r="S374" i="5" a="1"/>
  <c r="S374" i="5" s="1"/>
  <c r="S373" i="5" a="1"/>
  <c r="S373" i="5" s="1"/>
  <c r="S372" i="5" a="1"/>
  <c r="S372" i="5" s="1"/>
  <c r="S371" i="5" a="1"/>
  <c r="S371" i="5" s="1"/>
  <c r="S370" i="5" a="1"/>
  <c r="S370" i="5" s="1"/>
  <c r="S369" i="5" a="1"/>
  <c r="S369" i="5" s="1"/>
  <c r="S368" i="5" a="1"/>
  <c r="S368" i="5" s="1"/>
  <c r="S367" i="5" a="1"/>
  <c r="S367" i="5" s="1"/>
  <c r="S366" i="5" a="1"/>
  <c r="S366" i="5" s="1"/>
  <c r="S365" i="5" a="1"/>
  <c r="S365" i="5" s="1"/>
  <c r="S364" i="5" a="1"/>
  <c r="S364" i="5" s="1"/>
  <c r="S363" i="5" a="1"/>
  <c r="S363" i="5" s="1"/>
  <c r="S362" i="5" a="1"/>
  <c r="S362" i="5" s="1"/>
  <c r="S361" i="5" a="1"/>
  <c r="S361" i="5" s="1"/>
  <c r="S360" i="5" a="1"/>
  <c r="S360" i="5" s="1"/>
  <c r="S359" i="5" a="1"/>
  <c r="S359" i="5" s="1"/>
  <c r="S358" i="5" a="1"/>
  <c r="S358" i="5" s="1"/>
  <c r="S357" i="5" a="1"/>
  <c r="S357" i="5" s="1"/>
  <c r="S356" i="5" a="1"/>
  <c r="S356" i="5" s="1"/>
  <c r="S355" i="5" a="1"/>
  <c r="S355" i="5" s="1"/>
  <c r="S354" i="5" a="1"/>
  <c r="S354" i="5" s="1"/>
  <c r="S353" i="5" a="1"/>
  <c r="S353" i="5" s="1"/>
  <c r="S352" i="5" a="1"/>
  <c r="S352" i="5" s="1"/>
  <c r="S351" i="5" a="1"/>
  <c r="S351" i="5" s="1"/>
  <c r="S350" i="5" a="1"/>
  <c r="S350" i="5" s="1"/>
  <c r="S349" i="5" a="1"/>
  <c r="S349" i="5" s="1"/>
  <c r="S348" i="5" a="1"/>
  <c r="S348" i="5" s="1"/>
  <c r="S347" i="5" a="1"/>
  <c r="S347" i="5" s="1"/>
  <c r="S346" i="5" a="1"/>
  <c r="S346" i="5" s="1"/>
  <c r="S345" i="5" a="1"/>
  <c r="S345" i="5" s="1"/>
  <c r="S344" i="5" a="1"/>
  <c r="S344" i="5" s="1"/>
  <c r="S343" i="5" a="1"/>
  <c r="S343" i="5" s="1"/>
  <c r="S342" i="5" a="1"/>
  <c r="S342" i="5" s="1"/>
  <c r="S341" i="5" a="1"/>
  <c r="S341" i="5" s="1"/>
  <c r="S340" i="5" a="1"/>
  <c r="S340" i="5" s="1"/>
  <c r="S339" i="5" a="1"/>
  <c r="S339" i="5" s="1"/>
  <c r="S338" i="5" a="1"/>
  <c r="S338" i="5" s="1"/>
  <c r="S337" i="5" a="1"/>
  <c r="S337" i="5" s="1"/>
  <c r="S336" i="5" a="1"/>
  <c r="S336" i="5" s="1"/>
  <c r="S335" i="5" a="1"/>
  <c r="S335" i="5" s="1"/>
  <c r="S334" i="5" a="1"/>
  <c r="S334" i="5" s="1"/>
  <c r="S333" i="5" a="1"/>
  <c r="S333" i="5" s="1"/>
  <c r="S332" i="5"/>
  <c r="S332" i="5" a="1"/>
  <c r="S331" i="5" a="1"/>
  <c r="S331" i="5" s="1"/>
  <c r="S330" i="5" a="1"/>
  <c r="S330" i="5" s="1"/>
  <c r="S329" i="5" a="1"/>
  <c r="S329" i="5" s="1"/>
  <c r="S328" i="5" a="1"/>
  <c r="S328" i="5" s="1"/>
  <c r="S327" i="5" a="1"/>
  <c r="S327" i="5" s="1"/>
  <c r="S326" i="5" a="1"/>
  <c r="S326" i="5" s="1"/>
  <c r="S325" i="5" a="1"/>
  <c r="S325" i="5" s="1"/>
  <c r="S324" i="5" a="1"/>
  <c r="S324" i="5" s="1"/>
  <c r="S323" i="5" a="1"/>
  <c r="S323" i="5" s="1"/>
  <c r="S322" i="5" a="1"/>
  <c r="S322" i="5" s="1"/>
  <c r="S321" i="5" a="1"/>
  <c r="S321" i="5" s="1"/>
  <c r="S320" i="5" a="1"/>
  <c r="S320" i="5" s="1"/>
  <c r="S319" i="5" a="1"/>
  <c r="S319" i="5" s="1"/>
  <c r="S318" i="5" a="1"/>
  <c r="S318" i="5" s="1"/>
  <c r="S317" i="5" a="1"/>
  <c r="S317" i="5" s="1"/>
  <c r="S316" i="5"/>
  <c r="S316" i="5" a="1"/>
  <c r="S315" i="5" a="1"/>
  <c r="S315" i="5" s="1"/>
  <c r="S314" i="5" a="1"/>
  <c r="S314" i="5" s="1"/>
  <c r="S313" i="5" a="1"/>
  <c r="S313" i="5" s="1"/>
  <c r="S312" i="5" a="1"/>
  <c r="S312" i="5" s="1"/>
  <c r="S311" i="5" a="1"/>
  <c r="S311" i="5" s="1"/>
  <c r="S310" i="5" a="1"/>
  <c r="S310" i="5" s="1"/>
  <c r="S309" i="5" a="1"/>
  <c r="S309" i="5" s="1"/>
  <c r="S308" i="5" a="1"/>
  <c r="S308" i="5" s="1"/>
  <c r="S307" i="5" a="1"/>
  <c r="S307" i="5" s="1"/>
  <c r="S306" i="5" a="1"/>
  <c r="S306" i="5" s="1"/>
  <c r="S305" i="5" a="1"/>
  <c r="S305" i="5" s="1"/>
  <c r="S304" i="5" a="1"/>
  <c r="S304" i="5" s="1"/>
  <c r="S303" i="5" a="1"/>
  <c r="S303" i="5" s="1"/>
  <c r="S302" i="5" a="1"/>
  <c r="S302" i="5" s="1"/>
  <c r="S301" i="5" a="1"/>
  <c r="S301" i="5" s="1"/>
  <c r="S300" i="5" a="1"/>
  <c r="S300" i="5" s="1"/>
  <c r="S299" i="5" a="1"/>
  <c r="S299" i="5" s="1"/>
  <c r="S298" i="5" a="1"/>
  <c r="S298" i="5" s="1"/>
  <c r="S297" i="5" a="1"/>
  <c r="S297" i="5" s="1"/>
  <c r="S296" i="5" a="1"/>
  <c r="S296" i="5" s="1"/>
  <c r="S295" i="5" a="1"/>
  <c r="S295" i="5" s="1"/>
  <c r="S294" i="5"/>
  <c r="S294" i="5" a="1"/>
  <c r="S293" i="5" a="1"/>
  <c r="S293" i="5" s="1"/>
  <c r="S292" i="5" a="1"/>
  <c r="S292" i="5" s="1"/>
  <c r="S291" i="5" a="1"/>
  <c r="S291" i="5" s="1"/>
  <c r="S290" i="5" a="1"/>
  <c r="S290" i="5" s="1"/>
  <c r="S289" i="5" a="1"/>
  <c r="S289" i="5" s="1"/>
  <c r="S288" i="5" a="1"/>
  <c r="S288" i="5" s="1"/>
  <c r="S287" i="5" a="1"/>
  <c r="S287" i="5" s="1"/>
  <c r="S286" i="5"/>
  <c r="S286" i="5" a="1"/>
  <c r="S285" i="5" a="1"/>
  <c r="S285" i="5" s="1"/>
  <c r="S284" i="5" a="1"/>
  <c r="S284" i="5" s="1"/>
  <c r="S283" i="5" a="1"/>
  <c r="S283" i="5" s="1"/>
  <c r="S282" i="5" a="1"/>
  <c r="S282" i="5" s="1"/>
  <c r="S281" i="5" a="1"/>
  <c r="S281" i="5" s="1"/>
  <c r="S280" i="5" a="1"/>
  <c r="S280" i="5" s="1"/>
  <c r="S279" i="5" a="1"/>
  <c r="S279" i="5" s="1"/>
  <c r="S278" i="5" a="1"/>
  <c r="S278" i="5" s="1"/>
  <c r="S277" i="5" a="1"/>
  <c r="S277" i="5" s="1"/>
  <c r="S276" i="5" a="1"/>
  <c r="S276" i="5" s="1"/>
  <c r="S275" i="5" a="1"/>
  <c r="S275" i="5" s="1"/>
  <c r="S274" i="5" a="1"/>
  <c r="S274" i="5" s="1"/>
  <c r="S273" i="5" a="1"/>
  <c r="S273" i="5" s="1"/>
  <c r="S272" i="5" a="1"/>
  <c r="S272" i="5" s="1"/>
  <c r="S271" i="5" a="1"/>
  <c r="S271" i="5" s="1"/>
  <c r="S270" i="5" a="1"/>
  <c r="S270" i="5" s="1"/>
  <c r="S269" i="5" a="1"/>
  <c r="S269" i="5" s="1"/>
  <c r="S268" i="5" a="1"/>
  <c r="S268" i="5" s="1"/>
  <c r="S267" i="5" a="1"/>
  <c r="S267" i="5" s="1"/>
  <c r="S266" i="5" a="1"/>
  <c r="S266" i="5" s="1"/>
  <c r="S265" i="5" a="1"/>
  <c r="S265" i="5" s="1"/>
  <c r="S264" i="5" a="1"/>
  <c r="S264" i="5" s="1"/>
  <c r="S263" i="5" a="1"/>
  <c r="S263" i="5" s="1"/>
  <c r="S262" i="5"/>
  <c r="S262" i="5" a="1"/>
  <c r="S261" i="5" a="1"/>
  <c r="S261" i="5" s="1"/>
  <c r="S260" i="5" a="1"/>
  <c r="S260" i="5" s="1"/>
  <c r="S259" i="5" a="1"/>
  <c r="S259" i="5" s="1"/>
  <c r="S258" i="5" a="1"/>
  <c r="S258" i="5" s="1"/>
  <c r="S257" i="5" a="1"/>
  <c r="S257" i="5" s="1"/>
  <c r="S256" i="5" a="1"/>
  <c r="S256" i="5" s="1"/>
  <c r="S255" i="5" a="1"/>
  <c r="S255" i="5" s="1"/>
  <c r="S254" i="5"/>
  <c r="S254" i="5" a="1"/>
  <c r="S253" i="5" a="1"/>
  <c r="S253" i="5" s="1"/>
  <c r="S252" i="5" a="1"/>
  <c r="S252" i="5" s="1"/>
  <c r="S251" i="5" a="1"/>
  <c r="S251" i="5" s="1"/>
  <c r="S250" i="5" a="1"/>
  <c r="S250" i="5" s="1"/>
  <c r="S249" i="5" a="1"/>
  <c r="S249" i="5" s="1"/>
  <c r="S248" i="5" a="1"/>
  <c r="S248" i="5" s="1"/>
  <c r="S247" i="5" a="1"/>
  <c r="S247" i="5" s="1"/>
  <c r="S246" i="5" a="1"/>
  <c r="S246" i="5" s="1"/>
  <c r="S245" i="5" a="1"/>
  <c r="S245" i="5" s="1"/>
  <c r="S244" i="5" a="1"/>
  <c r="S244" i="5" s="1"/>
  <c r="S243" i="5" a="1"/>
  <c r="S243" i="5" s="1"/>
  <c r="S242" i="5" a="1"/>
  <c r="S242" i="5" s="1"/>
  <c r="S241" i="5" a="1"/>
  <c r="S241" i="5" s="1"/>
  <c r="S240" i="5" a="1"/>
  <c r="S240" i="5" s="1"/>
  <c r="S239" i="5" a="1"/>
  <c r="S239" i="5" s="1"/>
  <c r="S238" i="5" a="1"/>
  <c r="S238" i="5" s="1"/>
  <c r="S237" i="5" a="1"/>
  <c r="S237" i="5" s="1"/>
  <c r="S236" i="5" a="1"/>
  <c r="S236" i="5" s="1"/>
  <c r="S235" i="5" a="1"/>
  <c r="S235" i="5" s="1"/>
  <c r="S234" i="5" a="1"/>
  <c r="S234" i="5" s="1"/>
  <c r="S233" i="5" a="1"/>
  <c r="S233" i="5" s="1"/>
  <c r="S232" i="5" a="1"/>
  <c r="S232" i="5" s="1"/>
  <c r="S231" i="5" a="1"/>
  <c r="S231" i="5" s="1"/>
  <c r="S230" i="5"/>
  <c r="S230" i="5" a="1"/>
  <c r="S229" i="5" a="1"/>
  <c r="S229" i="5" s="1"/>
  <c r="S228" i="5" a="1"/>
  <c r="S228" i="5" s="1"/>
  <c r="S227" i="5" a="1"/>
  <c r="S227" i="5" s="1"/>
  <c r="S226" i="5"/>
  <c r="S226" i="5" a="1"/>
  <c r="S225" i="5" a="1"/>
  <c r="S225" i="5" s="1"/>
  <c r="S224" i="5" a="1"/>
  <c r="S224" i="5" s="1"/>
  <c r="S223" i="5" a="1"/>
  <c r="S223" i="5" s="1"/>
  <c r="S222" i="5"/>
  <c r="S222" i="5" a="1"/>
  <c r="S221" i="5" a="1"/>
  <c r="S221" i="5" s="1"/>
  <c r="S220" i="5" a="1"/>
  <c r="S220" i="5" s="1"/>
  <c r="S219" i="5" a="1"/>
  <c r="S219" i="5" s="1"/>
  <c r="S218" i="5" a="1"/>
  <c r="S218" i="5" s="1"/>
  <c r="S217" i="5" a="1"/>
  <c r="S217" i="5" s="1"/>
  <c r="S216" i="5" a="1"/>
  <c r="S216" i="5" s="1"/>
  <c r="S215" i="5" a="1"/>
  <c r="S215" i="5" s="1"/>
  <c r="S214" i="5" a="1"/>
  <c r="S214" i="5" s="1"/>
  <c r="S213" i="5" a="1"/>
  <c r="S213" i="5" s="1"/>
  <c r="S212" i="5" a="1"/>
  <c r="S212" i="5" s="1"/>
  <c r="S211" i="5" a="1"/>
  <c r="S211" i="5" s="1"/>
  <c r="S210" i="5" a="1"/>
  <c r="S210" i="5" s="1"/>
  <c r="S209" i="5" a="1"/>
  <c r="S209" i="5" s="1"/>
  <c r="S208" i="5" a="1"/>
  <c r="S208" i="5" s="1"/>
  <c r="S207" i="5" a="1"/>
  <c r="S207" i="5" s="1"/>
  <c r="S206" i="5" a="1"/>
  <c r="S206" i="5" s="1"/>
  <c r="S205" i="5" a="1"/>
  <c r="S205" i="5" s="1"/>
  <c r="S204" i="5" a="1"/>
  <c r="S204" i="5" s="1"/>
  <c r="S203" i="5" a="1"/>
  <c r="S203" i="5" s="1"/>
  <c r="S202" i="5" a="1"/>
  <c r="S202" i="5" s="1"/>
  <c r="S201" i="5" a="1"/>
  <c r="S201" i="5" s="1"/>
  <c r="S200" i="5" a="1"/>
  <c r="S200" i="5" s="1"/>
  <c r="S199" i="5" a="1"/>
  <c r="S199" i="5" s="1"/>
  <c r="S198" i="5"/>
  <c r="S198" i="5" a="1"/>
  <c r="S197" i="5" a="1"/>
  <c r="S197" i="5" s="1"/>
  <c r="S196" i="5" a="1"/>
  <c r="S196" i="5" s="1"/>
  <c r="S195" i="5" a="1"/>
  <c r="S195" i="5" s="1"/>
  <c r="S194" i="5"/>
  <c r="S194" i="5" a="1"/>
  <c r="S193" i="5" a="1"/>
  <c r="S193" i="5" s="1"/>
  <c r="S192" i="5" a="1"/>
  <c r="S192" i="5" s="1"/>
  <c r="S191" i="5" a="1"/>
  <c r="S191" i="5" s="1"/>
  <c r="S190" i="5"/>
  <c r="S190" i="5" a="1"/>
  <c r="S189" i="5" a="1"/>
  <c r="S189" i="5" s="1"/>
  <c r="S188" i="5" a="1"/>
  <c r="S188" i="5" s="1"/>
  <c r="S187" i="5" a="1"/>
  <c r="S187" i="5" s="1"/>
  <c r="S186" i="5" a="1"/>
  <c r="S186" i="5" s="1"/>
  <c r="S185" i="5" a="1"/>
  <c r="S185" i="5" s="1"/>
  <c r="S184" i="5" a="1"/>
  <c r="S184" i="5" s="1"/>
  <c r="S183" i="5" a="1"/>
  <c r="S183" i="5" s="1"/>
  <c r="S182" i="5" a="1"/>
  <c r="S182" i="5" s="1"/>
  <c r="S181" i="5" a="1"/>
  <c r="S181" i="5" s="1"/>
  <c r="S180" i="5" a="1"/>
  <c r="S180" i="5" s="1"/>
  <c r="S179" i="5" a="1"/>
  <c r="S179" i="5" s="1"/>
  <c r="S178" i="5" a="1"/>
  <c r="S178" i="5" s="1"/>
  <c r="S177" i="5" a="1"/>
  <c r="S177" i="5" s="1"/>
  <c r="S176" i="5" a="1"/>
  <c r="S176" i="5" s="1"/>
  <c r="S175" i="5" a="1"/>
  <c r="S175" i="5" s="1"/>
  <c r="S174" i="5" a="1"/>
  <c r="S174" i="5" s="1"/>
  <c r="S173" i="5" a="1"/>
  <c r="S173" i="5" s="1"/>
  <c r="S172" i="5" a="1"/>
  <c r="S172" i="5" s="1"/>
  <c r="S171" i="5" a="1"/>
  <c r="S171" i="5" s="1"/>
  <c r="S170" i="5" a="1"/>
  <c r="S170" i="5" s="1"/>
  <c r="S169" i="5" a="1"/>
  <c r="S169" i="5" s="1"/>
  <c r="S168" i="5" a="1"/>
  <c r="S168" i="5" s="1"/>
  <c r="S167" i="5" a="1"/>
  <c r="S167" i="5" s="1"/>
  <c r="S166" i="5"/>
  <c r="S166" i="5" a="1"/>
  <c r="S165" i="5" a="1"/>
  <c r="S165" i="5" s="1"/>
  <c r="S164" i="5" a="1"/>
  <c r="S164" i="5" s="1"/>
  <c r="S163" i="5" a="1"/>
  <c r="S163" i="5" s="1"/>
  <c r="S162" i="5"/>
  <c r="S162" i="5" a="1"/>
  <c r="S161" i="5" a="1"/>
  <c r="S161" i="5" s="1"/>
  <c r="S160" i="5" a="1"/>
  <c r="S160" i="5" s="1"/>
  <c r="S159" i="5" a="1"/>
  <c r="S159" i="5" s="1"/>
  <c r="S158" i="5"/>
  <c r="S158" i="5" a="1"/>
  <c r="S157" i="5" a="1"/>
  <c r="S157" i="5" s="1"/>
  <c r="S156" i="5" a="1"/>
  <c r="S156" i="5" s="1"/>
  <c r="S155" i="5" a="1"/>
  <c r="S155" i="5" s="1"/>
  <c r="S154" i="5" a="1"/>
  <c r="S154" i="5" s="1"/>
  <c r="S153" i="5" a="1"/>
  <c r="S153" i="5" s="1"/>
  <c r="S152" i="5" a="1"/>
  <c r="S152" i="5" s="1"/>
  <c r="S151" i="5" a="1"/>
  <c r="S151" i="5" s="1"/>
  <c r="S150" i="5" a="1"/>
  <c r="S150" i="5" s="1"/>
  <c r="S149" i="5" a="1"/>
  <c r="S149" i="5" s="1"/>
  <c r="S148" i="5" a="1"/>
  <c r="S148" i="5" s="1"/>
  <c r="S147" i="5" a="1"/>
  <c r="S147" i="5" s="1"/>
  <c r="S146" i="5" a="1"/>
  <c r="S146" i="5" s="1"/>
  <c r="S145" i="5" a="1"/>
  <c r="S145" i="5" s="1"/>
  <c r="S144" i="5" a="1"/>
  <c r="S144" i="5" s="1"/>
  <c r="S143" i="5" a="1"/>
  <c r="S143" i="5" s="1"/>
  <c r="S142" i="5" a="1"/>
  <c r="S142" i="5" s="1"/>
  <c r="S141" i="5" a="1"/>
  <c r="S141" i="5" s="1"/>
  <c r="S140" i="5" a="1"/>
  <c r="S140" i="5" s="1"/>
  <c r="S139" i="5" a="1"/>
  <c r="S139" i="5" s="1"/>
  <c r="S138" i="5" a="1"/>
  <c r="S138" i="5" s="1"/>
  <c r="S137" i="5" a="1"/>
  <c r="S137" i="5" s="1"/>
  <c r="S136" i="5" a="1"/>
  <c r="S136" i="5" s="1"/>
  <c r="S135" i="5" a="1"/>
  <c r="S135" i="5" s="1"/>
  <c r="S134" i="5"/>
  <c r="S134" i="5" a="1"/>
  <c r="S133" i="5" a="1"/>
  <c r="S133" i="5" s="1"/>
  <c r="S132" i="5" a="1"/>
  <c r="S132" i="5" s="1"/>
  <c r="S131" i="5" a="1"/>
  <c r="S131" i="5" s="1"/>
  <c r="S130" i="5" a="1"/>
  <c r="S130" i="5" s="1"/>
  <c r="S129" i="5" a="1"/>
  <c r="S129" i="5" s="1"/>
  <c r="S128" i="5" a="1"/>
  <c r="S128" i="5" s="1"/>
  <c r="S127" i="5"/>
  <c r="S127" i="5" a="1"/>
  <c r="S126" i="5" a="1"/>
  <c r="S126" i="5" s="1"/>
  <c r="S125" i="5" a="1"/>
  <c r="S125" i="5" s="1"/>
  <c r="S124" i="5" a="1"/>
  <c r="S124" i="5" s="1"/>
  <c r="S123" i="5"/>
  <c r="S123" i="5" a="1"/>
  <c r="S122" i="5"/>
  <c r="S122" i="5" a="1"/>
  <c r="S121" i="5" a="1"/>
  <c r="S121" i="5" s="1"/>
  <c r="S120" i="5" a="1"/>
  <c r="S120" i="5" s="1"/>
  <c r="S119" i="5" a="1"/>
  <c r="S119" i="5" s="1"/>
  <c r="S118" i="5"/>
  <c r="S118" i="5" a="1"/>
  <c r="S117" i="5" a="1"/>
  <c r="S117" i="5" s="1"/>
  <c r="S116" i="5" a="1"/>
  <c r="S116" i="5" s="1"/>
  <c r="S115" i="5" a="1"/>
  <c r="S115" i="5" s="1"/>
  <c r="S114" i="5" a="1"/>
  <c r="S114" i="5" s="1"/>
  <c r="S113" i="5" a="1"/>
  <c r="S113" i="5" s="1"/>
  <c r="S112" i="5" a="1"/>
  <c r="S112" i="5" s="1"/>
  <c r="S111" i="5"/>
  <c r="S111" i="5" a="1"/>
  <c r="S110" i="5" a="1"/>
  <c r="S110" i="5" s="1"/>
  <c r="S109" i="5" a="1"/>
  <c r="S109" i="5" s="1"/>
  <c r="S108" i="5" a="1"/>
  <c r="S108" i="5" s="1"/>
  <c r="S107" i="5"/>
  <c r="S107" i="5" a="1"/>
  <c r="S106" i="5" a="1"/>
  <c r="S106" i="5" s="1"/>
  <c r="S105" i="5" a="1"/>
  <c r="S105" i="5" s="1"/>
  <c r="S104" i="5" a="1"/>
  <c r="S104" i="5" s="1"/>
  <c r="S103" i="5" a="1"/>
  <c r="S103" i="5" s="1"/>
  <c r="S102" i="5"/>
  <c r="S102" i="5" a="1"/>
  <c r="S101" i="5" a="1"/>
  <c r="S101" i="5" s="1"/>
  <c r="S100" i="5" a="1"/>
  <c r="S100" i="5" s="1"/>
  <c r="S99" i="5" a="1"/>
  <c r="S99" i="5" s="1"/>
  <c r="S98" i="5" a="1"/>
  <c r="S98" i="5" s="1"/>
  <c r="S97" i="5" a="1"/>
  <c r="S97" i="5" s="1"/>
  <c r="S96" i="5" a="1"/>
  <c r="S96" i="5" s="1"/>
  <c r="S95" i="5" a="1"/>
  <c r="S95" i="5" s="1"/>
  <c r="S94" i="5" a="1"/>
  <c r="S94" i="5" s="1"/>
  <c r="S93" i="5" a="1"/>
  <c r="S93" i="5" s="1"/>
  <c r="S92" i="5" a="1"/>
  <c r="S92" i="5" s="1"/>
  <c r="S91" i="5"/>
  <c r="S91" i="5" a="1"/>
  <c r="S90" i="5" a="1"/>
  <c r="S90" i="5" s="1"/>
  <c r="S89" i="5" a="1"/>
  <c r="S89" i="5" s="1"/>
  <c r="S88" i="5" a="1"/>
  <c r="S88" i="5" s="1"/>
  <c r="S87" i="5" a="1"/>
  <c r="S87" i="5" s="1"/>
  <c r="S86" i="5"/>
  <c r="S86" i="5" a="1"/>
  <c r="S85" i="5" a="1"/>
  <c r="S85" i="5" s="1"/>
  <c r="S84" i="5" a="1"/>
  <c r="S84" i="5" s="1"/>
  <c r="S83" i="5" a="1"/>
  <c r="S83" i="5" s="1"/>
  <c r="S82" i="5" a="1"/>
  <c r="S82" i="5" s="1"/>
  <c r="S81" i="5" a="1"/>
  <c r="S81" i="5" s="1"/>
  <c r="S80" i="5" a="1"/>
  <c r="S80" i="5" s="1"/>
  <c r="S79" i="5" a="1"/>
  <c r="S79" i="5" s="1"/>
  <c r="S78" i="5" a="1"/>
  <c r="S78" i="5" s="1"/>
  <c r="S77" i="5" a="1"/>
  <c r="S77" i="5" s="1"/>
  <c r="S76" i="5" a="1"/>
  <c r="S76" i="5" s="1"/>
  <c r="S75" i="5"/>
  <c r="S75" i="5" a="1"/>
  <c r="S74" i="5" a="1"/>
  <c r="S74" i="5" s="1"/>
  <c r="S73" i="5" a="1"/>
  <c r="S73" i="5" s="1"/>
  <c r="S72" i="5" a="1"/>
  <c r="S72" i="5" s="1"/>
  <c r="S71" i="5" a="1"/>
  <c r="S71" i="5" s="1"/>
  <c r="S70" i="5"/>
  <c r="S70" i="5" a="1"/>
  <c r="S69" i="5" a="1"/>
  <c r="S69" i="5" s="1"/>
  <c r="S68" i="5" a="1"/>
  <c r="S68" i="5" s="1"/>
  <c r="S67" i="5" a="1"/>
  <c r="S67" i="5" s="1"/>
  <c r="S66" i="5" a="1"/>
  <c r="S66" i="5" s="1"/>
  <c r="S65" i="5" a="1"/>
  <c r="S65" i="5" s="1"/>
  <c r="S64" i="5" a="1"/>
  <c r="S64" i="5" s="1"/>
  <c r="S63" i="5" a="1"/>
  <c r="S63" i="5" s="1"/>
  <c r="S62" i="5" a="1"/>
  <c r="S62" i="5" s="1"/>
  <c r="S61" i="5" a="1"/>
  <c r="S61" i="5" s="1"/>
  <c r="S60" i="5" a="1"/>
  <c r="S60" i="5" s="1"/>
  <c r="S59" i="5"/>
  <c r="S59" i="5" a="1"/>
  <c r="S58" i="5" a="1"/>
  <c r="S58" i="5" s="1"/>
  <c r="S57" i="5" a="1"/>
  <c r="S57" i="5" s="1"/>
  <c r="S56" i="5" a="1"/>
  <c r="S56" i="5" s="1"/>
  <c r="S55" i="5" a="1"/>
  <c r="S55" i="5" s="1"/>
  <c r="S54" i="5"/>
  <c r="S54" i="5" a="1"/>
  <c r="S53" i="5" a="1"/>
  <c r="S53" i="5" s="1"/>
  <c r="S52" i="5" a="1"/>
  <c r="S52" i="5" s="1"/>
  <c r="S51" i="5" a="1"/>
  <c r="S51" i="5" s="1"/>
  <c r="S50" i="5" a="1"/>
  <c r="S50" i="5" s="1"/>
  <c r="S49" i="5" a="1"/>
  <c r="S49" i="5" s="1"/>
  <c r="S48" i="5" a="1"/>
  <c r="S48" i="5" s="1"/>
  <c r="S47" i="5" a="1"/>
  <c r="S47" i="5" s="1"/>
  <c r="S46" i="5" a="1"/>
  <c r="S46" i="5" s="1"/>
  <c r="S45" i="5" a="1"/>
  <c r="S45" i="5" s="1"/>
  <c r="S44" i="5" a="1"/>
  <c r="S44" i="5" s="1"/>
  <c r="S43" i="5"/>
  <c r="S43" i="5" a="1"/>
  <c r="S42" i="5" a="1"/>
  <c r="S42" i="5" s="1"/>
  <c r="S41" i="5" a="1"/>
  <c r="S41" i="5" s="1"/>
  <c r="S40" i="5" a="1"/>
  <c r="S40" i="5" s="1"/>
  <c r="S39" i="5" a="1"/>
  <c r="S39" i="5" s="1"/>
  <c r="S38" i="5"/>
  <c r="S38" i="5" a="1"/>
  <c r="S37" i="5" a="1"/>
  <c r="S37" i="5" s="1"/>
  <c r="S36" i="5" a="1"/>
  <c r="S36" i="5" s="1"/>
  <c r="S35" i="5" a="1"/>
  <c r="S35" i="5" s="1"/>
  <c r="S34" i="5" a="1"/>
  <c r="S34" i="5" s="1"/>
  <c r="S33" i="5" a="1"/>
  <c r="S33" i="5" s="1"/>
  <c r="S32" i="5" a="1"/>
  <c r="S32" i="5" s="1"/>
  <c r="S31" i="5" a="1"/>
  <c r="S31" i="5" s="1"/>
  <c r="S30" i="5" a="1"/>
  <c r="S30" i="5" s="1"/>
  <c r="S29" i="5" a="1"/>
  <c r="S29" i="5" s="1"/>
  <c r="S28" i="5" a="1"/>
  <c r="S28" i="5" s="1"/>
  <c r="S27" i="5"/>
  <c r="S27" i="5" a="1"/>
  <c r="S26" i="5" a="1"/>
  <c r="S26" i="5" s="1"/>
  <c r="S25" i="5" a="1"/>
  <c r="S25" i="5" s="1"/>
  <c r="S24" i="5" a="1"/>
  <c r="S24" i="5" s="1"/>
  <c r="S23" i="5" a="1"/>
  <c r="S23" i="5" s="1"/>
  <c r="S22" i="5"/>
  <c r="S22" i="5" a="1"/>
  <c r="S21" i="5" a="1"/>
  <c r="S21" i="5" s="1"/>
  <c r="S20" i="5" a="1"/>
  <c r="S20" i="5" s="1"/>
  <c r="S19" i="5" a="1"/>
  <c r="S19" i="5" s="1"/>
  <c r="S18" i="5" a="1"/>
  <c r="S18" i="5" s="1"/>
  <c r="S17" i="5" a="1"/>
  <c r="S17" i="5" s="1"/>
  <c r="S16" i="5" a="1"/>
  <c r="S16" i="5" s="1"/>
  <c r="S15" i="5" a="1"/>
  <c r="S15" i="5" s="1"/>
  <c r="S14" i="5" a="1"/>
  <c r="S14" i="5" s="1"/>
  <c r="S13" i="5" a="1"/>
  <c r="S13" i="5" s="1"/>
  <c r="S12" i="5" a="1"/>
  <c r="S12" i="5" s="1"/>
  <c r="S11" i="5"/>
  <c r="S11" i="5" a="1"/>
  <c r="S10" i="5" a="1"/>
  <c r="S10" i="5" s="1"/>
  <c r="S9" i="5" a="1"/>
  <c r="S9" i="5" s="1"/>
  <c r="S8" i="5" a="1"/>
  <c r="S8" i="5" s="1"/>
  <c r="S7" i="5" a="1"/>
  <c r="S7" i="5" s="1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Q337" i="5" s="1"/>
  <c r="P336" i="5"/>
  <c r="P335" i="5"/>
  <c r="P334" i="5"/>
  <c r="P333" i="5"/>
  <c r="P332" i="5"/>
  <c r="P331" i="5"/>
  <c r="P330" i="5"/>
  <c r="P329" i="5"/>
  <c r="Q329" i="5" s="1"/>
  <c r="P328" i="5"/>
  <c r="P327" i="5"/>
  <c r="P326" i="5"/>
  <c r="P325" i="5"/>
  <c r="P324" i="5"/>
  <c r="P323" i="5"/>
  <c r="P322" i="5"/>
  <c r="P321" i="5"/>
  <c r="Q321" i="5" s="1"/>
  <c r="P320" i="5"/>
  <c r="P319" i="5"/>
  <c r="P318" i="5"/>
  <c r="P317" i="5"/>
  <c r="P316" i="5"/>
  <c r="P315" i="5"/>
  <c r="P314" i="5"/>
  <c r="P313" i="5"/>
  <c r="Q313" i="5" s="1"/>
  <c r="P312" i="5"/>
  <c r="P311" i="5"/>
  <c r="P310" i="5"/>
  <c r="P309" i="5"/>
  <c r="P308" i="5"/>
  <c r="P307" i="5"/>
  <c r="P306" i="5"/>
  <c r="P305" i="5"/>
  <c r="Q305" i="5" s="1"/>
  <c r="P304" i="5"/>
  <c r="P303" i="5"/>
  <c r="P302" i="5"/>
  <c r="P301" i="5"/>
  <c r="P300" i="5"/>
  <c r="P299" i="5"/>
  <c r="P298" i="5"/>
  <c r="P297" i="5"/>
  <c r="Q297" i="5" s="1"/>
  <c r="P296" i="5"/>
  <c r="P295" i="5"/>
  <c r="P294" i="5"/>
  <c r="P293" i="5"/>
  <c r="P292" i="5"/>
  <c r="P291" i="5"/>
  <c r="P290" i="5"/>
  <c r="P289" i="5"/>
  <c r="Q289" i="5" s="1"/>
  <c r="P288" i="5"/>
  <c r="P287" i="5"/>
  <c r="P286" i="5"/>
  <c r="P285" i="5"/>
  <c r="P284" i="5"/>
  <c r="P283" i="5"/>
  <c r="P282" i="5"/>
  <c r="Q282" i="5" s="1"/>
  <c r="P281" i="5"/>
  <c r="Q281" i="5" s="1"/>
  <c r="P280" i="5"/>
  <c r="P279" i="5"/>
  <c r="P278" i="5"/>
  <c r="P277" i="5"/>
  <c r="P276" i="5"/>
  <c r="P275" i="5"/>
  <c r="Q275" i="5" s="1"/>
  <c r="P274" i="5"/>
  <c r="P273" i="5"/>
  <c r="Q273" i="5" s="1"/>
  <c r="P272" i="5"/>
  <c r="P271" i="5"/>
  <c r="P270" i="5"/>
  <c r="P269" i="5"/>
  <c r="P268" i="5"/>
  <c r="P267" i="5"/>
  <c r="Q267" i="5" s="1"/>
  <c r="P266" i="5"/>
  <c r="Q266" i="5" s="1"/>
  <c r="P265" i="5"/>
  <c r="Q265" i="5" s="1"/>
  <c r="P264" i="5"/>
  <c r="P263" i="5"/>
  <c r="P262" i="5"/>
  <c r="P261" i="5"/>
  <c r="P260" i="5"/>
  <c r="P259" i="5"/>
  <c r="Q259" i="5" s="1"/>
  <c r="P258" i="5"/>
  <c r="Q258" i="5" s="1"/>
  <c r="P257" i="5"/>
  <c r="Q257" i="5" s="1"/>
  <c r="P256" i="5"/>
  <c r="P255" i="5"/>
  <c r="P254" i="5"/>
  <c r="P253" i="5"/>
  <c r="P252" i="5"/>
  <c r="P251" i="5"/>
  <c r="Q251" i="5" s="1"/>
  <c r="P250" i="5"/>
  <c r="Q250" i="5" s="1"/>
  <c r="P249" i="5"/>
  <c r="Q249" i="5" s="1"/>
  <c r="P248" i="5"/>
  <c r="P247" i="5"/>
  <c r="P246" i="5"/>
  <c r="P245" i="5"/>
  <c r="P244" i="5"/>
  <c r="P243" i="5"/>
  <c r="Q243" i="5" s="1"/>
  <c r="P242" i="5"/>
  <c r="Q242" i="5" s="1"/>
  <c r="P241" i="5"/>
  <c r="Q241" i="5" s="1"/>
  <c r="P240" i="5"/>
  <c r="P239" i="5"/>
  <c r="P238" i="5"/>
  <c r="P237" i="5"/>
  <c r="P236" i="5"/>
  <c r="P235" i="5"/>
  <c r="Q235" i="5" s="1"/>
  <c r="P234" i="5"/>
  <c r="Q234" i="5" s="1"/>
  <c r="P233" i="5"/>
  <c r="Q233" i="5" s="1"/>
  <c r="P232" i="5"/>
  <c r="P231" i="5"/>
  <c r="P230" i="5"/>
  <c r="P229" i="5"/>
  <c r="P228" i="5"/>
  <c r="P227" i="5"/>
  <c r="Q227" i="5" s="1"/>
  <c r="P226" i="5"/>
  <c r="Q226" i="5" s="1"/>
  <c r="P225" i="5"/>
  <c r="Q225" i="5" s="1"/>
  <c r="P224" i="5"/>
  <c r="P223" i="5"/>
  <c r="P222" i="5"/>
  <c r="P221" i="5"/>
  <c r="P220" i="5"/>
  <c r="P219" i="5"/>
  <c r="Q219" i="5" s="1"/>
  <c r="P218" i="5"/>
  <c r="Q218" i="5" s="1"/>
  <c r="P217" i="5"/>
  <c r="Q217" i="5" s="1"/>
  <c r="P216" i="5"/>
  <c r="P215" i="5"/>
  <c r="P214" i="5"/>
  <c r="P213" i="5"/>
  <c r="P212" i="5"/>
  <c r="P211" i="5"/>
  <c r="Q211" i="5" s="1"/>
  <c r="P210" i="5"/>
  <c r="Q210" i="5" s="1"/>
  <c r="P209" i="5"/>
  <c r="Q209" i="5" s="1"/>
  <c r="P208" i="5"/>
  <c r="P207" i="5"/>
  <c r="P206" i="5"/>
  <c r="P205" i="5"/>
  <c r="P204" i="5"/>
  <c r="P203" i="5"/>
  <c r="Q203" i="5" s="1"/>
  <c r="P202" i="5"/>
  <c r="Q202" i="5" s="1"/>
  <c r="P201" i="5"/>
  <c r="Q201" i="5" s="1"/>
  <c r="P200" i="5"/>
  <c r="P199" i="5"/>
  <c r="P198" i="5"/>
  <c r="P197" i="5"/>
  <c r="P196" i="5"/>
  <c r="P195" i="5"/>
  <c r="Q195" i="5" s="1"/>
  <c r="P194" i="5"/>
  <c r="Q194" i="5" s="1"/>
  <c r="P193" i="5"/>
  <c r="Q193" i="5" s="1"/>
  <c r="P192" i="5"/>
  <c r="P191" i="5"/>
  <c r="P190" i="5"/>
  <c r="P189" i="5"/>
  <c r="P188" i="5"/>
  <c r="P187" i="5"/>
  <c r="Q187" i="5" s="1"/>
  <c r="P186" i="5"/>
  <c r="Q186" i="5" s="1"/>
  <c r="P185" i="5"/>
  <c r="Q185" i="5" s="1"/>
  <c r="P184" i="5"/>
  <c r="P183" i="5"/>
  <c r="P182" i="5"/>
  <c r="P181" i="5"/>
  <c r="P180" i="5"/>
  <c r="P179" i="5"/>
  <c r="Q179" i="5" s="1"/>
  <c r="P178" i="5"/>
  <c r="Q178" i="5" s="1"/>
  <c r="P177" i="5"/>
  <c r="Q177" i="5" s="1"/>
  <c r="P176" i="5"/>
  <c r="P175" i="5"/>
  <c r="P174" i="5"/>
  <c r="P173" i="5"/>
  <c r="P172" i="5"/>
  <c r="P171" i="5"/>
  <c r="Q171" i="5" s="1"/>
  <c r="P170" i="5"/>
  <c r="Q170" i="5" s="1"/>
  <c r="P169" i="5"/>
  <c r="Q169" i="5" s="1"/>
  <c r="P168" i="5"/>
  <c r="P167" i="5"/>
  <c r="P166" i="5"/>
  <c r="P165" i="5"/>
  <c r="P164" i="5"/>
  <c r="P163" i="5"/>
  <c r="Q163" i="5" s="1"/>
  <c r="P162" i="5"/>
  <c r="Q162" i="5" s="1"/>
  <c r="P161" i="5"/>
  <c r="Q161" i="5" s="1"/>
  <c r="P160" i="5"/>
  <c r="P159" i="5"/>
  <c r="P158" i="5"/>
  <c r="P157" i="5"/>
  <c r="P156" i="5"/>
  <c r="P155" i="5"/>
  <c r="Q155" i="5" s="1"/>
  <c r="P154" i="5"/>
  <c r="Q154" i="5" s="1"/>
  <c r="P153" i="5"/>
  <c r="Q153" i="5" s="1"/>
  <c r="P152" i="5"/>
  <c r="P151" i="5"/>
  <c r="P150" i="5"/>
  <c r="P149" i="5"/>
  <c r="P148" i="5"/>
  <c r="P147" i="5"/>
  <c r="Q147" i="5" s="1"/>
  <c r="P146" i="5"/>
  <c r="Q146" i="5" s="1"/>
  <c r="P145" i="5"/>
  <c r="Q145" i="5" s="1"/>
  <c r="P144" i="5"/>
  <c r="P143" i="5"/>
  <c r="P142" i="5"/>
  <c r="P141" i="5"/>
  <c r="P140" i="5"/>
  <c r="P139" i="5"/>
  <c r="Q139" i="5" s="1"/>
  <c r="P138" i="5"/>
  <c r="Q138" i="5" s="1"/>
  <c r="P137" i="5"/>
  <c r="Q137" i="5" s="1"/>
  <c r="P136" i="5"/>
  <c r="P135" i="5"/>
  <c r="P134" i="5"/>
  <c r="P133" i="5"/>
  <c r="P132" i="5"/>
  <c r="P131" i="5"/>
  <c r="Q131" i="5" s="1"/>
  <c r="P130" i="5"/>
  <c r="Q130" i="5" s="1"/>
  <c r="P129" i="5"/>
  <c r="Q129" i="5" s="1"/>
  <c r="P128" i="5"/>
  <c r="P127" i="5"/>
  <c r="P126" i="5"/>
  <c r="P125" i="5"/>
  <c r="P124" i="5"/>
  <c r="P123" i="5"/>
  <c r="Q123" i="5" s="1"/>
  <c r="P122" i="5"/>
  <c r="Q122" i="5" s="1"/>
  <c r="P121" i="5"/>
  <c r="Q121" i="5" s="1"/>
  <c r="P120" i="5"/>
  <c r="P119" i="5"/>
  <c r="P118" i="5"/>
  <c r="P117" i="5"/>
  <c r="P116" i="5"/>
  <c r="P115" i="5"/>
  <c r="Q115" i="5" s="1"/>
  <c r="P114" i="5"/>
  <c r="Q114" i="5" s="1"/>
  <c r="P113" i="5"/>
  <c r="Q113" i="5" s="1"/>
  <c r="P112" i="5"/>
  <c r="P111" i="5"/>
  <c r="P110" i="5"/>
  <c r="P109" i="5"/>
  <c r="P108" i="5"/>
  <c r="P107" i="5"/>
  <c r="Q107" i="5" s="1"/>
  <c r="P106" i="5"/>
  <c r="Q106" i="5" s="1"/>
  <c r="P105" i="5"/>
  <c r="Q105" i="5" s="1"/>
  <c r="P104" i="5"/>
  <c r="P103" i="5"/>
  <c r="P102" i="5"/>
  <c r="P101" i="5"/>
  <c r="P100" i="5"/>
  <c r="P99" i="5"/>
  <c r="P98" i="5"/>
  <c r="Q98" i="5" s="1"/>
  <c r="P97" i="5"/>
  <c r="Q97" i="5" s="1"/>
  <c r="P96" i="5"/>
  <c r="P95" i="5"/>
  <c r="P94" i="5"/>
  <c r="P93" i="5"/>
  <c r="P92" i="5"/>
  <c r="P91" i="5"/>
  <c r="P90" i="5"/>
  <c r="Q90" i="5" s="1"/>
  <c r="P89" i="5"/>
  <c r="Q89" i="5" s="1"/>
  <c r="P88" i="5"/>
  <c r="P87" i="5"/>
  <c r="P86" i="5"/>
  <c r="P85" i="5"/>
  <c r="P84" i="5"/>
  <c r="P83" i="5"/>
  <c r="P82" i="5"/>
  <c r="Q82" i="5" s="1"/>
  <c r="P81" i="5"/>
  <c r="Q81" i="5" s="1"/>
  <c r="P80" i="5"/>
  <c r="P79" i="5"/>
  <c r="P78" i="5"/>
  <c r="P77" i="5"/>
  <c r="P76" i="5"/>
  <c r="P75" i="5"/>
  <c r="P74" i="5"/>
  <c r="Q74" i="5" s="1"/>
  <c r="P73" i="5"/>
  <c r="P72" i="5"/>
  <c r="P71" i="5"/>
  <c r="P70" i="5"/>
  <c r="P69" i="5"/>
  <c r="P68" i="5"/>
  <c r="P67" i="5"/>
  <c r="P66" i="5"/>
  <c r="Q66" i="5" s="1"/>
  <c r="P65" i="5"/>
  <c r="P64" i="5"/>
  <c r="P63" i="5"/>
  <c r="P62" i="5"/>
  <c r="P61" i="5"/>
  <c r="P60" i="5"/>
  <c r="P59" i="5"/>
  <c r="P58" i="5"/>
  <c r="Q58" i="5" s="1"/>
  <c r="P57" i="5"/>
  <c r="P56" i="5"/>
  <c r="P55" i="5"/>
  <c r="P54" i="5"/>
  <c r="P53" i="5"/>
  <c r="P52" i="5"/>
  <c r="P51" i="5"/>
  <c r="P50" i="5"/>
  <c r="Q50" i="5" s="1"/>
  <c r="P49" i="5"/>
  <c r="P48" i="5"/>
  <c r="P47" i="5"/>
  <c r="P46" i="5"/>
  <c r="P45" i="5"/>
  <c r="P44" i="5"/>
  <c r="P43" i="5"/>
  <c r="P42" i="5"/>
  <c r="Q42" i="5" s="1"/>
  <c r="P41" i="5"/>
  <c r="P40" i="5"/>
  <c r="P39" i="5"/>
  <c r="P38" i="5"/>
  <c r="P37" i="5"/>
  <c r="P36" i="5"/>
  <c r="P35" i="5"/>
  <c r="P34" i="5"/>
  <c r="Q34" i="5" s="1"/>
  <c r="P33" i="5"/>
  <c r="P32" i="5"/>
  <c r="P31" i="5"/>
  <c r="P30" i="5"/>
  <c r="P29" i="5"/>
  <c r="P28" i="5"/>
  <c r="P27" i="5"/>
  <c r="P26" i="5"/>
  <c r="Q26" i="5" s="1"/>
  <c r="P25" i="5"/>
  <c r="P24" i="5"/>
  <c r="P23" i="5"/>
  <c r="P22" i="5"/>
  <c r="P21" i="5"/>
  <c r="P20" i="5"/>
  <c r="P19" i="5"/>
  <c r="Q19" i="5" s="1"/>
  <c r="P18" i="5"/>
  <c r="P17" i="5"/>
  <c r="Q17" i="5" s="1"/>
  <c r="P16" i="5"/>
  <c r="Q16" i="5" s="1"/>
  <c r="P15" i="5"/>
  <c r="P14" i="5"/>
  <c r="P13" i="5"/>
  <c r="P12" i="5"/>
  <c r="P11" i="5"/>
  <c r="P10" i="5"/>
  <c r="P9" i="5"/>
  <c r="Q9" i="5" s="1"/>
  <c r="P8" i="5"/>
  <c r="Q8" i="5" s="1"/>
  <c r="P7" i="5"/>
  <c r="E16" i="1"/>
  <c r="C26" i="1" a="1"/>
  <c r="C26" i="1" s="1"/>
  <c r="C25" i="1" a="1"/>
  <c r="C25" i="1" s="1"/>
  <c r="D24" i="1" a="1"/>
  <c r="D24" i="1" s="1"/>
  <c r="C24" i="1" a="1"/>
  <c r="C24" i="1" s="1"/>
  <c r="D27" i="1" a="1"/>
  <c r="D27" i="1" s="1"/>
  <c r="C27" i="1" a="1"/>
  <c r="C27" i="1" s="1"/>
  <c r="D26" i="1" a="1"/>
  <c r="D26" i="1" s="1"/>
  <c r="D25" i="1" a="1"/>
  <c r="D25" i="1" s="1"/>
  <c r="F40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C16" i="9"/>
  <c r="C15" i="9"/>
  <c r="C14" i="9"/>
  <c r="C13" i="9"/>
  <c r="C12" i="9"/>
  <c r="D11" i="9"/>
  <c r="C11" i="9"/>
  <c r="C10" i="9"/>
  <c r="C9" i="9"/>
  <c r="C8" i="9"/>
  <c r="C7" i="9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I26" i="6"/>
  <c r="B26" i="6"/>
  <c r="I25" i="6"/>
  <c r="B25" i="6"/>
  <c r="I24" i="6"/>
  <c r="B24" i="6"/>
  <c r="I23" i="6"/>
  <c r="B23" i="6"/>
  <c r="I22" i="6"/>
  <c r="B22" i="6"/>
  <c r="I21" i="6"/>
  <c r="B21" i="6"/>
  <c r="I20" i="6"/>
  <c r="B20" i="6"/>
  <c r="I19" i="6"/>
  <c r="B19" i="6"/>
  <c r="I18" i="6"/>
  <c r="B18" i="6"/>
  <c r="I17" i="6"/>
  <c r="B17" i="6"/>
  <c r="I16" i="6"/>
  <c r="B16" i="6"/>
  <c r="I15" i="6"/>
  <c r="B15" i="6"/>
  <c r="I14" i="6"/>
  <c r="B14" i="6"/>
  <c r="I13" i="6"/>
  <c r="B13" i="6"/>
  <c r="I12" i="6"/>
  <c r="B12" i="6"/>
  <c r="I11" i="6"/>
  <c r="B11" i="6"/>
  <c r="I10" i="6"/>
  <c r="B10" i="6"/>
  <c r="I9" i="6"/>
  <c r="B9" i="6"/>
  <c r="I8" i="6"/>
  <c r="B8" i="6"/>
  <c r="I7" i="6"/>
  <c r="B7" i="6"/>
  <c r="Q1000" i="5"/>
  <c r="Q999" i="5"/>
  <c r="Q998" i="5"/>
  <c r="Q997" i="5"/>
  <c r="Q996" i="5"/>
  <c r="Q995" i="5"/>
  <c r="Q994" i="5"/>
  <c r="Q993" i="5"/>
  <c r="Q992" i="5"/>
  <c r="Q991" i="5"/>
  <c r="Q990" i="5"/>
  <c r="Q989" i="5"/>
  <c r="Q988" i="5"/>
  <c r="Q987" i="5"/>
  <c r="Q986" i="5"/>
  <c r="Q985" i="5"/>
  <c r="Q984" i="5"/>
  <c r="Q983" i="5"/>
  <c r="Q982" i="5"/>
  <c r="Q981" i="5"/>
  <c r="Q980" i="5"/>
  <c r="Q979" i="5"/>
  <c r="Q978" i="5"/>
  <c r="Q977" i="5"/>
  <c r="Q976" i="5"/>
  <c r="Q975" i="5"/>
  <c r="Q974" i="5"/>
  <c r="Q973" i="5"/>
  <c r="Q972" i="5"/>
  <c r="Q971" i="5"/>
  <c r="Q970" i="5"/>
  <c r="Q969" i="5"/>
  <c r="Q968" i="5"/>
  <c r="Q967" i="5"/>
  <c r="Q966" i="5"/>
  <c r="Q965" i="5"/>
  <c r="Q964" i="5"/>
  <c r="Q963" i="5"/>
  <c r="Q962" i="5"/>
  <c r="Q961" i="5"/>
  <c r="Q960" i="5"/>
  <c r="Q959" i="5"/>
  <c r="Q958" i="5"/>
  <c r="Q957" i="5"/>
  <c r="Q956" i="5"/>
  <c r="Q955" i="5"/>
  <c r="Q954" i="5"/>
  <c r="Q953" i="5"/>
  <c r="Q952" i="5"/>
  <c r="Q951" i="5"/>
  <c r="Q950" i="5"/>
  <c r="Q949" i="5"/>
  <c r="Q948" i="5"/>
  <c r="Q947" i="5"/>
  <c r="Q946" i="5"/>
  <c r="Q945" i="5"/>
  <c r="Q944" i="5"/>
  <c r="Q943" i="5"/>
  <c r="Q942" i="5"/>
  <c r="Q941" i="5"/>
  <c r="Q940" i="5"/>
  <c r="Q939" i="5"/>
  <c r="Q938" i="5"/>
  <c r="Q937" i="5"/>
  <c r="Q936" i="5"/>
  <c r="Q935" i="5"/>
  <c r="Q934" i="5"/>
  <c r="Q933" i="5"/>
  <c r="Q932" i="5"/>
  <c r="Q931" i="5"/>
  <c r="Q930" i="5"/>
  <c r="Q929" i="5"/>
  <c r="Q928" i="5"/>
  <c r="Q927" i="5"/>
  <c r="Q926" i="5"/>
  <c r="Q925" i="5"/>
  <c r="Q924" i="5"/>
  <c r="Q923" i="5"/>
  <c r="Q922" i="5"/>
  <c r="Q921" i="5"/>
  <c r="Q920" i="5"/>
  <c r="Q919" i="5"/>
  <c r="Q918" i="5"/>
  <c r="Q917" i="5"/>
  <c r="Q916" i="5"/>
  <c r="Q915" i="5"/>
  <c r="Q914" i="5"/>
  <c r="Q913" i="5"/>
  <c r="Q912" i="5"/>
  <c r="Q911" i="5"/>
  <c r="Q910" i="5"/>
  <c r="Q909" i="5"/>
  <c r="Q908" i="5"/>
  <c r="Q907" i="5"/>
  <c r="Q906" i="5"/>
  <c r="Q905" i="5"/>
  <c r="Q904" i="5"/>
  <c r="Q903" i="5"/>
  <c r="Q902" i="5"/>
  <c r="Q901" i="5"/>
  <c r="Q900" i="5"/>
  <c r="Q899" i="5"/>
  <c r="Q898" i="5"/>
  <c r="Q897" i="5"/>
  <c r="Q896" i="5"/>
  <c r="Q895" i="5"/>
  <c r="Q894" i="5"/>
  <c r="Q893" i="5"/>
  <c r="Q892" i="5"/>
  <c r="Q891" i="5"/>
  <c r="Q890" i="5"/>
  <c r="Q889" i="5"/>
  <c r="Q888" i="5"/>
  <c r="Q887" i="5"/>
  <c r="Q886" i="5"/>
  <c r="Q885" i="5"/>
  <c r="Q884" i="5"/>
  <c r="Q883" i="5"/>
  <c r="Q882" i="5"/>
  <c r="Q881" i="5"/>
  <c r="Q880" i="5"/>
  <c r="Q879" i="5"/>
  <c r="Q878" i="5"/>
  <c r="Q877" i="5"/>
  <c r="Q876" i="5"/>
  <c r="Q875" i="5"/>
  <c r="Q874" i="5"/>
  <c r="Q873" i="5"/>
  <c r="Q872" i="5"/>
  <c r="Q871" i="5"/>
  <c r="Q870" i="5"/>
  <c r="Q869" i="5"/>
  <c r="Q868" i="5"/>
  <c r="Q867" i="5"/>
  <c r="Q866" i="5"/>
  <c r="Q865" i="5"/>
  <c r="Q864" i="5"/>
  <c r="Q863" i="5"/>
  <c r="Q862" i="5"/>
  <c r="Q861" i="5"/>
  <c r="Q860" i="5"/>
  <c r="Q859" i="5"/>
  <c r="Q858" i="5"/>
  <c r="Q857" i="5"/>
  <c r="Q856" i="5"/>
  <c r="Q855" i="5"/>
  <c r="Q854" i="5"/>
  <c r="Q853" i="5"/>
  <c r="Q852" i="5"/>
  <c r="Q851" i="5"/>
  <c r="Q850" i="5"/>
  <c r="Q849" i="5"/>
  <c r="Q848" i="5"/>
  <c r="Q847" i="5"/>
  <c r="Q846" i="5"/>
  <c r="Q845" i="5"/>
  <c r="Q844" i="5"/>
  <c r="Q843" i="5"/>
  <c r="Q842" i="5"/>
  <c r="Q841" i="5"/>
  <c r="Q840" i="5"/>
  <c r="Q839" i="5"/>
  <c r="Q838" i="5"/>
  <c r="Q837" i="5"/>
  <c r="Q836" i="5"/>
  <c r="Q835" i="5"/>
  <c r="Q834" i="5"/>
  <c r="Q833" i="5"/>
  <c r="Q832" i="5"/>
  <c r="Q831" i="5"/>
  <c r="Q830" i="5"/>
  <c r="Q829" i="5"/>
  <c r="Q828" i="5"/>
  <c r="Q827" i="5"/>
  <c r="Q826" i="5"/>
  <c r="Q825" i="5"/>
  <c r="Q824" i="5"/>
  <c r="Q823" i="5"/>
  <c r="Q822" i="5"/>
  <c r="Q821" i="5"/>
  <c r="Q820" i="5"/>
  <c r="Q819" i="5"/>
  <c r="Q818" i="5"/>
  <c r="Q817" i="5"/>
  <c r="Q816" i="5"/>
  <c r="Q815" i="5"/>
  <c r="Q814" i="5"/>
  <c r="Q813" i="5"/>
  <c r="Q812" i="5"/>
  <c r="Q811" i="5"/>
  <c r="Q810" i="5"/>
  <c r="Q809" i="5"/>
  <c r="Q808" i="5"/>
  <c r="Q807" i="5"/>
  <c r="Q806" i="5"/>
  <c r="Q805" i="5"/>
  <c r="Q804" i="5"/>
  <c r="Q803" i="5"/>
  <c r="Q802" i="5"/>
  <c r="Q801" i="5"/>
  <c r="Q800" i="5"/>
  <c r="Q799" i="5"/>
  <c r="Q798" i="5"/>
  <c r="Q797" i="5"/>
  <c r="Q796" i="5"/>
  <c r="Q795" i="5"/>
  <c r="Q794" i="5"/>
  <c r="Q793" i="5"/>
  <c r="Q792" i="5"/>
  <c r="Q791" i="5"/>
  <c r="Q790" i="5"/>
  <c r="Q789" i="5"/>
  <c r="Q788" i="5"/>
  <c r="Q787" i="5"/>
  <c r="Q786" i="5"/>
  <c r="Q785" i="5"/>
  <c r="Q784" i="5"/>
  <c r="Q783" i="5"/>
  <c r="Q782" i="5"/>
  <c r="Q781" i="5"/>
  <c r="Q780" i="5"/>
  <c r="Q779" i="5"/>
  <c r="Q778" i="5"/>
  <c r="Q777" i="5"/>
  <c r="Q776" i="5"/>
  <c r="Q775" i="5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R646" i="5"/>
  <c r="Q646" i="5"/>
  <c r="M646" i="5"/>
  <c r="K646" i="5"/>
  <c r="D646" i="5"/>
  <c r="C646" i="5"/>
  <c r="R645" i="5"/>
  <c r="Q645" i="5"/>
  <c r="M645" i="5"/>
  <c r="K645" i="5"/>
  <c r="D645" i="5"/>
  <c r="C645" i="5"/>
  <c r="R644" i="5"/>
  <c r="Q644" i="5"/>
  <c r="M644" i="5"/>
  <c r="K644" i="5"/>
  <c r="D644" i="5"/>
  <c r="C644" i="5"/>
  <c r="R643" i="5"/>
  <c r="Q643" i="5"/>
  <c r="M643" i="5"/>
  <c r="K643" i="5"/>
  <c r="D643" i="5"/>
  <c r="C643" i="5"/>
  <c r="R642" i="5"/>
  <c r="Q642" i="5"/>
  <c r="M642" i="5"/>
  <c r="K642" i="5"/>
  <c r="D642" i="5"/>
  <c r="C642" i="5"/>
  <c r="R641" i="5"/>
  <c r="Q641" i="5"/>
  <c r="M641" i="5"/>
  <c r="K641" i="5"/>
  <c r="D641" i="5"/>
  <c r="C641" i="5"/>
  <c r="R640" i="5"/>
  <c r="Q640" i="5"/>
  <c r="M640" i="5"/>
  <c r="K640" i="5"/>
  <c r="D640" i="5"/>
  <c r="C640" i="5"/>
  <c r="R639" i="5"/>
  <c r="Q639" i="5"/>
  <c r="M639" i="5"/>
  <c r="K639" i="5"/>
  <c r="D639" i="5"/>
  <c r="C639" i="5"/>
  <c r="R638" i="5"/>
  <c r="Q638" i="5"/>
  <c r="M638" i="5"/>
  <c r="K638" i="5"/>
  <c r="D638" i="5"/>
  <c r="C638" i="5"/>
  <c r="R637" i="5"/>
  <c r="Q637" i="5"/>
  <c r="M637" i="5"/>
  <c r="K637" i="5"/>
  <c r="D637" i="5"/>
  <c r="C637" i="5"/>
  <c r="R636" i="5"/>
  <c r="Q636" i="5"/>
  <c r="M636" i="5"/>
  <c r="K636" i="5"/>
  <c r="D636" i="5"/>
  <c r="C636" i="5"/>
  <c r="R635" i="5"/>
  <c r="Q635" i="5"/>
  <c r="M635" i="5"/>
  <c r="K635" i="5"/>
  <c r="D635" i="5"/>
  <c r="C635" i="5"/>
  <c r="R634" i="5"/>
  <c r="Q634" i="5"/>
  <c r="M634" i="5"/>
  <c r="K634" i="5"/>
  <c r="D634" i="5"/>
  <c r="C634" i="5"/>
  <c r="R633" i="5"/>
  <c r="Q633" i="5"/>
  <c r="M633" i="5"/>
  <c r="K633" i="5"/>
  <c r="D633" i="5"/>
  <c r="C633" i="5"/>
  <c r="R632" i="5"/>
  <c r="Q632" i="5"/>
  <c r="M632" i="5"/>
  <c r="K632" i="5"/>
  <c r="D632" i="5"/>
  <c r="C632" i="5"/>
  <c r="R631" i="5"/>
  <c r="Q631" i="5"/>
  <c r="M631" i="5"/>
  <c r="K631" i="5"/>
  <c r="D631" i="5"/>
  <c r="C631" i="5"/>
  <c r="R630" i="5"/>
  <c r="Q630" i="5"/>
  <c r="M630" i="5"/>
  <c r="K630" i="5"/>
  <c r="D630" i="5"/>
  <c r="C630" i="5"/>
  <c r="R629" i="5"/>
  <c r="Q629" i="5"/>
  <c r="M629" i="5"/>
  <c r="K629" i="5"/>
  <c r="D629" i="5"/>
  <c r="C629" i="5"/>
  <c r="R628" i="5"/>
  <c r="Q628" i="5"/>
  <c r="M628" i="5"/>
  <c r="K628" i="5"/>
  <c r="D628" i="5"/>
  <c r="C628" i="5"/>
  <c r="R627" i="5"/>
  <c r="Q627" i="5"/>
  <c r="M627" i="5"/>
  <c r="K627" i="5"/>
  <c r="D627" i="5"/>
  <c r="C627" i="5"/>
  <c r="R626" i="5"/>
  <c r="Q626" i="5"/>
  <c r="M626" i="5"/>
  <c r="K626" i="5"/>
  <c r="D626" i="5"/>
  <c r="C626" i="5"/>
  <c r="R625" i="5"/>
  <c r="Q625" i="5"/>
  <c r="M625" i="5"/>
  <c r="K625" i="5"/>
  <c r="D625" i="5"/>
  <c r="C625" i="5"/>
  <c r="R624" i="5"/>
  <c r="Q624" i="5"/>
  <c r="M624" i="5"/>
  <c r="K624" i="5"/>
  <c r="D624" i="5"/>
  <c r="C624" i="5"/>
  <c r="R623" i="5"/>
  <c r="Q623" i="5"/>
  <c r="M623" i="5"/>
  <c r="K623" i="5"/>
  <c r="D623" i="5"/>
  <c r="C623" i="5"/>
  <c r="R622" i="5"/>
  <c r="Q622" i="5"/>
  <c r="M622" i="5"/>
  <c r="K622" i="5"/>
  <c r="D622" i="5"/>
  <c r="C622" i="5"/>
  <c r="R621" i="5"/>
  <c r="Q621" i="5"/>
  <c r="M621" i="5"/>
  <c r="K621" i="5"/>
  <c r="D621" i="5"/>
  <c r="C621" i="5"/>
  <c r="R620" i="5"/>
  <c r="Q620" i="5"/>
  <c r="M620" i="5"/>
  <c r="K620" i="5"/>
  <c r="D620" i="5"/>
  <c r="C620" i="5"/>
  <c r="R619" i="5"/>
  <c r="Q619" i="5"/>
  <c r="M619" i="5"/>
  <c r="K619" i="5"/>
  <c r="D619" i="5"/>
  <c r="C619" i="5"/>
  <c r="R618" i="5"/>
  <c r="Q618" i="5"/>
  <c r="M618" i="5"/>
  <c r="K618" i="5"/>
  <c r="D618" i="5"/>
  <c r="C618" i="5"/>
  <c r="R617" i="5"/>
  <c r="Q617" i="5"/>
  <c r="M617" i="5"/>
  <c r="K617" i="5"/>
  <c r="D617" i="5"/>
  <c r="C617" i="5"/>
  <c r="R616" i="5"/>
  <c r="Q616" i="5"/>
  <c r="M616" i="5"/>
  <c r="K616" i="5"/>
  <c r="D616" i="5"/>
  <c r="C616" i="5"/>
  <c r="R615" i="5"/>
  <c r="Q615" i="5"/>
  <c r="M615" i="5"/>
  <c r="K615" i="5"/>
  <c r="D615" i="5"/>
  <c r="C615" i="5"/>
  <c r="R614" i="5"/>
  <c r="Q614" i="5"/>
  <c r="M614" i="5"/>
  <c r="K614" i="5"/>
  <c r="D614" i="5"/>
  <c r="C614" i="5"/>
  <c r="R613" i="5"/>
  <c r="Q613" i="5"/>
  <c r="M613" i="5"/>
  <c r="K613" i="5"/>
  <c r="D613" i="5"/>
  <c r="C613" i="5"/>
  <c r="R612" i="5"/>
  <c r="Q612" i="5"/>
  <c r="M612" i="5"/>
  <c r="K612" i="5"/>
  <c r="D612" i="5"/>
  <c r="C612" i="5"/>
  <c r="R611" i="5"/>
  <c r="Q611" i="5"/>
  <c r="M611" i="5"/>
  <c r="K611" i="5"/>
  <c r="D611" i="5"/>
  <c r="C611" i="5"/>
  <c r="R610" i="5"/>
  <c r="Q610" i="5"/>
  <c r="M610" i="5"/>
  <c r="K610" i="5"/>
  <c r="D610" i="5"/>
  <c r="C610" i="5"/>
  <c r="R609" i="5"/>
  <c r="Q609" i="5"/>
  <c r="M609" i="5"/>
  <c r="K609" i="5"/>
  <c r="D609" i="5"/>
  <c r="C609" i="5"/>
  <c r="R608" i="5"/>
  <c r="Q608" i="5"/>
  <c r="M608" i="5"/>
  <c r="K608" i="5"/>
  <c r="D608" i="5"/>
  <c r="C608" i="5"/>
  <c r="R607" i="5"/>
  <c r="Q607" i="5"/>
  <c r="M607" i="5"/>
  <c r="K607" i="5"/>
  <c r="D607" i="5"/>
  <c r="C607" i="5"/>
  <c r="R606" i="5"/>
  <c r="Q606" i="5"/>
  <c r="M606" i="5"/>
  <c r="K606" i="5"/>
  <c r="D606" i="5"/>
  <c r="C606" i="5"/>
  <c r="R605" i="5"/>
  <c r="Q605" i="5"/>
  <c r="M605" i="5"/>
  <c r="K605" i="5"/>
  <c r="D605" i="5"/>
  <c r="C605" i="5"/>
  <c r="R604" i="5"/>
  <c r="Q604" i="5"/>
  <c r="M604" i="5"/>
  <c r="K604" i="5"/>
  <c r="D604" i="5"/>
  <c r="C604" i="5"/>
  <c r="R603" i="5"/>
  <c r="Q603" i="5"/>
  <c r="M603" i="5"/>
  <c r="K603" i="5"/>
  <c r="D603" i="5"/>
  <c r="C603" i="5"/>
  <c r="R602" i="5"/>
  <c r="Q602" i="5"/>
  <c r="M602" i="5"/>
  <c r="K602" i="5"/>
  <c r="D602" i="5"/>
  <c r="C602" i="5"/>
  <c r="R601" i="5"/>
  <c r="Q601" i="5"/>
  <c r="M601" i="5"/>
  <c r="K601" i="5"/>
  <c r="D601" i="5"/>
  <c r="C601" i="5"/>
  <c r="R600" i="5"/>
  <c r="Q600" i="5"/>
  <c r="M600" i="5"/>
  <c r="K600" i="5"/>
  <c r="D600" i="5"/>
  <c r="C600" i="5"/>
  <c r="R599" i="5"/>
  <c r="Q599" i="5"/>
  <c r="M599" i="5"/>
  <c r="K599" i="5"/>
  <c r="D599" i="5"/>
  <c r="C599" i="5"/>
  <c r="R598" i="5"/>
  <c r="Q598" i="5"/>
  <c r="M598" i="5"/>
  <c r="K598" i="5"/>
  <c r="D598" i="5"/>
  <c r="C598" i="5"/>
  <c r="R597" i="5"/>
  <c r="Q597" i="5"/>
  <c r="M597" i="5"/>
  <c r="K597" i="5"/>
  <c r="D597" i="5"/>
  <c r="C597" i="5"/>
  <c r="R596" i="5"/>
  <c r="Q596" i="5"/>
  <c r="M596" i="5"/>
  <c r="K596" i="5"/>
  <c r="D596" i="5"/>
  <c r="C596" i="5"/>
  <c r="R595" i="5"/>
  <c r="Q595" i="5"/>
  <c r="M595" i="5"/>
  <c r="K595" i="5"/>
  <c r="D595" i="5"/>
  <c r="C595" i="5"/>
  <c r="R594" i="5"/>
  <c r="Q594" i="5"/>
  <c r="M594" i="5"/>
  <c r="K594" i="5"/>
  <c r="D594" i="5"/>
  <c r="C594" i="5"/>
  <c r="R593" i="5"/>
  <c r="Q593" i="5"/>
  <c r="M593" i="5"/>
  <c r="K593" i="5"/>
  <c r="D593" i="5"/>
  <c r="C593" i="5"/>
  <c r="R592" i="5"/>
  <c r="Q592" i="5"/>
  <c r="M592" i="5"/>
  <c r="K592" i="5"/>
  <c r="D592" i="5"/>
  <c r="C592" i="5"/>
  <c r="R591" i="5"/>
  <c r="Q591" i="5"/>
  <c r="M591" i="5"/>
  <c r="K591" i="5"/>
  <c r="D591" i="5"/>
  <c r="C591" i="5"/>
  <c r="R590" i="5"/>
  <c r="Q590" i="5"/>
  <c r="M590" i="5"/>
  <c r="K590" i="5"/>
  <c r="D590" i="5"/>
  <c r="C590" i="5"/>
  <c r="R589" i="5"/>
  <c r="Q589" i="5"/>
  <c r="M589" i="5"/>
  <c r="K589" i="5"/>
  <c r="D589" i="5"/>
  <c r="C589" i="5"/>
  <c r="R588" i="5"/>
  <c r="Q588" i="5"/>
  <c r="M588" i="5"/>
  <c r="K588" i="5"/>
  <c r="D588" i="5"/>
  <c r="C588" i="5"/>
  <c r="R587" i="5"/>
  <c r="Q587" i="5"/>
  <c r="M587" i="5"/>
  <c r="K587" i="5"/>
  <c r="D587" i="5"/>
  <c r="C587" i="5"/>
  <c r="R586" i="5"/>
  <c r="Q586" i="5"/>
  <c r="M586" i="5"/>
  <c r="K586" i="5"/>
  <c r="D586" i="5"/>
  <c r="C586" i="5"/>
  <c r="R585" i="5"/>
  <c r="Q585" i="5"/>
  <c r="M585" i="5"/>
  <c r="K585" i="5"/>
  <c r="D585" i="5"/>
  <c r="C585" i="5"/>
  <c r="R584" i="5"/>
  <c r="Q584" i="5"/>
  <c r="M584" i="5"/>
  <c r="K584" i="5"/>
  <c r="D584" i="5"/>
  <c r="C584" i="5"/>
  <c r="R583" i="5"/>
  <c r="Q583" i="5"/>
  <c r="M583" i="5"/>
  <c r="K583" i="5"/>
  <c r="D583" i="5"/>
  <c r="C583" i="5"/>
  <c r="R582" i="5"/>
  <c r="Q582" i="5"/>
  <c r="M582" i="5"/>
  <c r="K582" i="5"/>
  <c r="D582" i="5"/>
  <c r="C582" i="5"/>
  <c r="R581" i="5"/>
  <c r="Q581" i="5"/>
  <c r="M581" i="5"/>
  <c r="K581" i="5"/>
  <c r="D581" i="5"/>
  <c r="C581" i="5"/>
  <c r="R580" i="5"/>
  <c r="Q580" i="5"/>
  <c r="M580" i="5"/>
  <c r="K580" i="5"/>
  <c r="D580" i="5"/>
  <c r="C580" i="5"/>
  <c r="R579" i="5"/>
  <c r="Q579" i="5"/>
  <c r="M579" i="5"/>
  <c r="K579" i="5"/>
  <c r="D579" i="5"/>
  <c r="C579" i="5"/>
  <c r="R578" i="5"/>
  <c r="Q578" i="5"/>
  <c r="M578" i="5"/>
  <c r="K578" i="5"/>
  <c r="D578" i="5"/>
  <c r="C578" i="5"/>
  <c r="R577" i="5"/>
  <c r="Q577" i="5"/>
  <c r="M577" i="5"/>
  <c r="K577" i="5"/>
  <c r="D577" i="5"/>
  <c r="C577" i="5"/>
  <c r="R576" i="5"/>
  <c r="Q576" i="5"/>
  <c r="M576" i="5"/>
  <c r="K576" i="5"/>
  <c r="D576" i="5"/>
  <c r="C576" i="5"/>
  <c r="R575" i="5"/>
  <c r="Q575" i="5"/>
  <c r="M575" i="5"/>
  <c r="K575" i="5"/>
  <c r="D575" i="5"/>
  <c r="C575" i="5"/>
  <c r="R574" i="5"/>
  <c r="Q574" i="5"/>
  <c r="M574" i="5"/>
  <c r="K574" i="5"/>
  <c r="D574" i="5"/>
  <c r="C574" i="5"/>
  <c r="R573" i="5"/>
  <c r="Q573" i="5"/>
  <c r="M573" i="5"/>
  <c r="K573" i="5"/>
  <c r="D573" i="5"/>
  <c r="C573" i="5"/>
  <c r="R572" i="5"/>
  <c r="Q572" i="5"/>
  <c r="M572" i="5"/>
  <c r="K572" i="5"/>
  <c r="D572" i="5"/>
  <c r="C572" i="5"/>
  <c r="R571" i="5"/>
  <c r="Q571" i="5"/>
  <c r="M571" i="5"/>
  <c r="K571" i="5"/>
  <c r="D571" i="5"/>
  <c r="C571" i="5"/>
  <c r="R570" i="5"/>
  <c r="Q570" i="5"/>
  <c r="M570" i="5"/>
  <c r="K570" i="5"/>
  <c r="D570" i="5"/>
  <c r="C570" i="5"/>
  <c r="R569" i="5"/>
  <c r="Q569" i="5"/>
  <c r="M569" i="5"/>
  <c r="K569" i="5"/>
  <c r="D569" i="5"/>
  <c r="C569" i="5"/>
  <c r="R568" i="5"/>
  <c r="Q568" i="5"/>
  <c r="M568" i="5"/>
  <c r="K568" i="5"/>
  <c r="D568" i="5"/>
  <c r="C568" i="5"/>
  <c r="R567" i="5"/>
  <c r="Q567" i="5"/>
  <c r="M567" i="5"/>
  <c r="K567" i="5"/>
  <c r="D567" i="5"/>
  <c r="C567" i="5"/>
  <c r="R566" i="5"/>
  <c r="Q566" i="5"/>
  <c r="M566" i="5"/>
  <c r="K566" i="5"/>
  <c r="D566" i="5"/>
  <c r="C566" i="5"/>
  <c r="R565" i="5"/>
  <c r="Q565" i="5"/>
  <c r="M565" i="5"/>
  <c r="K565" i="5"/>
  <c r="D565" i="5"/>
  <c r="C565" i="5"/>
  <c r="R564" i="5"/>
  <c r="Q564" i="5"/>
  <c r="M564" i="5"/>
  <c r="K564" i="5"/>
  <c r="D564" i="5"/>
  <c r="C564" i="5"/>
  <c r="R563" i="5"/>
  <c r="Q563" i="5"/>
  <c r="M563" i="5"/>
  <c r="K563" i="5"/>
  <c r="D563" i="5"/>
  <c r="C563" i="5"/>
  <c r="R562" i="5"/>
  <c r="Q562" i="5"/>
  <c r="M562" i="5"/>
  <c r="K562" i="5"/>
  <c r="D562" i="5"/>
  <c r="C562" i="5"/>
  <c r="R561" i="5"/>
  <c r="Q561" i="5"/>
  <c r="M561" i="5"/>
  <c r="K561" i="5"/>
  <c r="D561" i="5"/>
  <c r="C561" i="5"/>
  <c r="R560" i="5"/>
  <c r="Q560" i="5"/>
  <c r="M560" i="5"/>
  <c r="K560" i="5"/>
  <c r="D560" i="5"/>
  <c r="C560" i="5"/>
  <c r="R559" i="5"/>
  <c r="Q559" i="5"/>
  <c r="M559" i="5"/>
  <c r="K559" i="5"/>
  <c r="D559" i="5"/>
  <c r="C559" i="5"/>
  <c r="R558" i="5"/>
  <c r="Q558" i="5"/>
  <c r="M558" i="5"/>
  <c r="K558" i="5"/>
  <c r="D558" i="5"/>
  <c r="C558" i="5"/>
  <c r="R557" i="5"/>
  <c r="Q557" i="5"/>
  <c r="M557" i="5"/>
  <c r="K557" i="5"/>
  <c r="D557" i="5"/>
  <c r="C557" i="5"/>
  <c r="R556" i="5"/>
  <c r="Q556" i="5"/>
  <c r="M556" i="5"/>
  <c r="K556" i="5"/>
  <c r="D556" i="5"/>
  <c r="C556" i="5"/>
  <c r="R555" i="5"/>
  <c r="Q555" i="5"/>
  <c r="M555" i="5"/>
  <c r="K555" i="5"/>
  <c r="D555" i="5"/>
  <c r="C555" i="5"/>
  <c r="R554" i="5"/>
  <c r="Q554" i="5"/>
  <c r="M554" i="5"/>
  <c r="K554" i="5"/>
  <c r="D554" i="5"/>
  <c r="C554" i="5"/>
  <c r="R553" i="5"/>
  <c r="Q553" i="5"/>
  <c r="M553" i="5"/>
  <c r="K553" i="5"/>
  <c r="D553" i="5"/>
  <c r="C553" i="5"/>
  <c r="R552" i="5"/>
  <c r="Q552" i="5"/>
  <c r="M552" i="5"/>
  <c r="K552" i="5"/>
  <c r="D552" i="5"/>
  <c r="C552" i="5"/>
  <c r="R551" i="5"/>
  <c r="Q551" i="5"/>
  <c r="M551" i="5"/>
  <c r="K551" i="5"/>
  <c r="D551" i="5"/>
  <c r="C551" i="5"/>
  <c r="R550" i="5"/>
  <c r="Q550" i="5"/>
  <c r="M550" i="5"/>
  <c r="K550" i="5"/>
  <c r="D550" i="5"/>
  <c r="C550" i="5"/>
  <c r="R549" i="5"/>
  <c r="Q549" i="5"/>
  <c r="M549" i="5"/>
  <c r="K549" i="5"/>
  <c r="D549" i="5"/>
  <c r="C549" i="5"/>
  <c r="R548" i="5"/>
  <c r="Q548" i="5"/>
  <c r="M548" i="5"/>
  <c r="K548" i="5"/>
  <c r="D548" i="5"/>
  <c r="C548" i="5"/>
  <c r="R547" i="5"/>
  <c r="Q547" i="5"/>
  <c r="M547" i="5"/>
  <c r="K547" i="5"/>
  <c r="D547" i="5"/>
  <c r="C547" i="5"/>
  <c r="R546" i="5"/>
  <c r="Q546" i="5"/>
  <c r="M546" i="5"/>
  <c r="K546" i="5"/>
  <c r="D546" i="5"/>
  <c r="C546" i="5"/>
  <c r="R545" i="5"/>
  <c r="Q545" i="5"/>
  <c r="M545" i="5"/>
  <c r="K545" i="5"/>
  <c r="D545" i="5"/>
  <c r="C545" i="5"/>
  <c r="R544" i="5"/>
  <c r="Q544" i="5"/>
  <c r="M544" i="5"/>
  <c r="K544" i="5"/>
  <c r="D544" i="5"/>
  <c r="C544" i="5"/>
  <c r="R543" i="5"/>
  <c r="Q543" i="5"/>
  <c r="M543" i="5"/>
  <c r="K543" i="5"/>
  <c r="D543" i="5"/>
  <c r="C543" i="5"/>
  <c r="R542" i="5"/>
  <c r="Q542" i="5"/>
  <c r="M542" i="5"/>
  <c r="K542" i="5"/>
  <c r="D542" i="5"/>
  <c r="C542" i="5"/>
  <c r="R541" i="5"/>
  <c r="Q541" i="5"/>
  <c r="M541" i="5"/>
  <c r="K541" i="5"/>
  <c r="D541" i="5"/>
  <c r="C541" i="5"/>
  <c r="R540" i="5"/>
  <c r="Q540" i="5"/>
  <c r="M540" i="5"/>
  <c r="K540" i="5"/>
  <c r="D540" i="5"/>
  <c r="C540" i="5"/>
  <c r="R539" i="5"/>
  <c r="Q539" i="5"/>
  <c r="M539" i="5"/>
  <c r="K539" i="5"/>
  <c r="D539" i="5"/>
  <c r="C539" i="5"/>
  <c r="R538" i="5"/>
  <c r="Q538" i="5"/>
  <c r="M538" i="5"/>
  <c r="K538" i="5"/>
  <c r="D538" i="5"/>
  <c r="C538" i="5"/>
  <c r="R537" i="5"/>
  <c r="Q537" i="5"/>
  <c r="M537" i="5"/>
  <c r="K537" i="5"/>
  <c r="D537" i="5"/>
  <c r="C537" i="5"/>
  <c r="R536" i="5"/>
  <c r="Q536" i="5"/>
  <c r="M536" i="5"/>
  <c r="K536" i="5"/>
  <c r="D536" i="5"/>
  <c r="C536" i="5"/>
  <c r="R535" i="5"/>
  <c r="Q535" i="5"/>
  <c r="M535" i="5"/>
  <c r="K535" i="5"/>
  <c r="D535" i="5"/>
  <c r="C535" i="5"/>
  <c r="R534" i="5"/>
  <c r="Q534" i="5"/>
  <c r="M534" i="5"/>
  <c r="K534" i="5"/>
  <c r="D534" i="5"/>
  <c r="C534" i="5"/>
  <c r="R533" i="5"/>
  <c r="Q533" i="5"/>
  <c r="M533" i="5"/>
  <c r="K533" i="5"/>
  <c r="D533" i="5"/>
  <c r="C533" i="5"/>
  <c r="R532" i="5"/>
  <c r="Q532" i="5"/>
  <c r="M532" i="5"/>
  <c r="K532" i="5"/>
  <c r="D532" i="5"/>
  <c r="C532" i="5"/>
  <c r="R531" i="5"/>
  <c r="Q531" i="5"/>
  <c r="M531" i="5"/>
  <c r="K531" i="5"/>
  <c r="D531" i="5"/>
  <c r="C531" i="5"/>
  <c r="R530" i="5"/>
  <c r="Q530" i="5"/>
  <c r="M530" i="5"/>
  <c r="K530" i="5"/>
  <c r="D530" i="5"/>
  <c r="C530" i="5"/>
  <c r="R529" i="5"/>
  <c r="Q529" i="5"/>
  <c r="M529" i="5"/>
  <c r="K529" i="5"/>
  <c r="D529" i="5"/>
  <c r="C529" i="5"/>
  <c r="R528" i="5"/>
  <c r="Q528" i="5"/>
  <c r="M528" i="5"/>
  <c r="K528" i="5"/>
  <c r="D528" i="5"/>
  <c r="C528" i="5"/>
  <c r="R527" i="5"/>
  <c r="Q527" i="5"/>
  <c r="M527" i="5"/>
  <c r="K527" i="5"/>
  <c r="D527" i="5"/>
  <c r="C527" i="5"/>
  <c r="R526" i="5"/>
  <c r="Q526" i="5"/>
  <c r="M526" i="5"/>
  <c r="K526" i="5"/>
  <c r="D526" i="5"/>
  <c r="C526" i="5"/>
  <c r="R525" i="5"/>
  <c r="Q525" i="5"/>
  <c r="M525" i="5"/>
  <c r="K525" i="5"/>
  <c r="D525" i="5"/>
  <c r="C525" i="5"/>
  <c r="R524" i="5"/>
  <c r="Q524" i="5"/>
  <c r="M524" i="5"/>
  <c r="K524" i="5"/>
  <c r="D524" i="5"/>
  <c r="C524" i="5"/>
  <c r="R523" i="5"/>
  <c r="Q523" i="5"/>
  <c r="M523" i="5"/>
  <c r="K523" i="5"/>
  <c r="D523" i="5"/>
  <c r="C523" i="5"/>
  <c r="R522" i="5"/>
  <c r="Q522" i="5"/>
  <c r="M522" i="5"/>
  <c r="K522" i="5"/>
  <c r="D522" i="5"/>
  <c r="C522" i="5"/>
  <c r="R521" i="5"/>
  <c r="Q521" i="5"/>
  <c r="M521" i="5"/>
  <c r="K521" i="5"/>
  <c r="D521" i="5"/>
  <c r="C521" i="5"/>
  <c r="R520" i="5"/>
  <c r="Q520" i="5"/>
  <c r="M520" i="5"/>
  <c r="K520" i="5"/>
  <c r="D520" i="5"/>
  <c r="C520" i="5"/>
  <c r="R519" i="5"/>
  <c r="Q519" i="5"/>
  <c r="M519" i="5"/>
  <c r="K519" i="5"/>
  <c r="D519" i="5"/>
  <c r="C519" i="5"/>
  <c r="R518" i="5"/>
  <c r="Q518" i="5"/>
  <c r="M518" i="5"/>
  <c r="K518" i="5"/>
  <c r="D518" i="5"/>
  <c r="C518" i="5"/>
  <c r="R517" i="5"/>
  <c r="Q517" i="5"/>
  <c r="M517" i="5"/>
  <c r="K517" i="5"/>
  <c r="D517" i="5"/>
  <c r="C517" i="5"/>
  <c r="R516" i="5"/>
  <c r="Q516" i="5"/>
  <c r="M516" i="5"/>
  <c r="K516" i="5"/>
  <c r="D516" i="5"/>
  <c r="C516" i="5"/>
  <c r="R515" i="5"/>
  <c r="Q515" i="5"/>
  <c r="M515" i="5"/>
  <c r="K515" i="5"/>
  <c r="D515" i="5"/>
  <c r="C515" i="5"/>
  <c r="R514" i="5"/>
  <c r="Q514" i="5"/>
  <c r="M514" i="5"/>
  <c r="K514" i="5"/>
  <c r="D514" i="5"/>
  <c r="C514" i="5"/>
  <c r="R513" i="5"/>
  <c r="Q513" i="5"/>
  <c r="M513" i="5"/>
  <c r="K513" i="5"/>
  <c r="D513" i="5"/>
  <c r="C513" i="5"/>
  <c r="R512" i="5"/>
  <c r="Q512" i="5"/>
  <c r="M512" i="5"/>
  <c r="K512" i="5"/>
  <c r="D512" i="5"/>
  <c r="C512" i="5"/>
  <c r="R511" i="5"/>
  <c r="Q511" i="5"/>
  <c r="M511" i="5"/>
  <c r="K511" i="5"/>
  <c r="D511" i="5"/>
  <c r="C511" i="5"/>
  <c r="R510" i="5"/>
  <c r="Q510" i="5"/>
  <c r="M510" i="5"/>
  <c r="K510" i="5"/>
  <c r="D510" i="5"/>
  <c r="C510" i="5"/>
  <c r="R509" i="5"/>
  <c r="Q509" i="5"/>
  <c r="M509" i="5"/>
  <c r="K509" i="5"/>
  <c r="D509" i="5"/>
  <c r="C509" i="5"/>
  <c r="R508" i="5"/>
  <c r="Q508" i="5"/>
  <c r="M508" i="5"/>
  <c r="K508" i="5"/>
  <c r="D508" i="5"/>
  <c r="C508" i="5"/>
  <c r="R507" i="5"/>
  <c r="Q507" i="5"/>
  <c r="M507" i="5"/>
  <c r="K507" i="5"/>
  <c r="D507" i="5"/>
  <c r="C507" i="5"/>
  <c r="R506" i="5"/>
  <c r="Q506" i="5"/>
  <c r="M506" i="5"/>
  <c r="K506" i="5"/>
  <c r="D506" i="5"/>
  <c r="C506" i="5"/>
  <c r="R505" i="5"/>
  <c r="Q505" i="5"/>
  <c r="M505" i="5"/>
  <c r="K505" i="5"/>
  <c r="D505" i="5"/>
  <c r="C505" i="5"/>
  <c r="R504" i="5"/>
  <c r="Q504" i="5"/>
  <c r="M504" i="5"/>
  <c r="K504" i="5"/>
  <c r="D504" i="5"/>
  <c r="C504" i="5"/>
  <c r="R503" i="5"/>
  <c r="Q503" i="5"/>
  <c r="M503" i="5"/>
  <c r="K503" i="5"/>
  <c r="D503" i="5"/>
  <c r="C503" i="5"/>
  <c r="R502" i="5"/>
  <c r="Q502" i="5"/>
  <c r="M502" i="5"/>
  <c r="K502" i="5"/>
  <c r="D502" i="5"/>
  <c r="C502" i="5"/>
  <c r="R501" i="5"/>
  <c r="Q501" i="5"/>
  <c r="M501" i="5"/>
  <c r="K501" i="5"/>
  <c r="D501" i="5"/>
  <c r="C501" i="5"/>
  <c r="R500" i="5"/>
  <c r="Q500" i="5"/>
  <c r="M500" i="5"/>
  <c r="K500" i="5"/>
  <c r="D500" i="5"/>
  <c r="C500" i="5"/>
  <c r="R499" i="5"/>
  <c r="Q499" i="5"/>
  <c r="M499" i="5"/>
  <c r="K499" i="5"/>
  <c r="D499" i="5"/>
  <c r="C499" i="5"/>
  <c r="R498" i="5"/>
  <c r="Q498" i="5"/>
  <c r="M498" i="5"/>
  <c r="K498" i="5"/>
  <c r="D498" i="5"/>
  <c r="C498" i="5"/>
  <c r="R497" i="5"/>
  <c r="Q497" i="5"/>
  <c r="M497" i="5"/>
  <c r="K497" i="5"/>
  <c r="D497" i="5"/>
  <c r="C497" i="5"/>
  <c r="R496" i="5"/>
  <c r="Q496" i="5"/>
  <c r="M496" i="5"/>
  <c r="K496" i="5"/>
  <c r="D496" i="5"/>
  <c r="C496" i="5"/>
  <c r="R495" i="5"/>
  <c r="Q495" i="5"/>
  <c r="M495" i="5"/>
  <c r="K495" i="5"/>
  <c r="D495" i="5"/>
  <c r="C495" i="5"/>
  <c r="R494" i="5"/>
  <c r="Q494" i="5"/>
  <c r="M494" i="5"/>
  <c r="K494" i="5"/>
  <c r="D494" i="5"/>
  <c r="C494" i="5"/>
  <c r="R493" i="5"/>
  <c r="Q493" i="5"/>
  <c r="M493" i="5"/>
  <c r="K493" i="5"/>
  <c r="D493" i="5"/>
  <c r="C493" i="5"/>
  <c r="R492" i="5"/>
  <c r="Q492" i="5"/>
  <c r="M492" i="5"/>
  <c r="K492" i="5"/>
  <c r="D492" i="5"/>
  <c r="C492" i="5"/>
  <c r="R491" i="5"/>
  <c r="Q491" i="5"/>
  <c r="M491" i="5"/>
  <c r="K491" i="5"/>
  <c r="D491" i="5"/>
  <c r="C491" i="5"/>
  <c r="R490" i="5"/>
  <c r="Q490" i="5"/>
  <c r="M490" i="5"/>
  <c r="K490" i="5"/>
  <c r="D490" i="5"/>
  <c r="C490" i="5"/>
  <c r="R489" i="5"/>
  <c r="Q489" i="5"/>
  <c r="M489" i="5"/>
  <c r="K489" i="5"/>
  <c r="D489" i="5"/>
  <c r="C489" i="5"/>
  <c r="R488" i="5"/>
  <c r="Q488" i="5"/>
  <c r="M488" i="5"/>
  <c r="K488" i="5"/>
  <c r="D488" i="5"/>
  <c r="C488" i="5"/>
  <c r="R487" i="5"/>
  <c r="Q487" i="5"/>
  <c r="M487" i="5"/>
  <c r="K487" i="5"/>
  <c r="D487" i="5"/>
  <c r="C487" i="5"/>
  <c r="R486" i="5"/>
  <c r="Q486" i="5"/>
  <c r="M486" i="5"/>
  <c r="K486" i="5"/>
  <c r="D486" i="5"/>
  <c r="C486" i="5"/>
  <c r="R485" i="5"/>
  <c r="Q485" i="5"/>
  <c r="M485" i="5"/>
  <c r="K485" i="5"/>
  <c r="D485" i="5"/>
  <c r="C485" i="5"/>
  <c r="R484" i="5"/>
  <c r="Q484" i="5"/>
  <c r="M484" i="5"/>
  <c r="K484" i="5"/>
  <c r="D484" i="5"/>
  <c r="C484" i="5"/>
  <c r="R483" i="5"/>
  <c r="Q483" i="5"/>
  <c r="M483" i="5"/>
  <c r="K483" i="5"/>
  <c r="D483" i="5"/>
  <c r="C483" i="5"/>
  <c r="R482" i="5"/>
  <c r="Q482" i="5"/>
  <c r="M482" i="5"/>
  <c r="K482" i="5"/>
  <c r="D482" i="5"/>
  <c r="C482" i="5"/>
  <c r="R481" i="5"/>
  <c r="Q481" i="5"/>
  <c r="M481" i="5"/>
  <c r="K481" i="5"/>
  <c r="D481" i="5"/>
  <c r="C481" i="5"/>
  <c r="R480" i="5"/>
  <c r="Q480" i="5"/>
  <c r="M480" i="5"/>
  <c r="K480" i="5"/>
  <c r="D480" i="5"/>
  <c r="C480" i="5"/>
  <c r="R479" i="5"/>
  <c r="Q479" i="5"/>
  <c r="M479" i="5"/>
  <c r="K479" i="5"/>
  <c r="D479" i="5"/>
  <c r="C479" i="5"/>
  <c r="R478" i="5"/>
  <c r="Q478" i="5"/>
  <c r="M478" i="5"/>
  <c r="K478" i="5"/>
  <c r="D478" i="5"/>
  <c r="C478" i="5"/>
  <c r="R477" i="5"/>
  <c r="Q477" i="5"/>
  <c r="M477" i="5"/>
  <c r="K477" i="5"/>
  <c r="D477" i="5"/>
  <c r="C477" i="5"/>
  <c r="R476" i="5"/>
  <c r="Q476" i="5"/>
  <c r="M476" i="5"/>
  <c r="K476" i="5"/>
  <c r="D476" i="5"/>
  <c r="C476" i="5"/>
  <c r="R475" i="5"/>
  <c r="Q475" i="5"/>
  <c r="M475" i="5"/>
  <c r="K475" i="5"/>
  <c r="D475" i="5"/>
  <c r="C475" i="5"/>
  <c r="R474" i="5"/>
  <c r="Q474" i="5"/>
  <c r="M474" i="5"/>
  <c r="K474" i="5"/>
  <c r="D474" i="5"/>
  <c r="C474" i="5"/>
  <c r="R473" i="5"/>
  <c r="Q473" i="5"/>
  <c r="M473" i="5"/>
  <c r="K473" i="5"/>
  <c r="D473" i="5"/>
  <c r="C473" i="5"/>
  <c r="R472" i="5"/>
  <c r="Q472" i="5"/>
  <c r="M472" i="5"/>
  <c r="K472" i="5"/>
  <c r="D472" i="5"/>
  <c r="C472" i="5"/>
  <c r="R471" i="5"/>
  <c r="Q471" i="5"/>
  <c r="M471" i="5"/>
  <c r="K471" i="5"/>
  <c r="D471" i="5"/>
  <c r="C471" i="5"/>
  <c r="R470" i="5"/>
  <c r="Q470" i="5"/>
  <c r="M470" i="5"/>
  <c r="K470" i="5"/>
  <c r="D470" i="5"/>
  <c r="C470" i="5"/>
  <c r="R469" i="5"/>
  <c r="Q469" i="5"/>
  <c r="M469" i="5"/>
  <c r="K469" i="5"/>
  <c r="D469" i="5"/>
  <c r="C469" i="5"/>
  <c r="R468" i="5"/>
  <c r="Q468" i="5"/>
  <c r="M468" i="5"/>
  <c r="K468" i="5"/>
  <c r="D468" i="5"/>
  <c r="C468" i="5"/>
  <c r="R467" i="5"/>
  <c r="Q467" i="5"/>
  <c r="M467" i="5"/>
  <c r="K467" i="5"/>
  <c r="D467" i="5"/>
  <c r="C467" i="5"/>
  <c r="R466" i="5"/>
  <c r="Q466" i="5"/>
  <c r="M466" i="5"/>
  <c r="K466" i="5"/>
  <c r="D466" i="5"/>
  <c r="C466" i="5"/>
  <c r="R465" i="5"/>
  <c r="Q465" i="5"/>
  <c r="M465" i="5"/>
  <c r="K465" i="5"/>
  <c r="D465" i="5"/>
  <c r="C465" i="5"/>
  <c r="R464" i="5"/>
  <c r="Q464" i="5"/>
  <c r="M464" i="5"/>
  <c r="K464" i="5"/>
  <c r="D464" i="5"/>
  <c r="C464" i="5"/>
  <c r="R463" i="5"/>
  <c r="Q463" i="5"/>
  <c r="M463" i="5"/>
  <c r="K463" i="5"/>
  <c r="D463" i="5"/>
  <c r="C463" i="5"/>
  <c r="R462" i="5"/>
  <c r="Q462" i="5"/>
  <c r="M462" i="5"/>
  <c r="K462" i="5"/>
  <c r="D462" i="5"/>
  <c r="C462" i="5"/>
  <c r="R461" i="5"/>
  <c r="Q461" i="5"/>
  <c r="M461" i="5"/>
  <c r="K461" i="5"/>
  <c r="D461" i="5"/>
  <c r="C461" i="5"/>
  <c r="R460" i="5"/>
  <c r="Q460" i="5"/>
  <c r="M460" i="5"/>
  <c r="K460" i="5"/>
  <c r="D460" i="5"/>
  <c r="C460" i="5"/>
  <c r="R459" i="5"/>
  <c r="Q459" i="5"/>
  <c r="M459" i="5"/>
  <c r="K459" i="5"/>
  <c r="D459" i="5"/>
  <c r="C459" i="5"/>
  <c r="R458" i="5"/>
  <c r="Q458" i="5"/>
  <c r="M458" i="5"/>
  <c r="K458" i="5"/>
  <c r="D458" i="5"/>
  <c r="C458" i="5"/>
  <c r="R457" i="5"/>
  <c r="Q457" i="5"/>
  <c r="M457" i="5"/>
  <c r="K457" i="5"/>
  <c r="D457" i="5"/>
  <c r="C457" i="5"/>
  <c r="R456" i="5"/>
  <c r="Q456" i="5"/>
  <c r="M456" i="5"/>
  <c r="K456" i="5"/>
  <c r="D456" i="5"/>
  <c r="C456" i="5"/>
  <c r="R455" i="5"/>
  <c r="Q455" i="5"/>
  <c r="M455" i="5"/>
  <c r="K455" i="5"/>
  <c r="D455" i="5"/>
  <c r="C455" i="5"/>
  <c r="R454" i="5"/>
  <c r="Q454" i="5"/>
  <c r="M454" i="5"/>
  <c r="K454" i="5"/>
  <c r="D454" i="5"/>
  <c r="C454" i="5"/>
  <c r="R453" i="5"/>
  <c r="Q453" i="5"/>
  <c r="M453" i="5"/>
  <c r="K453" i="5"/>
  <c r="D453" i="5"/>
  <c r="C453" i="5"/>
  <c r="R452" i="5"/>
  <c r="Q452" i="5"/>
  <c r="M452" i="5"/>
  <c r="K452" i="5"/>
  <c r="D452" i="5"/>
  <c r="C452" i="5"/>
  <c r="R451" i="5"/>
  <c r="Q451" i="5"/>
  <c r="M451" i="5"/>
  <c r="K451" i="5"/>
  <c r="D451" i="5"/>
  <c r="C451" i="5"/>
  <c r="R450" i="5"/>
  <c r="Q450" i="5"/>
  <c r="M450" i="5"/>
  <c r="K450" i="5"/>
  <c r="D450" i="5"/>
  <c r="C450" i="5"/>
  <c r="R449" i="5"/>
  <c r="Q449" i="5"/>
  <c r="M449" i="5"/>
  <c r="K449" i="5"/>
  <c r="D449" i="5"/>
  <c r="C449" i="5"/>
  <c r="R448" i="5"/>
  <c r="Q448" i="5"/>
  <c r="M448" i="5"/>
  <c r="K448" i="5"/>
  <c r="D448" i="5"/>
  <c r="C448" i="5"/>
  <c r="R447" i="5"/>
  <c r="Q447" i="5"/>
  <c r="M447" i="5"/>
  <c r="K447" i="5"/>
  <c r="D447" i="5"/>
  <c r="C447" i="5"/>
  <c r="R446" i="5"/>
  <c r="Q446" i="5"/>
  <c r="M446" i="5"/>
  <c r="K446" i="5"/>
  <c r="D446" i="5"/>
  <c r="C446" i="5"/>
  <c r="R445" i="5"/>
  <c r="Q445" i="5"/>
  <c r="M445" i="5"/>
  <c r="K445" i="5"/>
  <c r="D445" i="5"/>
  <c r="C445" i="5"/>
  <c r="R444" i="5"/>
  <c r="Q444" i="5"/>
  <c r="M444" i="5"/>
  <c r="K444" i="5"/>
  <c r="D444" i="5"/>
  <c r="C444" i="5"/>
  <c r="R443" i="5"/>
  <c r="Q443" i="5"/>
  <c r="M443" i="5"/>
  <c r="K443" i="5"/>
  <c r="D443" i="5"/>
  <c r="C443" i="5"/>
  <c r="R442" i="5"/>
  <c r="Q442" i="5"/>
  <c r="M442" i="5"/>
  <c r="K442" i="5"/>
  <c r="D442" i="5"/>
  <c r="C442" i="5"/>
  <c r="R441" i="5"/>
  <c r="Q441" i="5"/>
  <c r="M441" i="5"/>
  <c r="K441" i="5"/>
  <c r="D441" i="5"/>
  <c r="C441" i="5"/>
  <c r="R440" i="5"/>
  <c r="Q440" i="5"/>
  <c r="M440" i="5"/>
  <c r="K440" i="5"/>
  <c r="D440" i="5"/>
  <c r="C440" i="5"/>
  <c r="R439" i="5"/>
  <c r="Q439" i="5"/>
  <c r="M439" i="5"/>
  <c r="K439" i="5"/>
  <c r="D439" i="5"/>
  <c r="C439" i="5"/>
  <c r="R438" i="5"/>
  <c r="Q438" i="5"/>
  <c r="M438" i="5"/>
  <c r="K438" i="5"/>
  <c r="D438" i="5"/>
  <c r="C438" i="5"/>
  <c r="R437" i="5"/>
  <c r="Q437" i="5"/>
  <c r="M437" i="5"/>
  <c r="K437" i="5"/>
  <c r="D437" i="5"/>
  <c r="C437" i="5"/>
  <c r="R436" i="5"/>
  <c r="Q436" i="5"/>
  <c r="M436" i="5"/>
  <c r="K436" i="5"/>
  <c r="D436" i="5"/>
  <c r="C436" i="5"/>
  <c r="R435" i="5"/>
  <c r="Q435" i="5"/>
  <c r="M435" i="5"/>
  <c r="K435" i="5"/>
  <c r="D435" i="5"/>
  <c r="C435" i="5"/>
  <c r="R434" i="5"/>
  <c r="Q434" i="5"/>
  <c r="M434" i="5"/>
  <c r="K434" i="5"/>
  <c r="D434" i="5"/>
  <c r="C434" i="5"/>
  <c r="R433" i="5"/>
  <c r="Q433" i="5"/>
  <c r="M433" i="5"/>
  <c r="K433" i="5"/>
  <c r="D433" i="5"/>
  <c r="C433" i="5"/>
  <c r="R432" i="5"/>
  <c r="Q432" i="5"/>
  <c r="M432" i="5"/>
  <c r="K432" i="5"/>
  <c r="D432" i="5"/>
  <c r="C432" i="5"/>
  <c r="R431" i="5"/>
  <c r="Q431" i="5"/>
  <c r="M431" i="5"/>
  <c r="K431" i="5"/>
  <c r="D431" i="5"/>
  <c r="C431" i="5"/>
  <c r="R430" i="5"/>
  <c r="Q430" i="5"/>
  <c r="M430" i="5"/>
  <c r="K430" i="5"/>
  <c r="D430" i="5"/>
  <c r="C430" i="5"/>
  <c r="R429" i="5"/>
  <c r="Q429" i="5"/>
  <c r="M429" i="5"/>
  <c r="K429" i="5"/>
  <c r="D429" i="5"/>
  <c r="C429" i="5"/>
  <c r="R428" i="5"/>
  <c r="Q428" i="5"/>
  <c r="M428" i="5"/>
  <c r="K428" i="5"/>
  <c r="D428" i="5"/>
  <c r="C428" i="5"/>
  <c r="R427" i="5"/>
  <c r="Q427" i="5"/>
  <c r="M427" i="5"/>
  <c r="K427" i="5"/>
  <c r="D427" i="5"/>
  <c r="C427" i="5"/>
  <c r="R426" i="5"/>
  <c r="Q426" i="5"/>
  <c r="M426" i="5"/>
  <c r="K426" i="5"/>
  <c r="D426" i="5"/>
  <c r="C426" i="5"/>
  <c r="R425" i="5"/>
  <c r="Q425" i="5"/>
  <c r="M425" i="5"/>
  <c r="K425" i="5"/>
  <c r="D425" i="5"/>
  <c r="C425" i="5"/>
  <c r="R424" i="5"/>
  <c r="Q424" i="5"/>
  <c r="M424" i="5"/>
  <c r="K424" i="5"/>
  <c r="D424" i="5"/>
  <c r="C424" i="5"/>
  <c r="R423" i="5"/>
  <c r="Q423" i="5"/>
  <c r="M423" i="5"/>
  <c r="K423" i="5"/>
  <c r="D423" i="5"/>
  <c r="C423" i="5"/>
  <c r="R422" i="5"/>
  <c r="Q422" i="5"/>
  <c r="M422" i="5"/>
  <c r="K422" i="5"/>
  <c r="D422" i="5"/>
  <c r="C422" i="5"/>
  <c r="R421" i="5"/>
  <c r="Q421" i="5"/>
  <c r="M421" i="5"/>
  <c r="K421" i="5"/>
  <c r="D421" i="5"/>
  <c r="C421" i="5"/>
  <c r="R420" i="5"/>
  <c r="Q420" i="5"/>
  <c r="M420" i="5"/>
  <c r="K420" i="5"/>
  <c r="D420" i="5"/>
  <c r="C420" i="5"/>
  <c r="R419" i="5"/>
  <c r="Q419" i="5"/>
  <c r="M419" i="5"/>
  <c r="K419" i="5"/>
  <c r="D419" i="5"/>
  <c r="C419" i="5"/>
  <c r="R418" i="5"/>
  <c r="Q418" i="5"/>
  <c r="M418" i="5"/>
  <c r="K418" i="5"/>
  <c r="D418" i="5"/>
  <c r="C418" i="5"/>
  <c r="R417" i="5"/>
  <c r="Q417" i="5"/>
  <c r="M417" i="5"/>
  <c r="K417" i="5"/>
  <c r="D417" i="5"/>
  <c r="C417" i="5"/>
  <c r="R416" i="5"/>
  <c r="Q416" i="5"/>
  <c r="M416" i="5"/>
  <c r="K416" i="5"/>
  <c r="D416" i="5"/>
  <c r="C416" i="5"/>
  <c r="R415" i="5"/>
  <c r="Q415" i="5"/>
  <c r="M415" i="5"/>
  <c r="K415" i="5"/>
  <c r="D415" i="5"/>
  <c r="C415" i="5"/>
  <c r="R414" i="5"/>
  <c r="Q414" i="5"/>
  <c r="M414" i="5"/>
  <c r="K414" i="5"/>
  <c r="D414" i="5"/>
  <c r="C414" i="5"/>
  <c r="R413" i="5"/>
  <c r="Q413" i="5"/>
  <c r="M413" i="5"/>
  <c r="K413" i="5"/>
  <c r="D413" i="5"/>
  <c r="C413" i="5"/>
  <c r="R412" i="5"/>
  <c r="Q412" i="5"/>
  <c r="M412" i="5"/>
  <c r="K412" i="5"/>
  <c r="D412" i="5"/>
  <c r="C412" i="5"/>
  <c r="R411" i="5"/>
  <c r="Q411" i="5"/>
  <c r="M411" i="5"/>
  <c r="K411" i="5"/>
  <c r="D411" i="5"/>
  <c r="C411" i="5"/>
  <c r="R410" i="5"/>
  <c r="Q410" i="5"/>
  <c r="M410" i="5"/>
  <c r="K410" i="5"/>
  <c r="D410" i="5"/>
  <c r="C410" i="5"/>
  <c r="R409" i="5"/>
  <c r="Q409" i="5"/>
  <c r="M409" i="5"/>
  <c r="K409" i="5"/>
  <c r="D409" i="5"/>
  <c r="C409" i="5"/>
  <c r="R408" i="5"/>
  <c r="Q408" i="5"/>
  <c r="M408" i="5"/>
  <c r="K408" i="5"/>
  <c r="D408" i="5"/>
  <c r="C408" i="5"/>
  <c r="R407" i="5"/>
  <c r="Q407" i="5"/>
  <c r="M407" i="5"/>
  <c r="K407" i="5"/>
  <c r="D407" i="5"/>
  <c r="C407" i="5"/>
  <c r="R406" i="5"/>
  <c r="Q406" i="5"/>
  <c r="M406" i="5"/>
  <c r="K406" i="5"/>
  <c r="D406" i="5"/>
  <c r="C406" i="5"/>
  <c r="R405" i="5"/>
  <c r="Q405" i="5"/>
  <c r="M405" i="5"/>
  <c r="K405" i="5"/>
  <c r="D405" i="5"/>
  <c r="C405" i="5"/>
  <c r="R404" i="5"/>
  <c r="Q404" i="5"/>
  <c r="M404" i="5"/>
  <c r="K404" i="5"/>
  <c r="D404" i="5"/>
  <c r="C404" i="5"/>
  <c r="R403" i="5"/>
  <c r="Q403" i="5"/>
  <c r="M403" i="5"/>
  <c r="K403" i="5"/>
  <c r="D403" i="5"/>
  <c r="C403" i="5"/>
  <c r="R402" i="5"/>
  <c r="Q402" i="5"/>
  <c r="M402" i="5"/>
  <c r="K402" i="5"/>
  <c r="D402" i="5"/>
  <c r="C402" i="5"/>
  <c r="R401" i="5"/>
  <c r="Q401" i="5"/>
  <c r="M401" i="5"/>
  <c r="K401" i="5"/>
  <c r="D401" i="5"/>
  <c r="C401" i="5"/>
  <c r="R400" i="5"/>
  <c r="Q400" i="5"/>
  <c r="M400" i="5"/>
  <c r="K400" i="5"/>
  <c r="D400" i="5"/>
  <c r="C400" i="5"/>
  <c r="R399" i="5"/>
  <c r="Q399" i="5"/>
  <c r="M399" i="5"/>
  <c r="K399" i="5"/>
  <c r="D399" i="5"/>
  <c r="C399" i="5"/>
  <c r="R398" i="5"/>
  <c r="Q398" i="5"/>
  <c r="M398" i="5"/>
  <c r="K398" i="5"/>
  <c r="D398" i="5"/>
  <c r="C398" i="5"/>
  <c r="R397" i="5"/>
  <c r="Q397" i="5"/>
  <c r="M397" i="5"/>
  <c r="K397" i="5"/>
  <c r="D397" i="5"/>
  <c r="C397" i="5"/>
  <c r="R396" i="5"/>
  <c r="Q396" i="5"/>
  <c r="M396" i="5"/>
  <c r="K396" i="5"/>
  <c r="D396" i="5"/>
  <c r="C396" i="5"/>
  <c r="R395" i="5"/>
  <c r="Q395" i="5"/>
  <c r="M395" i="5"/>
  <c r="K395" i="5"/>
  <c r="D395" i="5"/>
  <c r="C395" i="5"/>
  <c r="R394" i="5"/>
  <c r="Q394" i="5"/>
  <c r="M394" i="5"/>
  <c r="K394" i="5"/>
  <c r="D394" i="5"/>
  <c r="C394" i="5"/>
  <c r="R393" i="5"/>
  <c r="Q393" i="5"/>
  <c r="M393" i="5"/>
  <c r="K393" i="5"/>
  <c r="D393" i="5"/>
  <c r="C393" i="5"/>
  <c r="R392" i="5"/>
  <c r="Q392" i="5"/>
  <c r="M392" i="5"/>
  <c r="K392" i="5"/>
  <c r="D392" i="5"/>
  <c r="C392" i="5"/>
  <c r="R391" i="5"/>
  <c r="Q391" i="5"/>
  <c r="M391" i="5"/>
  <c r="K391" i="5"/>
  <c r="D391" i="5"/>
  <c r="C391" i="5"/>
  <c r="R390" i="5"/>
  <c r="Q390" i="5"/>
  <c r="M390" i="5"/>
  <c r="K390" i="5"/>
  <c r="D390" i="5"/>
  <c r="C390" i="5"/>
  <c r="R389" i="5"/>
  <c r="Q389" i="5"/>
  <c r="M389" i="5"/>
  <c r="K389" i="5"/>
  <c r="D389" i="5"/>
  <c r="C389" i="5"/>
  <c r="R388" i="5"/>
  <c r="Q388" i="5"/>
  <c r="M388" i="5"/>
  <c r="K388" i="5"/>
  <c r="D388" i="5"/>
  <c r="C388" i="5"/>
  <c r="R387" i="5"/>
  <c r="Q387" i="5"/>
  <c r="M387" i="5"/>
  <c r="K387" i="5"/>
  <c r="D387" i="5"/>
  <c r="C387" i="5"/>
  <c r="R386" i="5"/>
  <c r="Q386" i="5"/>
  <c r="M386" i="5"/>
  <c r="K386" i="5"/>
  <c r="D386" i="5"/>
  <c r="C386" i="5"/>
  <c r="R385" i="5"/>
  <c r="Q385" i="5"/>
  <c r="M385" i="5"/>
  <c r="K385" i="5"/>
  <c r="D385" i="5"/>
  <c r="C385" i="5"/>
  <c r="R384" i="5"/>
  <c r="Q384" i="5"/>
  <c r="M384" i="5"/>
  <c r="K384" i="5"/>
  <c r="D384" i="5"/>
  <c r="C384" i="5"/>
  <c r="R383" i="5"/>
  <c r="Q383" i="5"/>
  <c r="M383" i="5"/>
  <c r="K383" i="5"/>
  <c r="D383" i="5"/>
  <c r="C383" i="5"/>
  <c r="R382" i="5"/>
  <c r="Q382" i="5"/>
  <c r="M382" i="5"/>
  <c r="K382" i="5"/>
  <c r="D382" i="5"/>
  <c r="C382" i="5"/>
  <c r="R381" i="5"/>
  <c r="Q381" i="5"/>
  <c r="M381" i="5"/>
  <c r="K381" i="5"/>
  <c r="D381" i="5"/>
  <c r="C381" i="5"/>
  <c r="R380" i="5"/>
  <c r="Q380" i="5"/>
  <c r="M380" i="5"/>
  <c r="K380" i="5"/>
  <c r="D380" i="5"/>
  <c r="C380" i="5"/>
  <c r="R379" i="5"/>
  <c r="Q379" i="5"/>
  <c r="M379" i="5"/>
  <c r="K379" i="5"/>
  <c r="D379" i="5"/>
  <c r="C379" i="5"/>
  <c r="R378" i="5"/>
  <c r="Q378" i="5"/>
  <c r="M378" i="5"/>
  <c r="K378" i="5"/>
  <c r="D378" i="5"/>
  <c r="C378" i="5"/>
  <c r="R377" i="5"/>
  <c r="Q377" i="5"/>
  <c r="M377" i="5"/>
  <c r="K377" i="5"/>
  <c r="D377" i="5"/>
  <c r="C377" i="5"/>
  <c r="R376" i="5"/>
  <c r="Q376" i="5"/>
  <c r="M376" i="5"/>
  <c r="K376" i="5"/>
  <c r="D376" i="5"/>
  <c r="C376" i="5"/>
  <c r="R375" i="5"/>
  <c r="Q375" i="5"/>
  <c r="M375" i="5"/>
  <c r="K375" i="5"/>
  <c r="D375" i="5"/>
  <c r="C375" i="5"/>
  <c r="R374" i="5"/>
  <c r="Q374" i="5"/>
  <c r="M374" i="5"/>
  <c r="K374" i="5"/>
  <c r="D374" i="5"/>
  <c r="C374" i="5"/>
  <c r="R373" i="5"/>
  <c r="Q373" i="5"/>
  <c r="M373" i="5"/>
  <c r="K373" i="5"/>
  <c r="D373" i="5"/>
  <c r="C373" i="5"/>
  <c r="R372" i="5"/>
  <c r="Q372" i="5"/>
  <c r="M372" i="5"/>
  <c r="K372" i="5"/>
  <c r="D372" i="5"/>
  <c r="C372" i="5"/>
  <c r="R371" i="5"/>
  <c r="Q371" i="5"/>
  <c r="M371" i="5"/>
  <c r="K371" i="5"/>
  <c r="D371" i="5"/>
  <c r="C371" i="5"/>
  <c r="R370" i="5"/>
  <c r="Q370" i="5"/>
  <c r="M370" i="5"/>
  <c r="K370" i="5"/>
  <c r="D370" i="5"/>
  <c r="C370" i="5"/>
  <c r="R369" i="5"/>
  <c r="Q369" i="5"/>
  <c r="M369" i="5"/>
  <c r="K369" i="5"/>
  <c r="D369" i="5"/>
  <c r="C369" i="5"/>
  <c r="R368" i="5"/>
  <c r="Q368" i="5"/>
  <c r="M368" i="5"/>
  <c r="K368" i="5"/>
  <c r="D368" i="5"/>
  <c r="C368" i="5"/>
  <c r="R367" i="5"/>
  <c r="Q367" i="5"/>
  <c r="M367" i="5"/>
  <c r="K367" i="5"/>
  <c r="D367" i="5"/>
  <c r="C367" i="5"/>
  <c r="R366" i="5"/>
  <c r="Q366" i="5"/>
  <c r="M366" i="5"/>
  <c r="K366" i="5"/>
  <c r="D366" i="5"/>
  <c r="C366" i="5"/>
  <c r="R365" i="5"/>
  <c r="Q365" i="5"/>
  <c r="M365" i="5"/>
  <c r="K365" i="5"/>
  <c r="D365" i="5"/>
  <c r="C365" i="5"/>
  <c r="R364" i="5"/>
  <c r="Q364" i="5"/>
  <c r="M364" i="5"/>
  <c r="K364" i="5"/>
  <c r="D364" i="5"/>
  <c r="C364" i="5"/>
  <c r="R363" i="5"/>
  <c r="Q363" i="5"/>
  <c r="M363" i="5"/>
  <c r="K363" i="5"/>
  <c r="D363" i="5"/>
  <c r="C363" i="5"/>
  <c r="R362" i="5"/>
  <c r="Q362" i="5"/>
  <c r="M362" i="5"/>
  <c r="K362" i="5"/>
  <c r="D362" i="5"/>
  <c r="C362" i="5"/>
  <c r="R361" i="5"/>
  <c r="Q361" i="5"/>
  <c r="M361" i="5"/>
  <c r="K361" i="5"/>
  <c r="D361" i="5"/>
  <c r="C361" i="5"/>
  <c r="R360" i="5"/>
  <c r="Q360" i="5"/>
  <c r="M360" i="5"/>
  <c r="K360" i="5"/>
  <c r="D360" i="5"/>
  <c r="C360" i="5"/>
  <c r="R359" i="5"/>
  <c r="Q359" i="5"/>
  <c r="M359" i="5"/>
  <c r="K359" i="5"/>
  <c r="D359" i="5"/>
  <c r="C359" i="5"/>
  <c r="R358" i="5"/>
  <c r="Q358" i="5"/>
  <c r="M358" i="5"/>
  <c r="K358" i="5"/>
  <c r="D358" i="5"/>
  <c r="C358" i="5"/>
  <c r="R357" i="5"/>
  <c r="Q357" i="5"/>
  <c r="M357" i="5"/>
  <c r="K357" i="5"/>
  <c r="D357" i="5"/>
  <c r="C357" i="5"/>
  <c r="R356" i="5"/>
  <c r="Q356" i="5"/>
  <c r="M356" i="5"/>
  <c r="K356" i="5"/>
  <c r="D356" i="5"/>
  <c r="C356" i="5"/>
  <c r="R355" i="5"/>
  <c r="Q355" i="5"/>
  <c r="M355" i="5"/>
  <c r="K355" i="5"/>
  <c r="D355" i="5"/>
  <c r="C355" i="5"/>
  <c r="R354" i="5"/>
  <c r="Q354" i="5"/>
  <c r="M354" i="5"/>
  <c r="K354" i="5"/>
  <c r="D354" i="5"/>
  <c r="C354" i="5"/>
  <c r="R353" i="5"/>
  <c r="Q353" i="5"/>
  <c r="M353" i="5"/>
  <c r="K353" i="5"/>
  <c r="D353" i="5"/>
  <c r="C353" i="5"/>
  <c r="R352" i="5"/>
  <c r="Q352" i="5"/>
  <c r="M352" i="5"/>
  <c r="K352" i="5"/>
  <c r="D352" i="5"/>
  <c r="C352" i="5"/>
  <c r="R351" i="5"/>
  <c r="Q351" i="5"/>
  <c r="M351" i="5"/>
  <c r="K351" i="5"/>
  <c r="D351" i="5"/>
  <c r="C351" i="5"/>
  <c r="R350" i="5"/>
  <c r="Q350" i="5"/>
  <c r="M350" i="5"/>
  <c r="K350" i="5"/>
  <c r="D350" i="5"/>
  <c r="C350" i="5"/>
  <c r="R349" i="5"/>
  <c r="Q349" i="5"/>
  <c r="M349" i="5"/>
  <c r="K349" i="5"/>
  <c r="D349" i="5"/>
  <c r="C349" i="5"/>
  <c r="R348" i="5"/>
  <c r="Q348" i="5"/>
  <c r="M348" i="5"/>
  <c r="K348" i="5"/>
  <c r="D348" i="5"/>
  <c r="C348" i="5"/>
  <c r="R347" i="5"/>
  <c r="Q347" i="5"/>
  <c r="M347" i="5"/>
  <c r="K347" i="5"/>
  <c r="D347" i="5"/>
  <c r="C347" i="5"/>
  <c r="R346" i="5"/>
  <c r="Q346" i="5"/>
  <c r="M346" i="5"/>
  <c r="K346" i="5"/>
  <c r="D346" i="5"/>
  <c r="C346" i="5"/>
  <c r="R345" i="5"/>
  <c r="Q345" i="5"/>
  <c r="M345" i="5"/>
  <c r="K345" i="5"/>
  <c r="D345" i="5"/>
  <c r="C345" i="5"/>
  <c r="R344" i="5"/>
  <c r="Q344" i="5"/>
  <c r="M344" i="5"/>
  <c r="K344" i="5"/>
  <c r="D344" i="5"/>
  <c r="C344" i="5"/>
  <c r="R343" i="5"/>
  <c r="Q343" i="5"/>
  <c r="M343" i="5"/>
  <c r="K343" i="5"/>
  <c r="D343" i="5"/>
  <c r="C343" i="5"/>
  <c r="R342" i="5"/>
  <c r="Q342" i="5"/>
  <c r="M342" i="5"/>
  <c r="K342" i="5"/>
  <c r="D342" i="5"/>
  <c r="C342" i="5"/>
  <c r="R341" i="5"/>
  <c r="Q341" i="5"/>
  <c r="M341" i="5"/>
  <c r="K341" i="5"/>
  <c r="D341" i="5"/>
  <c r="C341" i="5"/>
  <c r="R340" i="5"/>
  <c r="Q340" i="5"/>
  <c r="M340" i="5"/>
  <c r="K340" i="5"/>
  <c r="D340" i="5"/>
  <c r="C340" i="5"/>
  <c r="R339" i="5"/>
  <c r="Q339" i="5"/>
  <c r="M339" i="5"/>
  <c r="K339" i="5"/>
  <c r="D339" i="5"/>
  <c r="C339" i="5"/>
  <c r="R338" i="5"/>
  <c r="Q338" i="5"/>
  <c r="M338" i="5"/>
  <c r="K338" i="5"/>
  <c r="D338" i="5"/>
  <c r="C338" i="5"/>
  <c r="R337" i="5"/>
  <c r="M337" i="5"/>
  <c r="K337" i="5"/>
  <c r="D337" i="5"/>
  <c r="C337" i="5"/>
  <c r="R336" i="5"/>
  <c r="Q336" i="5"/>
  <c r="M336" i="5"/>
  <c r="K336" i="5"/>
  <c r="D336" i="5"/>
  <c r="C336" i="5"/>
  <c r="R335" i="5"/>
  <c r="Q335" i="5"/>
  <c r="M335" i="5"/>
  <c r="K335" i="5"/>
  <c r="D335" i="5"/>
  <c r="C335" i="5"/>
  <c r="R334" i="5"/>
  <c r="Q334" i="5"/>
  <c r="M334" i="5"/>
  <c r="K334" i="5"/>
  <c r="D334" i="5"/>
  <c r="C334" i="5"/>
  <c r="R333" i="5"/>
  <c r="Q333" i="5"/>
  <c r="M333" i="5"/>
  <c r="K333" i="5"/>
  <c r="D333" i="5"/>
  <c r="C333" i="5"/>
  <c r="R332" i="5"/>
  <c r="Q332" i="5"/>
  <c r="M332" i="5"/>
  <c r="K332" i="5"/>
  <c r="D332" i="5"/>
  <c r="C332" i="5"/>
  <c r="R331" i="5"/>
  <c r="Q331" i="5"/>
  <c r="M331" i="5"/>
  <c r="K331" i="5"/>
  <c r="D331" i="5"/>
  <c r="C331" i="5"/>
  <c r="R330" i="5"/>
  <c r="Q330" i="5"/>
  <c r="M330" i="5"/>
  <c r="K330" i="5"/>
  <c r="D330" i="5"/>
  <c r="C330" i="5"/>
  <c r="R329" i="5"/>
  <c r="M329" i="5"/>
  <c r="K329" i="5"/>
  <c r="D329" i="5"/>
  <c r="C329" i="5"/>
  <c r="R328" i="5"/>
  <c r="Q328" i="5"/>
  <c r="M328" i="5"/>
  <c r="K328" i="5"/>
  <c r="D328" i="5"/>
  <c r="C328" i="5"/>
  <c r="R327" i="5"/>
  <c r="Q327" i="5"/>
  <c r="M327" i="5"/>
  <c r="K327" i="5"/>
  <c r="D327" i="5"/>
  <c r="C327" i="5"/>
  <c r="R326" i="5"/>
  <c r="Q326" i="5"/>
  <c r="M326" i="5"/>
  <c r="K326" i="5"/>
  <c r="D326" i="5"/>
  <c r="C326" i="5"/>
  <c r="R325" i="5"/>
  <c r="Q325" i="5"/>
  <c r="M325" i="5"/>
  <c r="K325" i="5"/>
  <c r="D325" i="5"/>
  <c r="C325" i="5"/>
  <c r="R324" i="5"/>
  <c r="Q324" i="5"/>
  <c r="M324" i="5"/>
  <c r="K324" i="5"/>
  <c r="D324" i="5"/>
  <c r="C324" i="5"/>
  <c r="R323" i="5"/>
  <c r="Q323" i="5"/>
  <c r="M323" i="5"/>
  <c r="K323" i="5"/>
  <c r="D323" i="5"/>
  <c r="C323" i="5"/>
  <c r="R322" i="5"/>
  <c r="Q322" i="5"/>
  <c r="M322" i="5"/>
  <c r="K322" i="5"/>
  <c r="D322" i="5"/>
  <c r="C322" i="5"/>
  <c r="R321" i="5"/>
  <c r="M321" i="5"/>
  <c r="K321" i="5"/>
  <c r="D321" i="5"/>
  <c r="C321" i="5"/>
  <c r="R320" i="5"/>
  <c r="Q320" i="5"/>
  <c r="M320" i="5"/>
  <c r="K320" i="5"/>
  <c r="D320" i="5"/>
  <c r="C320" i="5"/>
  <c r="R319" i="5"/>
  <c r="Q319" i="5"/>
  <c r="M319" i="5"/>
  <c r="K319" i="5"/>
  <c r="D319" i="5"/>
  <c r="C319" i="5"/>
  <c r="R318" i="5"/>
  <c r="Q318" i="5"/>
  <c r="M318" i="5"/>
  <c r="K318" i="5"/>
  <c r="D318" i="5"/>
  <c r="C318" i="5"/>
  <c r="R317" i="5"/>
  <c r="Q317" i="5"/>
  <c r="M317" i="5"/>
  <c r="K317" i="5"/>
  <c r="D317" i="5"/>
  <c r="C317" i="5"/>
  <c r="R316" i="5"/>
  <c r="Q316" i="5"/>
  <c r="M316" i="5"/>
  <c r="K316" i="5"/>
  <c r="D316" i="5"/>
  <c r="C316" i="5"/>
  <c r="R315" i="5"/>
  <c r="Q315" i="5"/>
  <c r="M315" i="5"/>
  <c r="K315" i="5"/>
  <c r="D315" i="5"/>
  <c r="C315" i="5"/>
  <c r="R314" i="5"/>
  <c r="Q314" i="5"/>
  <c r="M314" i="5"/>
  <c r="K314" i="5"/>
  <c r="D314" i="5"/>
  <c r="C314" i="5"/>
  <c r="R313" i="5"/>
  <c r="M313" i="5"/>
  <c r="K313" i="5"/>
  <c r="D313" i="5"/>
  <c r="C313" i="5"/>
  <c r="R312" i="5"/>
  <c r="Q312" i="5"/>
  <c r="M312" i="5"/>
  <c r="K312" i="5"/>
  <c r="D312" i="5"/>
  <c r="C312" i="5"/>
  <c r="R311" i="5"/>
  <c r="Q311" i="5"/>
  <c r="M311" i="5"/>
  <c r="K311" i="5"/>
  <c r="D311" i="5"/>
  <c r="C311" i="5"/>
  <c r="R310" i="5"/>
  <c r="Q310" i="5"/>
  <c r="M310" i="5"/>
  <c r="K310" i="5"/>
  <c r="D310" i="5"/>
  <c r="C310" i="5"/>
  <c r="R309" i="5"/>
  <c r="Q309" i="5"/>
  <c r="M309" i="5"/>
  <c r="K309" i="5"/>
  <c r="D309" i="5"/>
  <c r="C309" i="5"/>
  <c r="R308" i="5"/>
  <c r="Q308" i="5"/>
  <c r="M308" i="5"/>
  <c r="K308" i="5"/>
  <c r="D308" i="5"/>
  <c r="C308" i="5"/>
  <c r="R307" i="5"/>
  <c r="Q307" i="5"/>
  <c r="M307" i="5"/>
  <c r="K307" i="5"/>
  <c r="D307" i="5"/>
  <c r="C307" i="5"/>
  <c r="R306" i="5"/>
  <c r="Q306" i="5"/>
  <c r="M306" i="5"/>
  <c r="K306" i="5"/>
  <c r="D306" i="5"/>
  <c r="C306" i="5"/>
  <c r="R305" i="5"/>
  <c r="M305" i="5"/>
  <c r="K305" i="5"/>
  <c r="D305" i="5"/>
  <c r="C305" i="5"/>
  <c r="R304" i="5"/>
  <c r="Q304" i="5"/>
  <c r="M304" i="5"/>
  <c r="K304" i="5"/>
  <c r="D304" i="5"/>
  <c r="C304" i="5"/>
  <c r="R303" i="5"/>
  <c r="Q303" i="5"/>
  <c r="M303" i="5"/>
  <c r="K303" i="5"/>
  <c r="D303" i="5"/>
  <c r="C303" i="5"/>
  <c r="R302" i="5"/>
  <c r="Q302" i="5"/>
  <c r="M302" i="5"/>
  <c r="K302" i="5"/>
  <c r="D302" i="5"/>
  <c r="C302" i="5"/>
  <c r="R301" i="5"/>
  <c r="Q301" i="5"/>
  <c r="M301" i="5"/>
  <c r="K301" i="5"/>
  <c r="D301" i="5"/>
  <c r="C301" i="5"/>
  <c r="R300" i="5"/>
  <c r="Q300" i="5"/>
  <c r="M300" i="5"/>
  <c r="K300" i="5"/>
  <c r="D300" i="5"/>
  <c r="C300" i="5"/>
  <c r="R299" i="5"/>
  <c r="Q299" i="5"/>
  <c r="M299" i="5"/>
  <c r="K299" i="5"/>
  <c r="D299" i="5"/>
  <c r="C299" i="5"/>
  <c r="R298" i="5"/>
  <c r="Q298" i="5"/>
  <c r="M298" i="5"/>
  <c r="K298" i="5"/>
  <c r="D298" i="5"/>
  <c r="C298" i="5"/>
  <c r="R297" i="5"/>
  <c r="M297" i="5"/>
  <c r="K297" i="5"/>
  <c r="D297" i="5"/>
  <c r="C297" i="5"/>
  <c r="R296" i="5"/>
  <c r="Q296" i="5"/>
  <c r="M296" i="5"/>
  <c r="K296" i="5"/>
  <c r="D296" i="5"/>
  <c r="C296" i="5"/>
  <c r="R295" i="5"/>
  <c r="Q295" i="5"/>
  <c r="M295" i="5"/>
  <c r="K295" i="5"/>
  <c r="D295" i="5"/>
  <c r="C295" i="5"/>
  <c r="R294" i="5"/>
  <c r="Q294" i="5"/>
  <c r="M294" i="5"/>
  <c r="K294" i="5"/>
  <c r="D294" i="5"/>
  <c r="C294" i="5"/>
  <c r="R293" i="5"/>
  <c r="Q293" i="5"/>
  <c r="M293" i="5"/>
  <c r="K293" i="5"/>
  <c r="D293" i="5"/>
  <c r="C293" i="5"/>
  <c r="R292" i="5"/>
  <c r="Q292" i="5"/>
  <c r="M292" i="5"/>
  <c r="K292" i="5"/>
  <c r="D292" i="5"/>
  <c r="C292" i="5"/>
  <c r="R291" i="5"/>
  <c r="Q291" i="5"/>
  <c r="M291" i="5"/>
  <c r="K291" i="5"/>
  <c r="D291" i="5"/>
  <c r="C291" i="5"/>
  <c r="R290" i="5"/>
  <c r="Q290" i="5"/>
  <c r="M290" i="5"/>
  <c r="K290" i="5"/>
  <c r="D290" i="5"/>
  <c r="C290" i="5"/>
  <c r="R289" i="5"/>
  <c r="M289" i="5"/>
  <c r="K289" i="5"/>
  <c r="D289" i="5"/>
  <c r="C289" i="5"/>
  <c r="R288" i="5"/>
  <c r="Q288" i="5"/>
  <c r="M288" i="5"/>
  <c r="K288" i="5"/>
  <c r="D288" i="5"/>
  <c r="C288" i="5"/>
  <c r="R287" i="5"/>
  <c r="Q287" i="5"/>
  <c r="M287" i="5"/>
  <c r="K287" i="5"/>
  <c r="D287" i="5"/>
  <c r="C287" i="5"/>
  <c r="R286" i="5"/>
  <c r="Q286" i="5"/>
  <c r="M286" i="5"/>
  <c r="K286" i="5"/>
  <c r="D286" i="5"/>
  <c r="C286" i="5"/>
  <c r="R285" i="5"/>
  <c r="Q285" i="5"/>
  <c r="M285" i="5"/>
  <c r="K285" i="5"/>
  <c r="D285" i="5"/>
  <c r="C285" i="5"/>
  <c r="R284" i="5"/>
  <c r="Q284" i="5"/>
  <c r="M284" i="5"/>
  <c r="K284" i="5"/>
  <c r="D284" i="5"/>
  <c r="C284" i="5"/>
  <c r="R283" i="5"/>
  <c r="Q283" i="5"/>
  <c r="M283" i="5"/>
  <c r="K283" i="5"/>
  <c r="D283" i="5"/>
  <c r="C283" i="5"/>
  <c r="R282" i="5"/>
  <c r="M282" i="5"/>
  <c r="K282" i="5"/>
  <c r="D282" i="5"/>
  <c r="C282" i="5"/>
  <c r="R281" i="5"/>
  <c r="M281" i="5"/>
  <c r="K281" i="5"/>
  <c r="D281" i="5"/>
  <c r="C281" i="5"/>
  <c r="R280" i="5"/>
  <c r="Q280" i="5"/>
  <c r="M280" i="5"/>
  <c r="K280" i="5"/>
  <c r="D280" i="5"/>
  <c r="C280" i="5"/>
  <c r="R279" i="5"/>
  <c r="Q279" i="5"/>
  <c r="M279" i="5"/>
  <c r="K279" i="5"/>
  <c r="D279" i="5"/>
  <c r="C279" i="5"/>
  <c r="R278" i="5"/>
  <c r="Q278" i="5"/>
  <c r="M278" i="5"/>
  <c r="K278" i="5"/>
  <c r="D278" i="5"/>
  <c r="C278" i="5"/>
  <c r="R277" i="5"/>
  <c r="Q277" i="5"/>
  <c r="M277" i="5"/>
  <c r="K277" i="5"/>
  <c r="D277" i="5"/>
  <c r="C277" i="5"/>
  <c r="R276" i="5"/>
  <c r="Q276" i="5"/>
  <c r="M276" i="5"/>
  <c r="K276" i="5"/>
  <c r="D276" i="5"/>
  <c r="C276" i="5"/>
  <c r="R275" i="5"/>
  <c r="M275" i="5"/>
  <c r="K275" i="5"/>
  <c r="D275" i="5"/>
  <c r="C275" i="5"/>
  <c r="R274" i="5"/>
  <c r="Q274" i="5"/>
  <c r="M274" i="5"/>
  <c r="K274" i="5"/>
  <c r="D274" i="5"/>
  <c r="C274" i="5"/>
  <c r="R273" i="5"/>
  <c r="M273" i="5"/>
  <c r="K273" i="5"/>
  <c r="D273" i="5"/>
  <c r="C273" i="5"/>
  <c r="R272" i="5"/>
  <c r="Q272" i="5"/>
  <c r="M272" i="5"/>
  <c r="K272" i="5"/>
  <c r="D272" i="5"/>
  <c r="C272" i="5"/>
  <c r="R271" i="5"/>
  <c r="Q271" i="5"/>
  <c r="M271" i="5"/>
  <c r="K271" i="5"/>
  <c r="D271" i="5"/>
  <c r="C271" i="5"/>
  <c r="R270" i="5"/>
  <c r="Q270" i="5"/>
  <c r="M270" i="5"/>
  <c r="K270" i="5"/>
  <c r="D270" i="5"/>
  <c r="C270" i="5"/>
  <c r="R269" i="5"/>
  <c r="Q269" i="5"/>
  <c r="M269" i="5"/>
  <c r="K269" i="5"/>
  <c r="D269" i="5"/>
  <c r="C269" i="5"/>
  <c r="R268" i="5"/>
  <c r="Q268" i="5"/>
  <c r="M268" i="5"/>
  <c r="K268" i="5"/>
  <c r="D268" i="5"/>
  <c r="C268" i="5"/>
  <c r="R267" i="5"/>
  <c r="M267" i="5"/>
  <c r="K267" i="5"/>
  <c r="D267" i="5"/>
  <c r="C267" i="5"/>
  <c r="R266" i="5"/>
  <c r="M266" i="5"/>
  <c r="K266" i="5"/>
  <c r="D266" i="5"/>
  <c r="C266" i="5"/>
  <c r="R265" i="5"/>
  <c r="M265" i="5"/>
  <c r="K265" i="5"/>
  <c r="D265" i="5"/>
  <c r="C265" i="5"/>
  <c r="R264" i="5"/>
  <c r="Q264" i="5"/>
  <c r="M264" i="5"/>
  <c r="K264" i="5"/>
  <c r="D264" i="5"/>
  <c r="C264" i="5"/>
  <c r="R263" i="5"/>
  <c r="Q263" i="5"/>
  <c r="M263" i="5"/>
  <c r="K263" i="5"/>
  <c r="D263" i="5"/>
  <c r="C263" i="5"/>
  <c r="R262" i="5"/>
  <c r="Q262" i="5"/>
  <c r="M262" i="5"/>
  <c r="K262" i="5"/>
  <c r="D262" i="5"/>
  <c r="C262" i="5"/>
  <c r="R261" i="5"/>
  <c r="Q261" i="5"/>
  <c r="M261" i="5"/>
  <c r="K261" i="5"/>
  <c r="D261" i="5"/>
  <c r="C261" i="5"/>
  <c r="R260" i="5"/>
  <c r="Q260" i="5"/>
  <c r="M260" i="5"/>
  <c r="K260" i="5"/>
  <c r="D260" i="5"/>
  <c r="C260" i="5"/>
  <c r="R259" i="5"/>
  <c r="M259" i="5"/>
  <c r="K259" i="5"/>
  <c r="D259" i="5"/>
  <c r="C259" i="5"/>
  <c r="R258" i="5"/>
  <c r="M258" i="5"/>
  <c r="K258" i="5"/>
  <c r="D258" i="5"/>
  <c r="C258" i="5"/>
  <c r="R257" i="5"/>
  <c r="M257" i="5"/>
  <c r="K257" i="5"/>
  <c r="D257" i="5"/>
  <c r="C257" i="5"/>
  <c r="R256" i="5"/>
  <c r="Q256" i="5"/>
  <c r="M256" i="5"/>
  <c r="K256" i="5"/>
  <c r="D256" i="5"/>
  <c r="C256" i="5"/>
  <c r="R255" i="5"/>
  <c r="Q255" i="5"/>
  <c r="M255" i="5"/>
  <c r="K255" i="5"/>
  <c r="D255" i="5"/>
  <c r="C255" i="5"/>
  <c r="R254" i="5"/>
  <c r="Q254" i="5"/>
  <c r="M254" i="5"/>
  <c r="K254" i="5"/>
  <c r="D254" i="5"/>
  <c r="C254" i="5"/>
  <c r="R253" i="5"/>
  <c r="Q253" i="5"/>
  <c r="M253" i="5"/>
  <c r="K253" i="5"/>
  <c r="D253" i="5"/>
  <c r="C253" i="5"/>
  <c r="R252" i="5"/>
  <c r="Q252" i="5"/>
  <c r="M252" i="5"/>
  <c r="K252" i="5"/>
  <c r="D252" i="5"/>
  <c r="C252" i="5"/>
  <c r="R251" i="5"/>
  <c r="M251" i="5"/>
  <c r="K251" i="5"/>
  <c r="D251" i="5"/>
  <c r="C251" i="5"/>
  <c r="R250" i="5"/>
  <c r="M250" i="5"/>
  <c r="K250" i="5"/>
  <c r="D250" i="5"/>
  <c r="C250" i="5"/>
  <c r="R249" i="5"/>
  <c r="M249" i="5"/>
  <c r="K249" i="5"/>
  <c r="D249" i="5"/>
  <c r="C249" i="5"/>
  <c r="R248" i="5"/>
  <c r="Q248" i="5"/>
  <c r="M248" i="5"/>
  <c r="K248" i="5"/>
  <c r="D248" i="5"/>
  <c r="C248" i="5"/>
  <c r="R247" i="5"/>
  <c r="Q247" i="5"/>
  <c r="M247" i="5"/>
  <c r="K247" i="5"/>
  <c r="D247" i="5"/>
  <c r="C247" i="5"/>
  <c r="R246" i="5"/>
  <c r="Q246" i="5"/>
  <c r="M246" i="5"/>
  <c r="K246" i="5"/>
  <c r="D246" i="5"/>
  <c r="C246" i="5"/>
  <c r="R245" i="5"/>
  <c r="Q245" i="5"/>
  <c r="M245" i="5"/>
  <c r="K245" i="5"/>
  <c r="D245" i="5"/>
  <c r="C245" i="5"/>
  <c r="R244" i="5"/>
  <c r="Q244" i="5"/>
  <c r="M244" i="5"/>
  <c r="K244" i="5"/>
  <c r="D244" i="5"/>
  <c r="C244" i="5"/>
  <c r="R243" i="5"/>
  <c r="M243" i="5"/>
  <c r="K243" i="5"/>
  <c r="D243" i="5"/>
  <c r="C243" i="5"/>
  <c r="R242" i="5"/>
  <c r="M242" i="5"/>
  <c r="K242" i="5"/>
  <c r="D242" i="5"/>
  <c r="C242" i="5"/>
  <c r="R241" i="5"/>
  <c r="M241" i="5"/>
  <c r="K241" i="5"/>
  <c r="D241" i="5"/>
  <c r="C241" i="5"/>
  <c r="R240" i="5"/>
  <c r="Q240" i="5"/>
  <c r="M240" i="5"/>
  <c r="K240" i="5"/>
  <c r="D240" i="5"/>
  <c r="C240" i="5"/>
  <c r="R239" i="5"/>
  <c r="Q239" i="5"/>
  <c r="M239" i="5"/>
  <c r="K239" i="5"/>
  <c r="D239" i="5"/>
  <c r="C239" i="5"/>
  <c r="R238" i="5"/>
  <c r="Q238" i="5"/>
  <c r="M238" i="5"/>
  <c r="K238" i="5"/>
  <c r="D238" i="5"/>
  <c r="C238" i="5"/>
  <c r="R237" i="5"/>
  <c r="Q237" i="5"/>
  <c r="M237" i="5"/>
  <c r="K237" i="5"/>
  <c r="D237" i="5"/>
  <c r="C237" i="5"/>
  <c r="R236" i="5"/>
  <c r="Q236" i="5"/>
  <c r="M236" i="5"/>
  <c r="K236" i="5"/>
  <c r="D236" i="5"/>
  <c r="C236" i="5"/>
  <c r="R235" i="5"/>
  <c r="M235" i="5"/>
  <c r="K235" i="5"/>
  <c r="D235" i="5"/>
  <c r="C235" i="5"/>
  <c r="R234" i="5"/>
  <c r="M234" i="5"/>
  <c r="K234" i="5"/>
  <c r="D234" i="5"/>
  <c r="C234" i="5"/>
  <c r="R233" i="5"/>
  <c r="M233" i="5"/>
  <c r="K233" i="5"/>
  <c r="D233" i="5"/>
  <c r="C233" i="5"/>
  <c r="R232" i="5"/>
  <c r="Q232" i="5"/>
  <c r="M232" i="5"/>
  <c r="K232" i="5"/>
  <c r="D232" i="5"/>
  <c r="C232" i="5"/>
  <c r="R231" i="5"/>
  <c r="Q231" i="5"/>
  <c r="M231" i="5"/>
  <c r="K231" i="5"/>
  <c r="D231" i="5"/>
  <c r="C231" i="5"/>
  <c r="R230" i="5"/>
  <c r="Q230" i="5"/>
  <c r="M230" i="5"/>
  <c r="K230" i="5"/>
  <c r="D230" i="5"/>
  <c r="C230" i="5"/>
  <c r="R229" i="5"/>
  <c r="Q229" i="5"/>
  <c r="M229" i="5"/>
  <c r="K229" i="5"/>
  <c r="D229" i="5"/>
  <c r="C229" i="5"/>
  <c r="R228" i="5"/>
  <c r="Q228" i="5"/>
  <c r="M228" i="5"/>
  <c r="K228" i="5"/>
  <c r="D228" i="5"/>
  <c r="C228" i="5"/>
  <c r="R227" i="5"/>
  <c r="M227" i="5"/>
  <c r="K227" i="5"/>
  <c r="D227" i="5"/>
  <c r="C227" i="5"/>
  <c r="R226" i="5"/>
  <c r="M226" i="5"/>
  <c r="K226" i="5"/>
  <c r="D226" i="5"/>
  <c r="C226" i="5"/>
  <c r="R225" i="5"/>
  <c r="M225" i="5"/>
  <c r="K225" i="5"/>
  <c r="D225" i="5"/>
  <c r="C225" i="5"/>
  <c r="R224" i="5"/>
  <c r="Q224" i="5"/>
  <c r="M224" i="5"/>
  <c r="K224" i="5"/>
  <c r="D224" i="5"/>
  <c r="C224" i="5"/>
  <c r="R223" i="5"/>
  <c r="Q223" i="5"/>
  <c r="M223" i="5"/>
  <c r="K223" i="5"/>
  <c r="D223" i="5"/>
  <c r="C223" i="5"/>
  <c r="R222" i="5"/>
  <c r="Q222" i="5"/>
  <c r="M222" i="5"/>
  <c r="K222" i="5"/>
  <c r="D222" i="5"/>
  <c r="C222" i="5"/>
  <c r="R221" i="5"/>
  <c r="Q221" i="5"/>
  <c r="M221" i="5"/>
  <c r="K221" i="5"/>
  <c r="D221" i="5"/>
  <c r="C221" i="5"/>
  <c r="R220" i="5"/>
  <c r="Q220" i="5"/>
  <c r="M220" i="5"/>
  <c r="K220" i="5"/>
  <c r="D220" i="5"/>
  <c r="C220" i="5"/>
  <c r="R219" i="5"/>
  <c r="M219" i="5"/>
  <c r="K219" i="5"/>
  <c r="D219" i="5"/>
  <c r="C219" i="5"/>
  <c r="R218" i="5"/>
  <c r="M218" i="5"/>
  <c r="K218" i="5"/>
  <c r="D218" i="5"/>
  <c r="C218" i="5"/>
  <c r="R217" i="5"/>
  <c r="M217" i="5"/>
  <c r="K217" i="5"/>
  <c r="D217" i="5"/>
  <c r="C217" i="5"/>
  <c r="R216" i="5"/>
  <c r="Q216" i="5"/>
  <c r="M216" i="5"/>
  <c r="K216" i="5"/>
  <c r="D216" i="5"/>
  <c r="C216" i="5"/>
  <c r="R215" i="5"/>
  <c r="Q215" i="5"/>
  <c r="M215" i="5"/>
  <c r="K215" i="5"/>
  <c r="D215" i="5"/>
  <c r="C215" i="5"/>
  <c r="R214" i="5"/>
  <c r="Q214" i="5"/>
  <c r="M214" i="5"/>
  <c r="K214" i="5"/>
  <c r="D214" i="5"/>
  <c r="C214" i="5"/>
  <c r="R213" i="5"/>
  <c r="Q213" i="5"/>
  <c r="M213" i="5"/>
  <c r="K213" i="5"/>
  <c r="D213" i="5"/>
  <c r="C213" i="5"/>
  <c r="R212" i="5"/>
  <c r="Q212" i="5"/>
  <c r="M212" i="5"/>
  <c r="K212" i="5"/>
  <c r="D212" i="5"/>
  <c r="C212" i="5"/>
  <c r="R211" i="5"/>
  <c r="M211" i="5"/>
  <c r="K211" i="5"/>
  <c r="D211" i="5"/>
  <c r="C211" i="5"/>
  <c r="R210" i="5"/>
  <c r="M210" i="5"/>
  <c r="K210" i="5"/>
  <c r="D210" i="5"/>
  <c r="C210" i="5"/>
  <c r="R209" i="5"/>
  <c r="M209" i="5"/>
  <c r="K209" i="5"/>
  <c r="D209" i="5"/>
  <c r="C209" i="5"/>
  <c r="R208" i="5"/>
  <c r="Q208" i="5"/>
  <c r="M208" i="5"/>
  <c r="K208" i="5"/>
  <c r="D208" i="5"/>
  <c r="C208" i="5"/>
  <c r="R207" i="5"/>
  <c r="Q207" i="5"/>
  <c r="M207" i="5"/>
  <c r="K207" i="5"/>
  <c r="D207" i="5"/>
  <c r="C207" i="5"/>
  <c r="R206" i="5"/>
  <c r="Q206" i="5"/>
  <c r="M206" i="5"/>
  <c r="K206" i="5"/>
  <c r="D206" i="5"/>
  <c r="C206" i="5"/>
  <c r="R205" i="5"/>
  <c r="Q205" i="5"/>
  <c r="M205" i="5"/>
  <c r="K205" i="5"/>
  <c r="D205" i="5"/>
  <c r="C205" i="5"/>
  <c r="R204" i="5"/>
  <c r="Q204" i="5"/>
  <c r="M204" i="5"/>
  <c r="K204" i="5"/>
  <c r="D204" i="5"/>
  <c r="C204" i="5"/>
  <c r="R203" i="5"/>
  <c r="M203" i="5"/>
  <c r="K203" i="5"/>
  <c r="D203" i="5"/>
  <c r="C203" i="5"/>
  <c r="R202" i="5"/>
  <c r="M202" i="5"/>
  <c r="K202" i="5"/>
  <c r="D202" i="5"/>
  <c r="C202" i="5"/>
  <c r="R201" i="5"/>
  <c r="M201" i="5"/>
  <c r="K201" i="5"/>
  <c r="D201" i="5"/>
  <c r="C201" i="5"/>
  <c r="R200" i="5"/>
  <c r="Q200" i="5"/>
  <c r="M200" i="5"/>
  <c r="K200" i="5"/>
  <c r="D200" i="5"/>
  <c r="C200" i="5"/>
  <c r="R199" i="5"/>
  <c r="Q199" i="5"/>
  <c r="M199" i="5"/>
  <c r="K199" i="5"/>
  <c r="D199" i="5"/>
  <c r="C199" i="5"/>
  <c r="R198" i="5"/>
  <c r="Q198" i="5"/>
  <c r="M198" i="5"/>
  <c r="K198" i="5"/>
  <c r="D198" i="5"/>
  <c r="C198" i="5"/>
  <c r="R197" i="5"/>
  <c r="Q197" i="5"/>
  <c r="M197" i="5"/>
  <c r="K197" i="5"/>
  <c r="D197" i="5"/>
  <c r="C197" i="5"/>
  <c r="R196" i="5"/>
  <c r="Q196" i="5"/>
  <c r="M196" i="5"/>
  <c r="K196" i="5"/>
  <c r="D196" i="5"/>
  <c r="C196" i="5"/>
  <c r="R195" i="5"/>
  <c r="M195" i="5"/>
  <c r="K195" i="5"/>
  <c r="D195" i="5"/>
  <c r="C195" i="5"/>
  <c r="R194" i="5"/>
  <c r="M194" i="5"/>
  <c r="K194" i="5"/>
  <c r="D194" i="5"/>
  <c r="C194" i="5"/>
  <c r="R193" i="5"/>
  <c r="M193" i="5"/>
  <c r="K193" i="5"/>
  <c r="D193" i="5"/>
  <c r="C193" i="5"/>
  <c r="R192" i="5"/>
  <c r="Q192" i="5"/>
  <c r="M192" i="5"/>
  <c r="K192" i="5"/>
  <c r="D192" i="5"/>
  <c r="C192" i="5"/>
  <c r="R191" i="5"/>
  <c r="Q191" i="5"/>
  <c r="M191" i="5"/>
  <c r="K191" i="5"/>
  <c r="D191" i="5"/>
  <c r="C191" i="5"/>
  <c r="R190" i="5"/>
  <c r="Q190" i="5"/>
  <c r="M190" i="5"/>
  <c r="K190" i="5"/>
  <c r="D190" i="5"/>
  <c r="C190" i="5"/>
  <c r="R189" i="5"/>
  <c r="Q189" i="5"/>
  <c r="M189" i="5"/>
  <c r="K189" i="5"/>
  <c r="D189" i="5"/>
  <c r="C189" i="5"/>
  <c r="R188" i="5"/>
  <c r="Q188" i="5"/>
  <c r="M188" i="5"/>
  <c r="K188" i="5"/>
  <c r="D188" i="5"/>
  <c r="C188" i="5"/>
  <c r="R187" i="5"/>
  <c r="M187" i="5"/>
  <c r="K187" i="5"/>
  <c r="D187" i="5"/>
  <c r="C187" i="5"/>
  <c r="R186" i="5"/>
  <c r="M186" i="5"/>
  <c r="K186" i="5"/>
  <c r="D186" i="5"/>
  <c r="C186" i="5"/>
  <c r="R185" i="5"/>
  <c r="M185" i="5"/>
  <c r="K185" i="5"/>
  <c r="D185" i="5"/>
  <c r="C185" i="5"/>
  <c r="R184" i="5"/>
  <c r="Q184" i="5"/>
  <c r="M184" i="5"/>
  <c r="K184" i="5"/>
  <c r="D184" i="5"/>
  <c r="C184" i="5"/>
  <c r="R183" i="5"/>
  <c r="Q183" i="5"/>
  <c r="M183" i="5"/>
  <c r="K183" i="5"/>
  <c r="D183" i="5"/>
  <c r="C183" i="5"/>
  <c r="R182" i="5"/>
  <c r="Q182" i="5"/>
  <c r="M182" i="5"/>
  <c r="K182" i="5"/>
  <c r="D182" i="5"/>
  <c r="C182" i="5"/>
  <c r="R181" i="5"/>
  <c r="Q181" i="5"/>
  <c r="M181" i="5"/>
  <c r="K181" i="5"/>
  <c r="D181" i="5"/>
  <c r="C181" i="5"/>
  <c r="R180" i="5"/>
  <c r="Q180" i="5"/>
  <c r="M180" i="5"/>
  <c r="K180" i="5"/>
  <c r="D180" i="5"/>
  <c r="C180" i="5"/>
  <c r="R179" i="5"/>
  <c r="M179" i="5"/>
  <c r="K179" i="5"/>
  <c r="D179" i="5"/>
  <c r="C179" i="5"/>
  <c r="R178" i="5"/>
  <c r="M178" i="5"/>
  <c r="K178" i="5"/>
  <c r="D178" i="5"/>
  <c r="C178" i="5"/>
  <c r="R177" i="5"/>
  <c r="M177" i="5"/>
  <c r="K177" i="5"/>
  <c r="D177" i="5"/>
  <c r="C177" i="5"/>
  <c r="R176" i="5"/>
  <c r="Q176" i="5"/>
  <c r="M176" i="5"/>
  <c r="K176" i="5"/>
  <c r="D176" i="5"/>
  <c r="C176" i="5"/>
  <c r="R175" i="5"/>
  <c r="Q175" i="5"/>
  <c r="M175" i="5"/>
  <c r="K175" i="5"/>
  <c r="D175" i="5"/>
  <c r="C175" i="5"/>
  <c r="R174" i="5"/>
  <c r="Q174" i="5"/>
  <c r="M174" i="5"/>
  <c r="K174" i="5"/>
  <c r="D174" i="5"/>
  <c r="C174" i="5"/>
  <c r="R173" i="5"/>
  <c r="Q173" i="5"/>
  <c r="M173" i="5"/>
  <c r="K173" i="5"/>
  <c r="D173" i="5"/>
  <c r="C173" i="5"/>
  <c r="R172" i="5"/>
  <c r="Q172" i="5"/>
  <c r="M172" i="5"/>
  <c r="K172" i="5"/>
  <c r="D172" i="5"/>
  <c r="C172" i="5"/>
  <c r="R171" i="5"/>
  <c r="M171" i="5"/>
  <c r="K171" i="5"/>
  <c r="D171" i="5"/>
  <c r="C171" i="5"/>
  <c r="R170" i="5"/>
  <c r="M170" i="5"/>
  <c r="K170" i="5"/>
  <c r="D170" i="5"/>
  <c r="C170" i="5"/>
  <c r="R169" i="5"/>
  <c r="M169" i="5"/>
  <c r="K169" i="5"/>
  <c r="D169" i="5"/>
  <c r="C169" i="5"/>
  <c r="R168" i="5"/>
  <c r="Q168" i="5"/>
  <c r="M168" i="5"/>
  <c r="K168" i="5"/>
  <c r="D168" i="5"/>
  <c r="C168" i="5"/>
  <c r="R167" i="5"/>
  <c r="Q167" i="5"/>
  <c r="M167" i="5"/>
  <c r="K167" i="5"/>
  <c r="D167" i="5"/>
  <c r="C167" i="5"/>
  <c r="R166" i="5"/>
  <c r="Q166" i="5"/>
  <c r="M166" i="5"/>
  <c r="K166" i="5"/>
  <c r="D166" i="5"/>
  <c r="C166" i="5"/>
  <c r="R165" i="5"/>
  <c r="Q165" i="5"/>
  <c r="M165" i="5"/>
  <c r="K165" i="5"/>
  <c r="D165" i="5"/>
  <c r="C165" i="5"/>
  <c r="R164" i="5"/>
  <c r="Q164" i="5"/>
  <c r="M164" i="5"/>
  <c r="K164" i="5"/>
  <c r="D164" i="5"/>
  <c r="C164" i="5"/>
  <c r="R163" i="5"/>
  <c r="M163" i="5"/>
  <c r="K163" i="5"/>
  <c r="D163" i="5"/>
  <c r="C163" i="5"/>
  <c r="R162" i="5"/>
  <c r="M162" i="5"/>
  <c r="K162" i="5"/>
  <c r="D162" i="5"/>
  <c r="C162" i="5"/>
  <c r="R161" i="5"/>
  <c r="M161" i="5"/>
  <c r="K161" i="5"/>
  <c r="D161" i="5"/>
  <c r="C161" i="5"/>
  <c r="R160" i="5"/>
  <c r="Q160" i="5"/>
  <c r="M160" i="5"/>
  <c r="K160" i="5"/>
  <c r="D160" i="5"/>
  <c r="C160" i="5"/>
  <c r="R159" i="5"/>
  <c r="Q159" i="5"/>
  <c r="M159" i="5"/>
  <c r="K159" i="5"/>
  <c r="D159" i="5"/>
  <c r="C159" i="5"/>
  <c r="R158" i="5"/>
  <c r="Q158" i="5"/>
  <c r="M158" i="5"/>
  <c r="K158" i="5"/>
  <c r="D158" i="5"/>
  <c r="C158" i="5"/>
  <c r="R157" i="5"/>
  <c r="Q157" i="5"/>
  <c r="M157" i="5"/>
  <c r="K157" i="5"/>
  <c r="D157" i="5"/>
  <c r="C157" i="5"/>
  <c r="R156" i="5"/>
  <c r="Q156" i="5"/>
  <c r="M156" i="5"/>
  <c r="K156" i="5"/>
  <c r="D156" i="5"/>
  <c r="C156" i="5"/>
  <c r="R155" i="5"/>
  <c r="M155" i="5"/>
  <c r="K155" i="5"/>
  <c r="D155" i="5"/>
  <c r="C155" i="5"/>
  <c r="R154" i="5"/>
  <c r="M154" i="5"/>
  <c r="K154" i="5"/>
  <c r="D154" i="5"/>
  <c r="C154" i="5"/>
  <c r="R153" i="5"/>
  <c r="M153" i="5"/>
  <c r="K153" i="5"/>
  <c r="D153" i="5"/>
  <c r="C153" i="5"/>
  <c r="R152" i="5"/>
  <c r="Q152" i="5"/>
  <c r="M152" i="5"/>
  <c r="K152" i="5"/>
  <c r="D152" i="5"/>
  <c r="C152" i="5"/>
  <c r="R151" i="5"/>
  <c r="Q151" i="5"/>
  <c r="M151" i="5"/>
  <c r="K151" i="5"/>
  <c r="D151" i="5"/>
  <c r="C151" i="5"/>
  <c r="R150" i="5"/>
  <c r="Q150" i="5"/>
  <c r="M150" i="5"/>
  <c r="K150" i="5"/>
  <c r="D150" i="5"/>
  <c r="C150" i="5"/>
  <c r="R149" i="5"/>
  <c r="Q149" i="5"/>
  <c r="M149" i="5"/>
  <c r="K149" i="5"/>
  <c r="D149" i="5"/>
  <c r="C149" i="5"/>
  <c r="R148" i="5"/>
  <c r="Q148" i="5"/>
  <c r="M148" i="5"/>
  <c r="K148" i="5"/>
  <c r="D148" i="5"/>
  <c r="C148" i="5"/>
  <c r="R147" i="5"/>
  <c r="M147" i="5"/>
  <c r="K147" i="5"/>
  <c r="D147" i="5"/>
  <c r="C147" i="5"/>
  <c r="R146" i="5"/>
  <c r="M146" i="5"/>
  <c r="K146" i="5"/>
  <c r="D146" i="5"/>
  <c r="C146" i="5"/>
  <c r="R145" i="5"/>
  <c r="M145" i="5"/>
  <c r="K145" i="5"/>
  <c r="D145" i="5"/>
  <c r="C145" i="5"/>
  <c r="R144" i="5"/>
  <c r="Q144" i="5"/>
  <c r="M144" i="5"/>
  <c r="K144" i="5"/>
  <c r="D144" i="5"/>
  <c r="C144" i="5"/>
  <c r="R143" i="5"/>
  <c r="Q143" i="5"/>
  <c r="M143" i="5"/>
  <c r="K143" i="5"/>
  <c r="D143" i="5"/>
  <c r="C143" i="5"/>
  <c r="R142" i="5"/>
  <c r="Q142" i="5"/>
  <c r="M142" i="5"/>
  <c r="K142" i="5"/>
  <c r="D142" i="5"/>
  <c r="C142" i="5"/>
  <c r="R141" i="5"/>
  <c r="Q141" i="5"/>
  <c r="M141" i="5"/>
  <c r="K141" i="5"/>
  <c r="D141" i="5"/>
  <c r="C141" i="5"/>
  <c r="R140" i="5"/>
  <c r="Q140" i="5"/>
  <c r="M140" i="5"/>
  <c r="K140" i="5"/>
  <c r="D140" i="5"/>
  <c r="C140" i="5"/>
  <c r="R139" i="5"/>
  <c r="M139" i="5"/>
  <c r="K139" i="5"/>
  <c r="D139" i="5"/>
  <c r="C139" i="5"/>
  <c r="R138" i="5"/>
  <c r="M138" i="5"/>
  <c r="K138" i="5"/>
  <c r="D138" i="5"/>
  <c r="C138" i="5"/>
  <c r="R137" i="5"/>
  <c r="M137" i="5"/>
  <c r="K137" i="5"/>
  <c r="D137" i="5"/>
  <c r="C137" i="5"/>
  <c r="R136" i="5"/>
  <c r="Q136" i="5"/>
  <c r="M136" i="5"/>
  <c r="K136" i="5"/>
  <c r="D136" i="5"/>
  <c r="C136" i="5"/>
  <c r="R135" i="5"/>
  <c r="Q135" i="5"/>
  <c r="M135" i="5"/>
  <c r="K135" i="5"/>
  <c r="D135" i="5"/>
  <c r="C135" i="5"/>
  <c r="R134" i="5"/>
  <c r="Q134" i="5"/>
  <c r="M134" i="5"/>
  <c r="K134" i="5"/>
  <c r="D134" i="5"/>
  <c r="C134" i="5"/>
  <c r="R133" i="5"/>
  <c r="Q133" i="5"/>
  <c r="M133" i="5"/>
  <c r="K133" i="5"/>
  <c r="D133" i="5"/>
  <c r="C133" i="5"/>
  <c r="R132" i="5"/>
  <c r="Q132" i="5"/>
  <c r="M132" i="5"/>
  <c r="K132" i="5"/>
  <c r="D132" i="5"/>
  <c r="C132" i="5"/>
  <c r="R131" i="5"/>
  <c r="M131" i="5"/>
  <c r="K131" i="5"/>
  <c r="D131" i="5"/>
  <c r="C131" i="5"/>
  <c r="R130" i="5"/>
  <c r="M130" i="5"/>
  <c r="K130" i="5"/>
  <c r="D130" i="5"/>
  <c r="C130" i="5"/>
  <c r="R129" i="5"/>
  <c r="M129" i="5"/>
  <c r="K129" i="5"/>
  <c r="D129" i="5"/>
  <c r="C129" i="5"/>
  <c r="R128" i="5"/>
  <c r="Q128" i="5"/>
  <c r="M128" i="5"/>
  <c r="K128" i="5"/>
  <c r="D128" i="5"/>
  <c r="C128" i="5"/>
  <c r="R127" i="5"/>
  <c r="Q127" i="5"/>
  <c r="M127" i="5"/>
  <c r="K127" i="5"/>
  <c r="D127" i="5"/>
  <c r="C127" i="5"/>
  <c r="R126" i="5"/>
  <c r="Q126" i="5"/>
  <c r="M126" i="5"/>
  <c r="K126" i="5"/>
  <c r="D126" i="5"/>
  <c r="C126" i="5"/>
  <c r="R125" i="5"/>
  <c r="Q125" i="5"/>
  <c r="M125" i="5"/>
  <c r="K125" i="5"/>
  <c r="D125" i="5"/>
  <c r="C125" i="5"/>
  <c r="R124" i="5"/>
  <c r="Q124" i="5"/>
  <c r="M124" i="5"/>
  <c r="K124" i="5"/>
  <c r="D124" i="5"/>
  <c r="C124" i="5"/>
  <c r="R123" i="5"/>
  <c r="M123" i="5"/>
  <c r="K123" i="5"/>
  <c r="D123" i="5"/>
  <c r="C123" i="5"/>
  <c r="R122" i="5"/>
  <c r="M122" i="5"/>
  <c r="K122" i="5"/>
  <c r="D122" i="5"/>
  <c r="C122" i="5"/>
  <c r="R121" i="5"/>
  <c r="M121" i="5"/>
  <c r="K121" i="5"/>
  <c r="D121" i="5"/>
  <c r="C121" i="5"/>
  <c r="R120" i="5"/>
  <c r="Q120" i="5"/>
  <c r="M120" i="5"/>
  <c r="K120" i="5"/>
  <c r="D120" i="5"/>
  <c r="C120" i="5"/>
  <c r="R119" i="5"/>
  <c r="Q119" i="5"/>
  <c r="M119" i="5"/>
  <c r="K119" i="5"/>
  <c r="D119" i="5"/>
  <c r="C119" i="5"/>
  <c r="R118" i="5"/>
  <c r="Q118" i="5"/>
  <c r="M118" i="5"/>
  <c r="K118" i="5"/>
  <c r="D118" i="5"/>
  <c r="C118" i="5"/>
  <c r="R117" i="5"/>
  <c r="Q117" i="5"/>
  <c r="M117" i="5"/>
  <c r="K117" i="5"/>
  <c r="D117" i="5"/>
  <c r="C117" i="5"/>
  <c r="R116" i="5"/>
  <c r="Q116" i="5"/>
  <c r="M116" i="5"/>
  <c r="K116" i="5"/>
  <c r="D116" i="5"/>
  <c r="C116" i="5"/>
  <c r="R115" i="5"/>
  <c r="M115" i="5"/>
  <c r="K115" i="5"/>
  <c r="D115" i="5"/>
  <c r="C115" i="5"/>
  <c r="R114" i="5"/>
  <c r="M114" i="5"/>
  <c r="K114" i="5"/>
  <c r="D114" i="5"/>
  <c r="C114" i="5"/>
  <c r="R113" i="5"/>
  <c r="M113" i="5"/>
  <c r="K113" i="5"/>
  <c r="D113" i="5"/>
  <c r="C113" i="5"/>
  <c r="R112" i="5"/>
  <c r="Q112" i="5"/>
  <c r="M112" i="5"/>
  <c r="K112" i="5"/>
  <c r="D112" i="5"/>
  <c r="C112" i="5"/>
  <c r="R111" i="5"/>
  <c r="Q111" i="5"/>
  <c r="M111" i="5"/>
  <c r="K111" i="5"/>
  <c r="D111" i="5"/>
  <c r="C111" i="5"/>
  <c r="R110" i="5"/>
  <c r="Q110" i="5"/>
  <c r="M110" i="5"/>
  <c r="K110" i="5"/>
  <c r="D110" i="5"/>
  <c r="C110" i="5"/>
  <c r="R109" i="5"/>
  <c r="Q109" i="5"/>
  <c r="M109" i="5"/>
  <c r="K109" i="5"/>
  <c r="D109" i="5"/>
  <c r="C109" i="5"/>
  <c r="R108" i="5"/>
  <c r="Q108" i="5"/>
  <c r="M108" i="5"/>
  <c r="K108" i="5"/>
  <c r="D108" i="5"/>
  <c r="C108" i="5"/>
  <c r="R107" i="5"/>
  <c r="M107" i="5"/>
  <c r="K107" i="5"/>
  <c r="D107" i="5"/>
  <c r="C107" i="5"/>
  <c r="R106" i="5"/>
  <c r="M106" i="5"/>
  <c r="K106" i="5"/>
  <c r="D106" i="5"/>
  <c r="C106" i="5"/>
  <c r="R105" i="5"/>
  <c r="M105" i="5"/>
  <c r="K105" i="5"/>
  <c r="D105" i="5"/>
  <c r="C105" i="5"/>
  <c r="R104" i="5"/>
  <c r="Q104" i="5"/>
  <c r="M104" i="5"/>
  <c r="K104" i="5"/>
  <c r="D104" i="5"/>
  <c r="C104" i="5"/>
  <c r="R103" i="5"/>
  <c r="Q103" i="5"/>
  <c r="M103" i="5"/>
  <c r="K103" i="5"/>
  <c r="D103" i="5"/>
  <c r="C103" i="5"/>
  <c r="R102" i="5"/>
  <c r="Q102" i="5"/>
  <c r="M102" i="5"/>
  <c r="K102" i="5"/>
  <c r="D102" i="5"/>
  <c r="C102" i="5"/>
  <c r="R101" i="5"/>
  <c r="Q101" i="5"/>
  <c r="M101" i="5"/>
  <c r="K101" i="5"/>
  <c r="D101" i="5"/>
  <c r="C101" i="5"/>
  <c r="R100" i="5"/>
  <c r="Q100" i="5"/>
  <c r="M100" i="5"/>
  <c r="K100" i="5"/>
  <c r="D100" i="5"/>
  <c r="C100" i="5"/>
  <c r="R99" i="5"/>
  <c r="Q99" i="5"/>
  <c r="M99" i="5"/>
  <c r="K99" i="5"/>
  <c r="D99" i="5"/>
  <c r="C99" i="5"/>
  <c r="R98" i="5"/>
  <c r="M98" i="5"/>
  <c r="K98" i="5"/>
  <c r="D98" i="5"/>
  <c r="C98" i="5"/>
  <c r="R97" i="5"/>
  <c r="M97" i="5"/>
  <c r="K97" i="5"/>
  <c r="D97" i="5"/>
  <c r="C97" i="5"/>
  <c r="R96" i="5"/>
  <c r="Q96" i="5"/>
  <c r="I42" i="1" s="1"/>
  <c r="M96" i="5"/>
  <c r="K96" i="5"/>
  <c r="D96" i="5"/>
  <c r="C96" i="5"/>
  <c r="R95" i="5"/>
  <c r="Q95" i="5"/>
  <c r="M95" i="5"/>
  <c r="K95" i="5"/>
  <c r="D95" i="5"/>
  <c r="C95" i="5"/>
  <c r="R94" i="5"/>
  <c r="Q94" i="5"/>
  <c r="M94" i="5"/>
  <c r="K94" i="5"/>
  <c r="D94" i="5"/>
  <c r="C94" i="5"/>
  <c r="R93" i="5"/>
  <c r="Q93" i="5"/>
  <c r="M93" i="5"/>
  <c r="K93" i="5"/>
  <c r="D93" i="5"/>
  <c r="C93" i="5"/>
  <c r="R92" i="5"/>
  <c r="Q92" i="5"/>
  <c r="I38" i="1" s="1"/>
  <c r="M92" i="5"/>
  <c r="K92" i="5"/>
  <c r="D92" i="5"/>
  <c r="C92" i="5"/>
  <c r="R91" i="5"/>
  <c r="Q91" i="5"/>
  <c r="M91" i="5"/>
  <c r="K91" i="5"/>
  <c r="D91" i="5"/>
  <c r="C91" i="5"/>
  <c r="R90" i="5"/>
  <c r="M90" i="5"/>
  <c r="K90" i="5"/>
  <c r="D90" i="5"/>
  <c r="C90" i="5"/>
  <c r="R89" i="5"/>
  <c r="M89" i="5"/>
  <c r="K89" i="5"/>
  <c r="D89" i="5"/>
  <c r="C89" i="5"/>
  <c r="R88" i="5"/>
  <c r="Q88" i="5"/>
  <c r="I34" i="1" s="1"/>
  <c r="M88" i="5"/>
  <c r="K88" i="5"/>
  <c r="D88" i="5"/>
  <c r="C88" i="5"/>
  <c r="R87" i="5"/>
  <c r="Q87" i="5"/>
  <c r="M87" i="5"/>
  <c r="K87" i="5"/>
  <c r="D87" i="5"/>
  <c r="C87" i="5"/>
  <c r="R86" i="5"/>
  <c r="Q86" i="5"/>
  <c r="M86" i="5"/>
  <c r="K86" i="5"/>
  <c r="D86" i="5"/>
  <c r="C86" i="5"/>
  <c r="R85" i="5"/>
  <c r="Q85" i="5"/>
  <c r="M85" i="5"/>
  <c r="K85" i="5"/>
  <c r="D85" i="5"/>
  <c r="C85" i="5"/>
  <c r="R84" i="5"/>
  <c r="Q84" i="5"/>
  <c r="M84" i="5"/>
  <c r="K84" i="5"/>
  <c r="D84" i="5"/>
  <c r="C84" i="5"/>
  <c r="R83" i="5"/>
  <c r="Q83" i="5"/>
  <c r="M83" i="5"/>
  <c r="K83" i="5"/>
  <c r="D83" i="5"/>
  <c r="C83" i="5"/>
  <c r="R82" i="5"/>
  <c r="M82" i="5"/>
  <c r="K82" i="5"/>
  <c r="D82" i="5"/>
  <c r="C82" i="5"/>
  <c r="R81" i="5"/>
  <c r="M81" i="5"/>
  <c r="K81" i="5"/>
  <c r="D81" i="5"/>
  <c r="C81" i="5"/>
  <c r="R80" i="5"/>
  <c r="Q80" i="5"/>
  <c r="M80" i="5"/>
  <c r="K80" i="5"/>
  <c r="D80" i="5"/>
  <c r="C80" i="5"/>
  <c r="R79" i="5"/>
  <c r="Q79" i="5"/>
  <c r="M79" i="5"/>
  <c r="K79" i="5"/>
  <c r="D79" i="5"/>
  <c r="C79" i="5"/>
  <c r="R78" i="5"/>
  <c r="Q78" i="5"/>
  <c r="M78" i="5"/>
  <c r="K78" i="5"/>
  <c r="D78" i="5"/>
  <c r="C78" i="5"/>
  <c r="R77" i="5"/>
  <c r="Q77" i="5"/>
  <c r="M77" i="5"/>
  <c r="K77" i="5"/>
  <c r="D77" i="5"/>
  <c r="C77" i="5"/>
  <c r="R76" i="5"/>
  <c r="Q76" i="5"/>
  <c r="M76" i="5"/>
  <c r="K76" i="5"/>
  <c r="D76" i="5"/>
  <c r="C76" i="5"/>
  <c r="R75" i="5"/>
  <c r="Q75" i="5"/>
  <c r="M75" i="5"/>
  <c r="K75" i="5"/>
  <c r="D75" i="5"/>
  <c r="C75" i="5"/>
  <c r="R74" i="5"/>
  <c r="M74" i="5"/>
  <c r="K74" i="5"/>
  <c r="D74" i="5"/>
  <c r="C74" i="5"/>
  <c r="R73" i="5"/>
  <c r="Q73" i="5"/>
  <c r="M73" i="5"/>
  <c r="K73" i="5"/>
  <c r="D73" i="5"/>
  <c r="C73" i="5"/>
  <c r="R72" i="5"/>
  <c r="Q72" i="5"/>
  <c r="M72" i="5"/>
  <c r="K72" i="5"/>
  <c r="D72" i="5"/>
  <c r="C72" i="5"/>
  <c r="R71" i="5"/>
  <c r="Q71" i="5"/>
  <c r="M71" i="5"/>
  <c r="K71" i="5"/>
  <c r="D71" i="5"/>
  <c r="C71" i="5"/>
  <c r="R70" i="5"/>
  <c r="Q70" i="5"/>
  <c r="M70" i="5"/>
  <c r="K70" i="5"/>
  <c r="D70" i="5"/>
  <c r="C70" i="5"/>
  <c r="R69" i="5"/>
  <c r="Q69" i="5"/>
  <c r="M69" i="5"/>
  <c r="K69" i="5"/>
  <c r="D69" i="5"/>
  <c r="C69" i="5"/>
  <c r="R68" i="5"/>
  <c r="Q68" i="5"/>
  <c r="M68" i="5"/>
  <c r="K68" i="5"/>
  <c r="D68" i="5"/>
  <c r="C68" i="5"/>
  <c r="R67" i="5"/>
  <c r="Q67" i="5"/>
  <c r="M67" i="5"/>
  <c r="K67" i="5"/>
  <c r="D67" i="5"/>
  <c r="C67" i="5"/>
  <c r="R66" i="5"/>
  <c r="M66" i="5"/>
  <c r="K66" i="5"/>
  <c r="D66" i="5"/>
  <c r="C66" i="5"/>
  <c r="R65" i="5"/>
  <c r="Q65" i="5"/>
  <c r="M65" i="5"/>
  <c r="K65" i="5"/>
  <c r="D65" i="5"/>
  <c r="C65" i="5"/>
  <c r="R64" i="5"/>
  <c r="Q64" i="5"/>
  <c r="M64" i="5"/>
  <c r="K64" i="5"/>
  <c r="D64" i="5"/>
  <c r="C64" i="5"/>
  <c r="R63" i="5"/>
  <c r="Q63" i="5"/>
  <c r="M63" i="5"/>
  <c r="K63" i="5"/>
  <c r="D63" i="5"/>
  <c r="C63" i="5"/>
  <c r="R62" i="5"/>
  <c r="Q62" i="5"/>
  <c r="M62" i="5"/>
  <c r="K62" i="5"/>
  <c r="D62" i="5"/>
  <c r="C62" i="5"/>
  <c r="R61" i="5"/>
  <c r="Q61" i="5"/>
  <c r="M61" i="5"/>
  <c r="K61" i="5"/>
  <c r="D61" i="5"/>
  <c r="C61" i="5"/>
  <c r="R60" i="5"/>
  <c r="Q60" i="5"/>
  <c r="M60" i="5"/>
  <c r="K60" i="5"/>
  <c r="D60" i="5"/>
  <c r="C60" i="5"/>
  <c r="R59" i="5"/>
  <c r="Q59" i="5"/>
  <c r="M59" i="5"/>
  <c r="K59" i="5"/>
  <c r="D59" i="5"/>
  <c r="C59" i="5"/>
  <c r="R58" i="5"/>
  <c r="M58" i="5"/>
  <c r="K58" i="5"/>
  <c r="D58" i="5"/>
  <c r="C58" i="5"/>
  <c r="R57" i="5"/>
  <c r="Q57" i="5"/>
  <c r="M57" i="5"/>
  <c r="K57" i="5"/>
  <c r="D57" i="5"/>
  <c r="C57" i="5"/>
  <c r="R56" i="5"/>
  <c r="Q56" i="5"/>
  <c r="M56" i="5"/>
  <c r="K56" i="5"/>
  <c r="D56" i="5"/>
  <c r="C56" i="5"/>
  <c r="R55" i="5"/>
  <c r="Q55" i="5"/>
  <c r="M55" i="5"/>
  <c r="K55" i="5"/>
  <c r="D55" i="5"/>
  <c r="C55" i="5"/>
  <c r="R54" i="5"/>
  <c r="Q54" i="5"/>
  <c r="M54" i="5"/>
  <c r="K54" i="5"/>
  <c r="D54" i="5"/>
  <c r="C54" i="5"/>
  <c r="R53" i="5"/>
  <c r="Q53" i="5"/>
  <c r="M53" i="5"/>
  <c r="K53" i="5"/>
  <c r="D53" i="5"/>
  <c r="C53" i="5"/>
  <c r="R52" i="5"/>
  <c r="Q52" i="5"/>
  <c r="M52" i="5"/>
  <c r="K52" i="5"/>
  <c r="D52" i="5"/>
  <c r="C52" i="5"/>
  <c r="R51" i="5"/>
  <c r="Q51" i="5"/>
  <c r="M51" i="5"/>
  <c r="K51" i="5"/>
  <c r="D51" i="5"/>
  <c r="C51" i="5"/>
  <c r="R50" i="5"/>
  <c r="M50" i="5"/>
  <c r="K50" i="5"/>
  <c r="D50" i="5"/>
  <c r="C50" i="5"/>
  <c r="R49" i="5"/>
  <c r="Q49" i="5"/>
  <c r="M49" i="5"/>
  <c r="K49" i="5"/>
  <c r="D49" i="5"/>
  <c r="C49" i="5"/>
  <c r="R48" i="5"/>
  <c r="Q48" i="5"/>
  <c r="M48" i="5"/>
  <c r="K48" i="5"/>
  <c r="D48" i="5"/>
  <c r="C48" i="5"/>
  <c r="R47" i="5"/>
  <c r="Q47" i="5"/>
  <c r="M47" i="5"/>
  <c r="K47" i="5"/>
  <c r="D47" i="5"/>
  <c r="C47" i="5"/>
  <c r="R46" i="5"/>
  <c r="Q46" i="5"/>
  <c r="M46" i="5"/>
  <c r="K46" i="5"/>
  <c r="D46" i="5"/>
  <c r="C46" i="5"/>
  <c r="R45" i="5"/>
  <c r="Q45" i="5"/>
  <c r="M45" i="5"/>
  <c r="K45" i="5"/>
  <c r="D45" i="5"/>
  <c r="C45" i="5"/>
  <c r="R44" i="5"/>
  <c r="Q44" i="5"/>
  <c r="M44" i="5"/>
  <c r="K44" i="5"/>
  <c r="D44" i="5"/>
  <c r="C44" i="5"/>
  <c r="R43" i="5"/>
  <c r="Q43" i="5"/>
  <c r="M43" i="5"/>
  <c r="K43" i="5"/>
  <c r="D43" i="5"/>
  <c r="C43" i="5"/>
  <c r="R42" i="5"/>
  <c r="M42" i="5"/>
  <c r="K42" i="5"/>
  <c r="D42" i="5"/>
  <c r="C42" i="5"/>
  <c r="R41" i="5"/>
  <c r="Q41" i="5"/>
  <c r="M41" i="5"/>
  <c r="K41" i="5"/>
  <c r="D41" i="5"/>
  <c r="C41" i="5"/>
  <c r="R40" i="5"/>
  <c r="Q40" i="5"/>
  <c r="M40" i="5"/>
  <c r="K40" i="5"/>
  <c r="D40" i="5"/>
  <c r="C40" i="5"/>
  <c r="R39" i="5"/>
  <c r="Q39" i="5"/>
  <c r="M39" i="5"/>
  <c r="K39" i="5"/>
  <c r="D39" i="5"/>
  <c r="C39" i="5"/>
  <c r="R38" i="5"/>
  <c r="Q38" i="5"/>
  <c r="M38" i="5"/>
  <c r="K38" i="5"/>
  <c r="D38" i="5"/>
  <c r="C38" i="5"/>
  <c r="R37" i="5"/>
  <c r="Q37" i="5"/>
  <c r="M37" i="5"/>
  <c r="K37" i="5"/>
  <c r="D37" i="5"/>
  <c r="C37" i="5"/>
  <c r="R36" i="5"/>
  <c r="Q36" i="5"/>
  <c r="M36" i="5"/>
  <c r="K36" i="5"/>
  <c r="D36" i="5"/>
  <c r="C36" i="5"/>
  <c r="R35" i="5"/>
  <c r="Q35" i="5"/>
  <c r="M35" i="5"/>
  <c r="K35" i="5"/>
  <c r="D35" i="5"/>
  <c r="C35" i="5"/>
  <c r="R34" i="5"/>
  <c r="M34" i="5"/>
  <c r="K34" i="5"/>
  <c r="D34" i="5"/>
  <c r="C34" i="5"/>
  <c r="R33" i="5"/>
  <c r="Q33" i="5"/>
  <c r="M33" i="5"/>
  <c r="K33" i="5"/>
  <c r="D33" i="5"/>
  <c r="C33" i="5"/>
  <c r="R32" i="5"/>
  <c r="Q32" i="5"/>
  <c r="M32" i="5"/>
  <c r="K32" i="5"/>
  <c r="D32" i="5"/>
  <c r="C32" i="5"/>
  <c r="R31" i="5"/>
  <c r="Q31" i="5"/>
  <c r="M31" i="5"/>
  <c r="K31" i="5"/>
  <c r="D31" i="5"/>
  <c r="C31" i="5"/>
  <c r="R30" i="5"/>
  <c r="Q30" i="5"/>
  <c r="M30" i="5"/>
  <c r="K30" i="5"/>
  <c r="D30" i="5"/>
  <c r="C30" i="5"/>
  <c r="R29" i="5"/>
  <c r="Q29" i="5"/>
  <c r="M29" i="5"/>
  <c r="K29" i="5"/>
  <c r="D29" i="5"/>
  <c r="C29" i="5"/>
  <c r="R28" i="5"/>
  <c r="Q28" i="5"/>
  <c r="M28" i="5"/>
  <c r="K28" i="5"/>
  <c r="D28" i="5"/>
  <c r="C28" i="5"/>
  <c r="R27" i="5"/>
  <c r="Q27" i="5"/>
  <c r="M27" i="5"/>
  <c r="K27" i="5"/>
  <c r="D27" i="5"/>
  <c r="C27" i="5"/>
  <c r="R26" i="5"/>
  <c r="M26" i="5"/>
  <c r="D26" i="5"/>
  <c r="C26" i="5"/>
  <c r="R25" i="5"/>
  <c r="Q25" i="5"/>
  <c r="M25" i="5"/>
  <c r="D25" i="5"/>
  <c r="C25" i="5"/>
  <c r="R24" i="5"/>
  <c r="Q24" i="5"/>
  <c r="M24" i="5"/>
  <c r="D24" i="5"/>
  <c r="C24" i="5"/>
  <c r="R23" i="5"/>
  <c r="Q23" i="5"/>
  <c r="M23" i="5"/>
  <c r="K23" i="5"/>
  <c r="D23" i="5"/>
  <c r="C23" i="5"/>
  <c r="R22" i="5"/>
  <c r="Q22" i="5"/>
  <c r="M22" i="5"/>
  <c r="K22" i="5"/>
  <c r="D22" i="5"/>
  <c r="C22" i="5"/>
  <c r="R21" i="5"/>
  <c r="Q21" i="5"/>
  <c r="M21" i="5"/>
  <c r="K21" i="5"/>
  <c r="D21" i="5"/>
  <c r="C21" i="5"/>
  <c r="R20" i="5"/>
  <c r="Q20" i="5"/>
  <c r="M20" i="5"/>
  <c r="K20" i="5"/>
  <c r="D20" i="5"/>
  <c r="C20" i="5"/>
  <c r="R19" i="5"/>
  <c r="M19" i="5"/>
  <c r="K19" i="5"/>
  <c r="D19" i="5"/>
  <c r="C19" i="5"/>
  <c r="R18" i="5"/>
  <c r="Q18" i="5"/>
  <c r="M18" i="5"/>
  <c r="K18" i="5"/>
  <c r="D18" i="5"/>
  <c r="C18" i="5"/>
  <c r="R17" i="5"/>
  <c r="M17" i="5"/>
  <c r="K17" i="5"/>
  <c r="D17" i="5"/>
  <c r="C17" i="5"/>
  <c r="R16" i="5"/>
  <c r="M16" i="5"/>
  <c r="K16" i="5"/>
  <c r="D16" i="5"/>
  <c r="C16" i="5"/>
  <c r="R15" i="5"/>
  <c r="Q15" i="5"/>
  <c r="M15" i="5"/>
  <c r="K15" i="5"/>
  <c r="D15" i="5"/>
  <c r="C15" i="5"/>
  <c r="R14" i="5"/>
  <c r="Q14" i="5"/>
  <c r="M14" i="5"/>
  <c r="K14" i="5"/>
  <c r="D14" i="5"/>
  <c r="C14" i="5"/>
  <c r="R13" i="5"/>
  <c r="Q13" i="5"/>
  <c r="M13" i="5"/>
  <c r="K13" i="5"/>
  <c r="D13" i="5"/>
  <c r="C13" i="5"/>
  <c r="R12" i="5"/>
  <c r="M12" i="5"/>
  <c r="Q12" i="5" s="1"/>
  <c r="K12" i="5"/>
  <c r="D12" i="5"/>
  <c r="C12" i="5"/>
  <c r="R11" i="5"/>
  <c r="Q11" i="5"/>
  <c r="M11" i="5"/>
  <c r="K11" i="5"/>
  <c r="D11" i="5"/>
  <c r="C11" i="5"/>
  <c r="R10" i="5"/>
  <c r="Q10" i="5"/>
  <c r="M10" i="5"/>
  <c r="K10" i="5"/>
  <c r="D10" i="5"/>
  <c r="C10" i="5"/>
  <c r="R9" i="5"/>
  <c r="M9" i="5"/>
  <c r="K9" i="5"/>
  <c r="D9" i="5"/>
  <c r="C9" i="5"/>
  <c r="R8" i="5"/>
  <c r="M8" i="5"/>
  <c r="K8" i="5"/>
  <c r="D8" i="5"/>
  <c r="C8" i="5"/>
  <c r="R7" i="5"/>
  <c r="Q7" i="5"/>
  <c r="M7" i="5"/>
  <c r="K7" i="5"/>
  <c r="D7" i="5"/>
  <c r="C7" i="5"/>
  <c r="J25" i="4"/>
  <c r="I25" i="4"/>
  <c r="H25" i="4"/>
  <c r="G25" i="4"/>
  <c r="F25" i="4"/>
  <c r="E25" i="4"/>
  <c r="D25" i="4"/>
  <c r="B25" i="4"/>
  <c r="J24" i="4"/>
  <c r="I24" i="4"/>
  <c r="H24" i="4"/>
  <c r="G24" i="4"/>
  <c r="F24" i="4"/>
  <c r="E24" i="4"/>
  <c r="D24" i="4"/>
  <c r="B24" i="4"/>
  <c r="J23" i="4"/>
  <c r="I23" i="4"/>
  <c r="H23" i="4"/>
  <c r="G23" i="4"/>
  <c r="F23" i="4"/>
  <c r="E23" i="4"/>
  <c r="D23" i="4"/>
  <c r="B23" i="4"/>
  <c r="J22" i="4"/>
  <c r="I22" i="4"/>
  <c r="H22" i="4"/>
  <c r="G22" i="4"/>
  <c r="F22" i="4"/>
  <c r="E22" i="4"/>
  <c r="D22" i="4"/>
  <c r="B22" i="4"/>
  <c r="J21" i="4"/>
  <c r="I21" i="4"/>
  <c r="H21" i="4"/>
  <c r="G21" i="4"/>
  <c r="F21" i="4"/>
  <c r="E21" i="4"/>
  <c r="D21" i="4"/>
  <c r="B21" i="4"/>
  <c r="J20" i="4"/>
  <c r="I20" i="4"/>
  <c r="H20" i="4"/>
  <c r="G20" i="4"/>
  <c r="F20" i="4"/>
  <c r="E20" i="4"/>
  <c r="D20" i="4"/>
  <c r="B20" i="4"/>
  <c r="J19" i="4"/>
  <c r="I19" i="4"/>
  <c r="H19" i="4"/>
  <c r="G19" i="4"/>
  <c r="F19" i="4"/>
  <c r="E19" i="4"/>
  <c r="D19" i="4"/>
  <c r="B19" i="4"/>
  <c r="J18" i="4"/>
  <c r="I18" i="4"/>
  <c r="H18" i="4"/>
  <c r="G18" i="4"/>
  <c r="F18" i="4"/>
  <c r="E18" i="4"/>
  <c r="D18" i="4"/>
  <c r="B18" i="4"/>
  <c r="J17" i="4"/>
  <c r="I17" i="4"/>
  <c r="H17" i="4"/>
  <c r="G17" i="4"/>
  <c r="F17" i="4"/>
  <c r="E17" i="4"/>
  <c r="D17" i="4"/>
  <c r="B17" i="4"/>
  <c r="J16" i="4"/>
  <c r="I16" i="4"/>
  <c r="H16" i="4"/>
  <c r="G16" i="4"/>
  <c r="F16" i="4"/>
  <c r="E16" i="4"/>
  <c r="D16" i="4"/>
  <c r="B16" i="4"/>
  <c r="J15" i="4"/>
  <c r="I15" i="4"/>
  <c r="H15" i="4"/>
  <c r="G15" i="4"/>
  <c r="F15" i="4"/>
  <c r="E15" i="4"/>
  <c r="D15" i="4"/>
  <c r="B15" i="4"/>
  <c r="J14" i="4"/>
  <c r="I14" i="4"/>
  <c r="H14" i="4"/>
  <c r="G14" i="4"/>
  <c r="F14" i="4"/>
  <c r="E14" i="4"/>
  <c r="D14" i="4"/>
  <c r="B14" i="4"/>
  <c r="J13" i="4"/>
  <c r="I13" i="4"/>
  <c r="H13" i="4"/>
  <c r="G13" i="4"/>
  <c r="F13" i="4"/>
  <c r="E13" i="4"/>
  <c r="D13" i="4"/>
  <c r="B13" i="4"/>
  <c r="J12" i="4"/>
  <c r="I12" i="4"/>
  <c r="H12" i="4"/>
  <c r="G12" i="4"/>
  <c r="F12" i="4"/>
  <c r="E12" i="4"/>
  <c r="D12" i="4"/>
  <c r="B12" i="4"/>
  <c r="J11" i="4"/>
  <c r="I11" i="4"/>
  <c r="H11" i="4"/>
  <c r="G11" i="4"/>
  <c r="F11" i="4"/>
  <c r="E11" i="4"/>
  <c r="D11" i="4"/>
  <c r="B11" i="4"/>
  <c r="J10" i="4"/>
  <c r="I10" i="4"/>
  <c r="H10" i="4"/>
  <c r="G10" i="4"/>
  <c r="F10" i="4"/>
  <c r="E10" i="4"/>
  <c r="D10" i="4"/>
  <c r="B10" i="4"/>
  <c r="J9" i="4"/>
  <c r="I9" i="4"/>
  <c r="H9" i="4"/>
  <c r="G9" i="4"/>
  <c r="F9" i="4"/>
  <c r="E9" i="4"/>
  <c r="D9" i="4"/>
  <c r="B9" i="4"/>
  <c r="J8" i="4"/>
  <c r="I8" i="4"/>
  <c r="H8" i="4"/>
  <c r="G8" i="4"/>
  <c r="F8" i="4"/>
  <c r="E8" i="4"/>
  <c r="D8" i="4"/>
  <c r="B8" i="4"/>
  <c r="J7" i="4"/>
  <c r="I7" i="4"/>
  <c r="H7" i="4"/>
  <c r="G7" i="4"/>
  <c r="F7" i="4"/>
  <c r="E7" i="4"/>
  <c r="D7" i="4"/>
  <c r="B7" i="4"/>
  <c r="J6" i="4"/>
  <c r="I6" i="4"/>
  <c r="H6" i="4"/>
  <c r="G6" i="4"/>
  <c r="F6" i="4"/>
  <c r="E6" i="4"/>
  <c r="D6" i="4"/>
  <c r="B6" i="4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D17" i="3"/>
  <c r="E16" i="9" s="1"/>
  <c r="C17" i="3"/>
  <c r="D16" i="9" s="1"/>
  <c r="D16" i="3"/>
  <c r="E15" i="9" s="1"/>
  <c r="C16" i="3"/>
  <c r="D15" i="9" s="1"/>
  <c r="D15" i="3"/>
  <c r="C15" i="3"/>
  <c r="D14" i="9" s="1"/>
  <c r="D14" i="3"/>
  <c r="C14" i="3"/>
  <c r="D13" i="3"/>
  <c r="E12" i="9" s="1"/>
  <c r="C13" i="3"/>
  <c r="E12" i="3"/>
  <c r="D12" i="3"/>
  <c r="E11" i="9" s="1"/>
  <c r="D11" i="3"/>
  <c r="E10" i="9" s="1"/>
  <c r="C11" i="3"/>
  <c r="D10" i="9" s="1"/>
  <c r="D10" i="3"/>
  <c r="E9" i="9" s="1"/>
  <c r="C10" i="3"/>
  <c r="D9" i="9" s="1"/>
  <c r="D9" i="3"/>
  <c r="E8" i="9" s="1"/>
  <c r="C9" i="3"/>
  <c r="D8" i="9" s="1"/>
  <c r="D8" i="3"/>
  <c r="E7" i="9" s="1"/>
  <c r="C8" i="3"/>
  <c r="E27" i="1"/>
  <c r="E26" i="1"/>
  <c r="E25" i="1"/>
  <c r="E24" i="1"/>
  <c r="E15" i="1"/>
  <c r="E14" i="1"/>
  <c r="E13" i="1"/>
  <c r="E12" i="1"/>
  <c r="E11" i="1"/>
  <c r="E17" i="3" l="1"/>
  <c r="F10" i="3"/>
  <c r="I45" i="1"/>
  <c r="I49" i="1"/>
  <c r="I37" i="1"/>
  <c r="I33" i="1"/>
  <c r="L22" i="4"/>
  <c r="L16" i="4"/>
  <c r="I41" i="1"/>
  <c r="F12" i="3"/>
  <c r="G16" i="9"/>
  <c r="G8" i="9"/>
  <c r="F8" i="9"/>
  <c r="H8" i="9" s="1"/>
  <c r="F16" i="9"/>
  <c r="L6" i="4"/>
  <c r="E10" i="3"/>
  <c r="G10" i="3" s="1"/>
  <c r="I10" i="3" s="1"/>
  <c r="C21" i="4" s="1"/>
  <c r="K21" i="4" s="1"/>
  <c r="E16" i="3"/>
  <c r="I43" i="1"/>
  <c r="I50" i="1"/>
  <c r="F14" i="9"/>
  <c r="I44" i="1"/>
  <c r="I51" i="1"/>
  <c r="I39" i="1"/>
  <c r="G57" i="3"/>
  <c r="H57" i="3" s="1"/>
  <c r="I48" i="1"/>
  <c r="I40" i="1"/>
  <c r="I52" i="1"/>
  <c r="I35" i="1"/>
  <c r="I46" i="1"/>
  <c r="L18" i="4"/>
  <c r="I36" i="1"/>
  <c r="I47" i="1"/>
  <c r="G65" i="3"/>
  <c r="I65" i="3" s="1"/>
  <c r="E17" i="1"/>
  <c r="G56" i="3"/>
  <c r="I56" i="3" s="1"/>
  <c r="G38" i="3"/>
  <c r="H38" i="3" s="1"/>
  <c r="G59" i="3"/>
  <c r="H59" i="3" s="1"/>
  <c r="G87" i="3"/>
  <c r="H87" i="3" s="1"/>
  <c r="G23" i="3"/>
  <c r="G39" i="3"/>
  <c r="G43" i="3"/>
  <c r="H43" i="3" s="1"/>
  <c r="G51" i="3"/>
  <c r="H51" i="3" s="1"/>
  <c r="G78" i="3"/>
  <c r="H78" i="3" s="1"/>
  <c r="G82" i="3"/>
  <c r="I82" i="3" s="1"/>
  <c r="G98" i="3"/>
  <c r="H98" i="3" s="1"/>
  <c r="G36" i="3"/>
  <c r="G52" i="3"/>
  <c r="H52" i="3" s="1"/>
  <c r="G111" i="3"/>
  <c r="G72" i="3"/>
  <c r="I72" i="3" s="1"/>
  <c r="G80" i="3"/>
  <c r="I80" i="3" s="1"/>
  <c r="G96" i="3"/>
  <c r="H96" i="3" s="1"/>
  <c r="G50" i="3"/>
  <c r="H50" i="3" s="1"/>
  <c r="G22" i="3"/>
  <c r="H22" i="3" s="1"/>
  <c r="G30" i="3"/>
  <c r="G79" i="3"/>
  <c r="I79" i="3" s="1"/>
  <c r="G83" i="3"/>
  <c r="G95" i="3"/>
  <c r="I95" i="3" s="1"/>
  <c r="G99" i="3"/>
  <c r="G107" i="3"/>
  <c r="I107" i="3" s="1"/>
  <c r="G115" i="3"/>
  <c r="H115" i="3" s="1"/>
  <c r="G12" i="3"/>
  <c r="I12" i="3" s="1"/>
  <c r="C15" i="4" s="1"/>
  <c r="K15" i="4" s="1"/>
  <c r="G24" i="3"/>
  <c r="I24" i="3" s="1"/>
  <c r="G58" i="3"/>
  <c r="I58" i="3" s="1"/>
  <c r="G69" i="3"/>
  <c r="I69" i="3" s="1"/>
  <c r="G73" i="3"/>
  <c r="I73" i="3" s="1"/>
  <c r="G81" i="3"/>
  <c r="G85" i="3"/>
  <c r="H85" i="3" s="1"/>
  <c r="G97" i="3"/>
  <c r="G109" i="3"/>
  <c r="H109" i="3" s="1"/>
  <c r="G27" i="3"/>
  <c r="I27" i="3" s="1"/>
  <c r="G25" i="3"/>
  <c r="H25" i="3" s="1"/>
  <c r="G29" i="3"/>
  <c r="I29" i="3" s="1"/>
  <c r="G40" i="3"/>
  <c r="I40" i="3" s="1"/>
  <c r="G44" i="3"/>
  <c r="G66" i="3"/>
  <c r="H66" i="3" s="1"/>
  <c r="G70" i="3"/>
  <c r="H70" i="3" s="1"/>
  <c r="G86" i="3"/>
  <c r="I86" i="3" s="1"/>
  <c r="G110" i="3"/>
  <c r="I110" i="3" s="1"/>
  <c r="G101" i="3"/>
  <c r="I101" i="3" s="1"/>
  <c r="G31" i="3"/>
  <c r="I31" i="3" s="1"/>
  <c r="G42" i="3"/>
  <c r="H42" i="3" s="1"/>
  <c r="G71" i="3"/>
  <c r="G26" i="3"/>
  <c r="H26" i="3" s="1"/>
  <c r="G93" i="3"/>
  <c r="I93" i="3" s="1"/>
  <c r="G108" i="3"/>
  <c r="H108" i="3" s="1"/>
  <c r="G53" i="3"/>
  <c r="I53" i="3" s="1"/>
  <c r="G68" i="3"/>
  <c r="I68" i="3" s="1"/>
  <c r="G94" i="3"/>
  <c r="G100" i="3"/>
  <c r="H100" i="3" s="1"/>
  <c r="G28" i="3"/>
  <c r="I28" i="3" s="1"/>
  <c r="G41" i="3"/>
  <c r="H41" i="3" s="1"/>
  <c r="G45" i="3"/>
  <c r="H45" i="3" s="1"/>
  <c r="G55" i="3"/>
  <c r="G64" i="3"/>
  <c r="G106" i="3"/>
  <c r="G112" i="3"/>
  <c r="I112" i="3" s="1"/>
  <c r="E18" i="1"/>
  <c r="F8" i="3"/>
  <c r="G9" i="9"/>
  <c r="D12" i="9"/>
  <c r="F12" i="9" s="1"/>
  <c r="E13" i="3"/>
  <c r="F16" i="3"/>
  <c r="G16" i="3" s="1"/>
  <c r="G84" i="3"/>
  <c r="G92" i="3"/>
  <c r="L10" i="4"/>
  <c r="L14" i="4"/>
  <c r="F11" i="9"/>
  <c r="E21" i="8"/>
  <c r="E13" i="8"/>
  <c r="E16" i="8"/>
  <c r="E8" i="8"/>
  <c r="D25" i="7"/>
  <c r="H24" i="7"/>
  <c r="D23" i="7"/>
  <c r="H22" i="7"/>
  <c r="D21" i="7"/>
  <c r="H20" i="7"/>
  <c r="D19" i="7"/>
  <c r="H18" i="7"/>
  <c r="D17" i="7"/>
  <c r="H16" i="7"/>
  <c r="E19" i="8"/>
  <c r="E11" i="8"/>
  <c r="E22" i="8"/>
  <c r="E14" i="8"/>
  <c r="E6" i="8"/>
  <c r="J25" i="7"/>
  <c r="F24" i="7"/>
  <c r="J23" i="7"/>
  <c r="F22" i="7"/>
  <c r="J21" i="7"/>
  <c r="F20" i="7"/>
  <c r="J19" i="7"/>
  <c r="F18" i="7"/>
  <c r="J17" i="7"/>
  <c r="F16" i="7"/>
  <c r="J15" i="7"/>
  <c r="F14" i="7"/>
  <c r="J13" i="7"/>
  <c r="F12" i="7"/>
  <c r="J11" i="7"/>
  <c r="F10" i="7"/>
  <c r="J9" i="7"/>
  <c r="F8" i="7"/>
  <c r="J7" i="7"/>
  <c r="F6" i="7"/>
  <c r="M26" i="6"/>
  <c r="D26" i="6"/>
  <c r="M24" i="6"/>
  <c r="D24" i="6"/>
  <c r="M22" i="6"/>
  <c r="D22" i="6"/>
  <c r="M20" i="6"/>
  <c r="D20" i="6"/>
  <c r="M18" i="6"/>
  <c r="D18" i="6"/>
  <c r="M16" i="6"/>
  <c r="D16" i="6"/>
  <c r="M14" i="6"/>
  <c r="D14" i="6"/>
  <c r="M12" i="6"/>
  <c r="E17" i="8"/>
  <c r="E9" i="8"/>
  <c r="I25" i="7"/>
  <c r="E24" i="7"/>
  <c r="I23" i="7"/>
  <c r="E22" i="7"/>
  <c r="I21" i="7"/>
  <c r="E20" i="7"/>
  <c r="I19" i="7"/>
  <c r="E18" i="7"/>
  <c r="I17" i="7"/>
  <c r="E16" i="7"/>
  <c r="I15" i="7"/>
  <c r="E14" i="7"/>
  <c r="I13" i="7"/>
  <c r="E12" i="7"/>
  <c r="I11" i="7"/>
  <c r="E10" i="7"/>
  <c r="I9" i="7"/>
  <c r="E8" i="7"/>
  <c r="I7" i="7"/>
  <c r="E6" i="7"/>
  <c r="L26" i="6"/>
  <c r="C26" i="6"/>
  <c r="G25" i="6"/>
  <c r="L24" i="6"/>
  <c r="C24" i="6"/>
  <c r="G23" i="6"/>
  <c r="L22" i="6"/>
  <c r="C22" i="6"/>
  <c r="G21" i="6"/>
  <c r="L20" i="6"/>
  <c r="C20" i="6"/>
  <c r="G19" i="6"/>
  <c r="L18" i="6"/>
  <c r="C18" i="6"/>
  <c r="G17" i="6"/>
  <c r="L16" i="6"/>
  <c r="C16" i="6"/>
  <c r="G15" i="6"/>
  <c r="L14" i="6"/>
  <c r="C14" i="6"/>
  <c r="G13" i="6"/>
  <c r="L12" i="6"/>
  <c r="C12" i="6"/>
  <c r="G11" i="6"/>
  <c r="L10" i="6"/>
  <c r="C10" i="6"/>
  <c r="G9" i="6"/>
  <c r="L8" i="6"/>
  <c r="C8" i="6"/>
  <c r="G7" i="6"/>
  <c r="E20" i="8"/>
  <c r="E12" i="8"/>
  <c r="E4" i="8"/>
  <c r="H25" i="7"/>
  <c r="D24" i="7"/>
  <c r="H23" i="7"/>
  <c r="D22" i="7"/>
  <c r="H21" i="7"/>
  <c r="D20" i="7"/>
  <c r="H19" i="7"/>
  <c r="D18" i="7"/>
  <c r="H17" i="7"/>
  <c r="D16" i="7"/>
  <c r="H15" i="7"/>
  <c r="D14" i="7"/>
  <c r="H13" i="7"/>
  <c r="D12" i="7"/>
  <c r="H11" i="7"/>
  <c r="D10" i="7"/>
  <c r="H9" i="7"/>
  <c r="D8" i="7"/>
  <c r="H7" i="7"/>
  <c r="D6" i="7"/>
  <c r="K26" i="6"/>
  <c r="F25" i="6"/>
  <c r="K24" i="6"/>
  <c r="F23" i="6"/>
  <c r="K22" i="6"/>
  <c r="F21" i="6"/>
  <c r="K20" i="6"/>
  <c r="F19" i="6"/>
  <c r="K18" i="6"/>
  <c r="F17" i="6"/>
  <c r="K16" i="6"/>
  <c r="F15" i="6"/>
  <c r="K14" i="6"/>
  <c r="F13" i="6"/>
  <c r="K12" i="6"/>
  <c r="F11" i="6"/>
  <c r="K10" i="6"/>
  <c r="F9" i="6"/>
  <c r="K8" i="6"/>
  <c r="F7" i="6"/>
  <c r="E23" i="8"/>
  <c r="E15" i="8"/>
  <c r="E7" i="8"/>
  <c r="G25" i="7"/>
  <c r="E18" i="8"/>
  <c r="E10" i="8"/>
  <c r="F25" i="7"/>
  <c r="J24" i="7"/>
  <c r="F23" i="7"/>
  <c r="J22" i="7"/>
  <c r="F21" i="7"/>
  <c r="J20" i="7"/>
  <c r="F19" i="7"/>
  <c r="J18" i="7"/>
  <c r="F17" i="7"/>
  <c r="J16" i="7"/>
  <c r="F15" i="7"/>
  <c r="J14" i="7"/>
  <c r="F13" i="7"/>
  <c r="J12" i="7"/>
  <c r="F11" i="7"/>
  <c r="J10" i="7"/>
  <c r="F9" i="7"/>
  <c r="J8" i="7"/>
  <c r="F7" i="7"/>
  <c r="J6" i="7"/>
  <c r="M25" i="6"/>
  <c r="D25" i="6"/>
  <c r="M23" i="6"/>
  <c r="D23" i="6"/>
  <c r="M21" i="6"/>
  <c r="D21" i="6"/>
  <c r="M19" i="6"/>
  <c r="D19" i="6"/>
  <c r="M17" i="6"/>
  <c r="D17" i="6"/>
  <c r="M15" i="6"/>
  <c r="D15" i="6"/>
  <c r="M13" i="6"/>
  <c r="D13" i="6"/>
  <c r="M11" i="6"/>
  <c r="D11" i="6"/>
  <c r="M9" i="6"/>
  <c r="D9" i="6"/>
  <c r="M7" i="6"/>
  <c r="C25" i="7"/>
  <c r="G23" i="7"/>
  <c r="I20" i="7"/>
  <c r="C19" i="7"/>
  <c r="C16" i="7"/>
  <c r="I12" i="7"/>
  <c r="G11" i="7"/>
  <c r="G10" i="7"/>
  <c r="D9" i="7"/>
  <c r="G26" i="6"/>
  <c r="F24" i="6"/>
  <c r="E23" i="6"/>
  <c r="E22" i="6"/>
  <c r="C21" i="6"/>
  <c r="N17" i="6"/>
  <c r="N16" i="6"/>
  <c r="L15" i="6"/>
  <c r="J14" i="6"/>
  <c r="K13" i="6"/>
  <c r="K11" i="6"/>
  <c r="J10" i="6"/>
  <c r="L9" i="6"/>
  <c r="M8" i="6"/>
  <c r="N7" i="6"/>
  <c r="E5" i="8"/>
  <c r="E23" i="7"/>
  <c r="G20" i="7"/>
  <c r="G17" i="7"/>
  <c r="H12" i="7"/>
  <c r="E11" i="7"/>
  <c r="C10" i="7"/>
  <c r="C9" i="7"/>
  <c r="F26" i="6"/>
  <c r="E25" i="6"/>
  <c r="E24" i="6"/>
  <c r="C23" i="6"/>
  <c r="N19" i="6"/>
  <c r="N18" i="6"/>
  <c r="L17" i="6"/>
  <c r="J16" i="6"/>
  <c r="K15" i="6"/>
  <c r="J13" i="6"/>
  <c r="G12" i="6"/>
  <c r="J11" i="6"/>
  <c r="K9" i="6"/>
  <c r="J8" i="6"/>
  <c r="L7" i="6"/>
  <c r="I24" i="7"/>
  <c r="C23" i="7"/>
  <c r="C20" i="7"/>
  <c r="E17" i="7"/>
  <c r="I14" i="7"/>
  <c r="G13" i="7"/>
  <c r="G12" i="7"/>
  <c r="D11" i="7"/>
  <c r="I6" i="7"/>
  <c r="E26" i="6"/>
  <c r="C25" i="6"/>
  <c r="N21" i="6"/>
  <c r="N20" i="6"/>
  <c r="L19" i="6"/>
  <c r="J18" i="6"/>
  <c r="K17" i="6"/>
  <c r="J15" i="6"/>
  <c r="G14" i="6"/>
  <c r="F12" i="6"/>
  <c r="G10" i="6"/>
  <c r="J9" i="6"/>
  <c r="K7" i="6"/>
  <c r="G24" i="7"/>
  <c r="G21" i="7"/>
  <c r="I18" i="7"/>
  <c r="C17" i="7"/>
  <c r="H14" i="7"/>
  <c r="E13" i="7"/>
  <c r="C12" i="7"/>
  <c r="C11" i="7"/>
  <c r="H6" i="7"/>
  <c r="N23" i="6"/>
  <c r="N22" i="6"/>
  <c r="L21" i="6"/>
  <c r="J20" i="6"/>
  <c r="K19" i="6"/>
  <c r="J17" i="6"/>
  <c r="G16" i="6"/>
  <c r="F14" i="6"/>
  <c r="E13" i="6"/>
  <c r="E12" i="6"/>
  <c r="E11" i="6"/>
  <c r="F10" i="6"/>
  <c r="G8" i="6"/>
  <c r="J7" i="6"/>
  <c r="C24" i="7"/>
  <c r="E21" i="7"/>
  <c r="G18" i="7"/>
  <c r="G15" i="7"/>
  <c r="G14" i="7"/>
  <c r="D13" i="7"/>
  <c r="I8" i="7"/>
  <c r="G7" i="7"/>
  <c r="G6" i="7"/>
  <c r="N25" i="6"/>
  <c r="N24" i="6"/>
  <c r="L23" i="6"/>
  <c r="J22" i="6"/>
  <c r="K21" i="6"/>
  <c r="J19" i="6"/>
  <c r="G18" i="6"/>
  <c r="F16" i="6"/>
  <c r="E15" i="6"/>
  <c r="E14" i="6"/>
  <c r="C13" i="6"/>
  <c r="D12" i="6"/>
  <c r="C11" i="6"/>
  <c r="E10" i="6"/>
  <c r="E9" i="6"/>
  <c r="F8" i="6"/>
  <c r="I22" i="7"/>
  <c r="C21" i="7"/>
  <c r="C18" i="7"/>
  <c r="E15" i="7"/>
  <c r="C14" i="7"/>
  <c r="C13" i="7"/>
  <c r="H8" i="7"/>
  <c r="E7" i="7"/>
  <c r="C6" i="7"/>
  <c r="N26" i="6"/>
  <c r="L25" i="6"/>
  <c r="J24" i="6"/>
  <c r="K23" i="6"/>
  <c r="J21" i="6"/>
  <c r="G20" i="6"/>
  <c r="F18" i="6"/>
  <c r="E17" i="6"/>
  <c r="E16" i="6"/>
  <c r="C15" i="6"/>
  <c r="D10" i="6"/>
  <c r="C9" i="6"/>
  <c r="E8" i="6"/>
  <c r="E7" i="6"/>
  <c r="G22" i="7"/>
  <c r="G19" i="7"/>
  <c r="I16" i="7"/>
  <c r="D15" i="7"/>
  <c r="I10" i="7"/>
  <c r="G9" i="7"/>
  <c r="G8" i="7"/>
  <c r="D7" i="7"/>
  <c r="J26" i="6"/>
  <c r="K25" i="6"/>
  <c r="J23" i="6"/>
  <c r="G22" i="6"/>
  <c r="F20" i="6"/>
  <c r="E19" i="6"/>
  <c r="E18" i="6"/>
  <c r="C17" i="6"/>
  <c r="N13" i="6"/>
  <c r="N12" i="6"/>
  <c r="N11" i="6"/>
  <c r="N10" i="6"/>
  <c r="D8" i="6"/>
  <c r="D7" i="6"/>
  <c r="E25" i="7"/>
  <c r="C22" i="7"/>
  <c r="E19" i="7"/>
  <c r="G16" i="7"/>
  <c r="C15" i="7"/>
  <c r="H10" i="7"/>
  <c r="E9" i="7"/>
  <c r="C8" i="7"/>
  <c r="C7" i="7"/>
  <c r="J25" i="6"/>
  <c r="G24" i="6"/>
  <c r="F22" i="6"/>
  <c r="E21" i="6"/>
  <c r="E20" i="6"/>
  <c r="C19" i="6"/>
  <c r="N15" i="6"/>
  <c r="N14" i="6"/>
  <c r="L13" i="6"/>
  <c r="J12" i="6"/>
  <c r="L11" i="6"/>
  <c r="M10" i="6"/>
  <c r="N9" i="6"/>
  <c r="N8" i="6"/>
  <c r="C7" i="6"/>
  <c r="L25" i="4"/>
  <c r="L23" i="4"/>
  <c r="L21" i="4"/>
  <c r="L19" i="4"/>
  <c r="L17" i="4"/>
  <c r="L15" i="4"/>
  <c r="L13" i="4"/>
  <c r="L11" i="4"/>
  <c r="L9" i="4"/>
  <c r="L7" i="4"/>
  <c r="L24" i="4"/>
  <c r="L20" i="4"/>
  <c r="L12" i="4"/>
  <c r="H16" i="9"/>
  <c r="I44" i="3"/>
  <c r="H44" i="3"/>
  <c r="G67" i="3"/>
  <c r="I81" i="3"/>
  <c r="H81" i="3"/>
  <c r="G114" i="3"/>
  <c r="I111" i="3"/>
  <c r="H111" i="3"/>
  <c r="I57" i="3"/>
  <c r="I97" i="3"/>
  <c r="H97" i="3"/>
  <c r="H107" i="3"/>
  <c r="I99" i="3"/>
  <c r="H99" i="3"/>
  <c r="D7" i="9"/>
  <c r="F7" i="9" s="1"/>
  <c r="F9" i="3"/>
  <c r="G10" i="9"/>
  <c r="D13" i="9"/>
  <c r="F13" i="9" s="1"/>
  <c r="E14" i="3"/>
  <c r="F15" i="9"/>
  <c r="H36" i="3"/>
  <c r="G54" i="3"/>
  <c r="H80" i="3"/>
  <c r="E14" i="9"/>
  <c r="G14" i="9" s="1"/>
  <c r="H14" i="9" s="1"/>
  <c r="F15" i="3"/>
  <c r="I23" i="3"/>
  <c r="H23" i="3"/>
  <c r="F17" i="3"/>
  <c r="G17" i="3" s="1"/>
  <c r="G7" i="9"/>
  <c r="E11" i="3"/>
  <c r="E13" i="9"/>
  <c r="G13" i="9" s="1"/>
  <c r="F14" i="3"/>
  <c r="G15" i="9"/>
  <c r="H24" i="3"/>
  <c r="I36" i="3"/>
  <c r="I39" i="3"/>
  <c r="H39" i="3"/>
  <c r="I83" i="3"/>
  <c r="H83" i="3"/>
  <c r="I85" i="3"/>
  <c r="I106" i="3"/>
  <c r="H106" i="3"/>
  <c r="H110" i="3"/>
  <c r="L8" i="4"/>
  <c r="E15" i="3"/>
  <c r="I30" i="3"/>
  <c r="H30" i="3"/>
  <c r="H40" i="3"/>
  <c r="H53" i="3"/>
  <c r="H65" i="3"/>
  <c r="E9" i="3"/>
  <c r="E8" i="3"/>
  <c r="G8" i="3" s="1"/>
  <c r="F9" i="9"/>
  <c r="H9" i="9" s="1"/>
  <c r="F11" i="3"/>
  <c r="G37" i="3"/>
  <c r="H56" i="3"/>
  <c r="I108" i="3"/>
  <c r="G113" i="3"/>
  <c r="G12" i="9"/>
  <c r="G11" i="9"/>
  <c r="F10" i="9"/>
  <c r="F13" i="3"/>
  <c r="I38" i="3" l="1"/>
  <c r="G88" i="3"/>
  <c r="I109" i="3"/>
  <c r="C44" i="1"/>
  <c r="C45" i="1"/>
  <c r="F45" i="1"/>
  <c r="F44" i="1"/>
  <c r="C46" i="1"/>
  <c r="F43" i="1"/>
  <c r="C43" i="1"/>
  <c r="C42" i="1"/>
  <c r="I78" i="3"/>
  <c r="F46" i="1"/>
  <c r="F42" i="1"/>
  <c r="I45" i="3"/>
  <c r="I51" i="3"/>
  <c r="I87" i="3"/>
  <c r="H31" i="3"/>
  <c r="I66" i="3"/>
  <c r="H82" i="3"/>
  <c r="H101" i="3"/>
  <c r="H12" i="3"/>
  <c r="I42" i="3"/>
  <c r="H69" i="3"/>
  <c r="H95" i="3"/>
  <c r="I98" i="3"/>
  <c r="I59" i="3"/>
  <c r="H86" i="3"/>
  <c r="I70" i="3"/>
  <c r="H93" i="3"/>
  <c r="H79" i="3"/>
  <c r="H10" i="3"/>
  <c r="C10" i="4" s="1"/>
  <c r="K10" i="4" s="1"/>
  <c r="M10" i="4" s="1"/>
  <c r="H27" i="3"/>
  <c r="I43" i="3"/>
  <c r="H58" i="3"/>
  <c r="I41" i="3"/>
  <c r="I52" i="3"/>
  <c r="I25" i="3"/>
  <c r="H72" i="3"/>
  <c r="I115" i="3"/>
  <c r="H28" i="3"/>
  <c r="I96" i="3"/>
  <c r="K15" i="7"/>
  <c r="M15" i="7" s="1"/>
  <c r="K24" i="7"/>
  <c r="K11" i="7"/>
  <c r="I22" i="3"/>
  <c r="I50" i="3"/>
  <c r="I26" i="3"/>
  <c r="H15" i="9"/>
  <c r="K6" i="7"/>
  <c r="H73" i="3"/>
  <c r="G116" i="3"/>
  <c r="K14" i="7"/>
  <c r="H68" i="3"/>
  <c r="H29" i="3"/>
  <c r="H10" i="9"/>
  <c r="I100" i="3"/>
  <c r="H112" i="3"/>
  <c r="I71" i="3"/>
  <c r="H71" i="3"/>
  <c r="G32" i="3"/>
  <c r="H64" i="3"/>
  <c r="I64" i="3"/>
  <c r="K7" i="7"/>
  <c r="H55" i="3"/>
  <c r="I55" i="3"/>
  <c r="G9" i="3"/>
  <c r="I9" i="3" s="1"/>
  <c r="C16" i="4" s="1"/>
  <c r="K16" i="4" s="1"/>
  <c r="G14" i="3"/>
  <c r="I14" i="3" s="1"/>
  <c r="C11" i="4" s="1"/>
  <c r="K11" i="4" s="1"/>
  <c r="H94" i="3"/>
  <c r="I94" i="3"/>
  <c r="H13" i="9"/>
  <c r="L26" i="4"/>
  <c r="I16" i="3"/>
  <c r="C9" i="4" s="1"/>
  <c r="K9" i="4" s="1"/>
  <c r="H16" i="3"/>
  <c r="C7" i="4" s="1"/>
  <c r="K7" i="4" s="1"/>
  <c r="I17" i="3"/>
  <c r="H17" i="3"/>
  <c r="K21" i="7"/>
  <c r="M21" i="7" s="1"/>
  <c r="K23" i="7"/>
  <c r="I84" i="3"/>
  <c r="H84" i="3"/>
  <c r="I67" i="3"/>
  <c r="H67" i="3"/>
  <c r="H54" i="3"/>
  <c r="I54" i="3"/>
  <c r="F19" i="8"/>
  <c r="G19" i="8" s="1"/>
  <c r="M21" i="4"/>
  <c r="K9" i="7"/>
  <c r="N27" i="6"/>
  <c r="K25" i="7"/>
  <c r="G13" i="3"/>
  <c r="G60" i="3"/>
  <c r="I37" i="3"/>
  <c r="H37" i="3"/>
  <c r="K22" i="7"/>
  <c r="L27" i="6"/>
  <c r="K10" i="7"/>
  <c r="M27" i="6"/>
  <c r="H12" i="9"/>
  <c r="E27" i="6"/>
  <c r="K27" i="6"/>
  <c r="H7" i="9"/>
  <c r="G74" i="3"/>
  <c r="C27" i="6"/>
  <c r="K8" i="7"/>
  <c r="D27" i="6"/>
  <c r="K13" i="7"/>
  <c r="J27" i="6"/>
  <c r="K12" i="7"/>
  <c r="G27" i="6"/>
  <c r="H11" i="9"/>
  <c r="G46" i="3"/>
  <c r="K16" i="7"/>
  <c r="H8" i="3"/>
  <c r="C6" i="4" s="1"/>
  <c r="K6" i="4" s="1"/>
  <c r="I8" i="3"/>
  <c r="C14" i="4" s="1"/>
  <c r="K14" i="4" s="1"/>
  <c r="G15" i="3"/>
  <c r="K19" i="7"/>
  <c r="I114" i="3"/>
  <c r="H114" i="3"/>
  <c r="I113" i="3"/>
  <c r="H113" i="3"/>
  <c r="G11" i="3"/>
  <c r="F13" i="8"/>
  <c r="G13" i="8" s="1"/>
  <c r="M15" i="4"/>
  <c r="K18" i="7"/>
  <c r="K17" i="7"/>
  <c r="K20" i="7"/>
  <c r="F27" i="6"/>
  <c r="I92" i="3"/>
  <c r="H92" i="3"/>
  <c r="G102" i="3"/>
  <c r="M11" i="7" l="1"/>
  <c r="H14" i="3"/>
  <c r="C18" i="4" s="1"/>
  <c r="K18" i="4" s="1"/>
  <c r="M18" i="7" s="1"/>
  <c r="H9" i="3"/>
  <c r="C8" i="4" s="1"/>
  <c r="K8" i="4" s="1"/>
  <c r="F6" i="8" s="1"/>
  <c r="G6" i="8" s="1"/>
  <c r="M7" i="7"/>
  <c r="F8" i="8"/>
  <c r="G8" i="8" s="1"/>
  <c r="M10" i="7"/>
  <c r="M9" i="7"/>
  <c r="I11" i="3"/>
  <c r="C22" i="4" s="1"/>
  <c r="K22" i="4" s="1"/>
  <c r="M22" i="7" s="1"/>
  <c r="H11" i="3"/>
  <c r="C12" i="4" s="1"/>
  <c r="K12" i="4" s="1"/>
  <c r="M12" i="7" s="1"/>
  <c r="F14" i="8"/>
  <c r="G14" i="8" s="1"/>
  <c r="M16" i="4"/>
  <c r="F12" i="8"/>
  <c r="G12" i="8" s="1"/>
  <c r="M14" i="4"/>
  <c r="H13" i="3"/>
  <c r="C20" i="4" s="1"/>
  <c r="K20" i="4" s="1"/>
  <c r="M20" i="7" s="1"/>
  <c r="I13" i="3"/>
  <c r="C17" i="4" s="1"/>
  <c r="K17" i="4" s="1"/>
  <c r="M17" i="7" s="1"/>
  <c r="G18" i="3"/>
  <c r="F4" i="8"/>
  <c r="G4" i="8" s="1"/>
  <c r="M6" i="4"/>
  <c r="C24" i="4"/>
  <c r="K24" i="4" s="1"/>
  <c r="C25" i="4"/>
  <c r="K25" i="4" s="1"/>
  <c r="C23" i="4"/>
  <c r="K23" i="4" s="1"/>
  <c r="M23" i="7" s="1"/>
  <c r="H8" i="1" a="1"/>
  <c r="H8" i="1" s="1"/>
  <c r="J6" i="1"/>
  <c r="J8" i="1"/>
  <c r="H6" i="1" a="1"/>
  <c r="H6" i="1" s="1"/>
  <c r="H7" i="1" a="1"/>
  <c r="H7" i="1" s="1"/>
  <c r="I6" i="1" a="1"/>
  <c r="I6" i="1" s="1"/>
  <c r="I8" i="1" a="1"/>
  <c r="I8" i="1" s="1"/>
  <c r="J7" i="1"/>
  <c r="I7" i="1" a="1"/>
  <c r="I7" i="1" s="1"/>
  <c r="F9" i="8"/>
  <c r="G9" i="8" s="1"/>
  <c r="M11" i="4"/>
  <c r="H15" i="3"/>
  <c r="C13" i="4" s="1"/>
  <c r="K13" i="4" s="1"/>
  <c r="M13" i="7" s="1"/>
  <c r="I15" i="3"/>
  <c r="C19" i="4" s="1"/>
  <c r="K19" i="4" s="1"/>
  <c r="M16" i="7"/>
  <c r="F5" i="8"/>
  <c r="G5" i="8" s="1"/>
  <c r="M7" i="4"/>
  <c r="F16" i="8"/>
  <c r="G16" i="8" s="1"/>
  <c r="M18" i="4"/>
  <c r="M14" i="7"/>
  <c r="M6" i="7"/>
  <c r="F7" i="8"/>
  <c r="G7" i="8" s="1"/>
  <c r="M9" i="4"/>
  <c r="M8" i="4" l="1"/>
  <c r="M8" i="7"/>
  <c r="K26" i="4"/>
  <c r="F21" i="8"/>
  <c r="G21" i="8" s="1"/>
  <c r="M23" i="4"/>
  <c r="F23" i="8"/>
  <c r="G23" i="8" s="1"/>
  <c r="M25" i="4"/>
  <c r="F22" i="8"/>
  <c r="G22" i="8" s="1"/>
  <c r="M24" i="4"/>
  <c r="M24" i="7"/>
  <c r="F17" i="8"/>
  <c r="G17" i="8" s="1"/>
  <c r="M19" i="4"/>
  <c r="F11" i="8"/>
  <c r="G11" i="8" s="1"/>
  <c r="M13" i="4"/>
  <c r="M25" i="7"/>
  <c r="M19" i="7"/>
  <c r="F15" i="8"/>
  <c r="G15" i="8" s="1"/>
  <c r="M17" i="4"/>
  <c r="F10" i="8"/>
  <c r="G10" i="8" s="1"/>
  <c r="M12" i="4"/>
  <c r="F18" i="8"/>
  <c r="G18" i="8" s="1"/>
  <c r="M20" i="4"/>
  <c r="F20" i="8"/>
  <c r="G20" i="8" s="1"/>
  <c r="M22" i="4"/>
  <c r="E7" i="1" l="1"/>
  <c r="D34" i="1"/>
  <c r="D35" i="1"/>
  <c r="F8" i="1"/>
  <c r="E36" i="1"/>
  <c r="E8" i="1"/>
  <c r="C33" i="1"/>
  <c r="F35" i="1"/>
  <c r="E33" i="1"/>
  <c r="D8" i="1"/>
  <c r="C35" i="1"/>
  <c r="C37" i="1"/>
  <c r="E34" i="1"/>
  <c r="F37" i="1"/>
  <c r="C7" i="1"/>
  <c r="D6" i="1"/>
  <c r="C34" i="1"/>
  <c r="E35" i="1"/>
  <c r="C36" i="1"/>
  <c r="E37" i="1"/>
  <c r="F7" i="1"/>
  <c r="F34" i="1"/>
  <c r="D23" i="1"/>
  <c r="E6" i="1"/>
  <c r="D37" i="1"/>
  <c r="M26" i="4"/>
  <c r="D36" i="1"/>
  <c r="D7" i="1"/>
  <c r="C6" i="1"/>
  <c r="F36" i="1"/>
  <c r="F6" i="1"/>
  <c r="D33" i="1"/>
  <c r="F33" i="1"/>
  <c r="C8" i="1"/>
  <c r="C23" i="1"/>
  <c r="E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<sst xmlns="http://schemas.openxmlformats.org/spreadsheetml/2006/main" count="2332" uniqueCount="273">
  <si>
    <t>🏆 BREAKING THE HABIT — DASHBOARD</t>
  </si>
  <si>
    <t>🥇 TOP 3 INDIVIDUAL (total c/ transição)</t>
  </si>
  <si>
    <t>🏅 TOP 3 DUPLAS (semana atual)</t>
  </si>
  <si>
    <t>Pos.</t>
  </si>
  <si>
    <t>Participante</t>
  </si>
  <si>
    <t>Pts Próprios</t>
  </si>
  <si>
    <t>Pts Transitados</t>
  </si>
  <si>
    <t>TOTAL FINAL</t>
  </si>
  <si>
    <t>Dupla</t>
  </si>
  <si>
    <t>Participantes</t>
  </si>
  <si>
    <t>Pontos</t>
  </si>
  <si>
    <t>🥇</t>
  </si>
  <si>
    <t>🥈</t>
  </si>
  <si>
    <t>🥉</t>
  </si>
  <si>
    <t>📈 RESUMO GERAL DO PROGRAMA</t>
  </si>
  <si>
    <t>Total Contactos</t>
  </si>
  <si>
    <t>Total Qualificações</t>
  </si>
  <si>
    <t>Total Agendamentos</t>
  </si>
  <si>
    <t>Total Reuniões</t>
  </si>
  <si>
    <t>Total Propostas</t>
  </si>
  <si>
    <t>Total Jokers Usados</t>
  </si>
  <si>
    <t>Total Penalizações</t>
  </si>
  <si>
    <t>Total Pontos Geral</t>
  </si>
  <si>
    <t>💡 Para rankings atualizados ordene a coluna TOTAL em 👤 Ranking Individual e 👥 Ranking Duplas.</t>
  </si>
  <si>
    <t>🌟 DESTAQUES DO PROGRAMA</t>
  </si>
  <si>
    <t>Métrica</t>
  </si>
  <si>
    <t>Melhor Consultor</t>
  </si>
  <si>
    <t>Valor</t>
  </si>
  <si>
    <t>Média Equipa</t>
  </si>
  <si>
    <t>🏅 Mais Pontos</t>
  </si>
  <si>
    <t>📞 Mais Contactos</t>
  </si>
  <si>
    <t>🤝 Mais Visitas/ Reuniões</t>
  </si>
  <si>
    <t>🏠 Mais Propostas</t>
  </si>
  <si>
    <t>💰 Mais Angariações/Transações</t>
  </si>
  <si>
    <t>💡 Top 3 e destaques atualizam automaticamente. Para rankings completos ordene as folhas 👤 Ranking Individual e 👥 Ranking Duplas.</t>
  </si>
  <si>
    <t>🏆 BREAKING THE HABIT — CONFIGURAÇÃO DO PROGRAMA</t>
  </si>
  <si>
    <t>SISTEMA DE PONTUAÇÃO</t>
  </si>
  <si>
    <t>DESAFIOS DO PROGRAMA (32)</t>
  </si>
  <si>
    <t>Atividade</t>
  </si>
  <si>
    <t>Descrição</t>
  </si>
  <si>
    <t>Multiplicador</t>
  </si>
  <si>
    <t>Nº</t>
  </si>
  <si>
    <t>Nome do Desafio</t>
  </si>
  <si>
    <t>Semana</t>
  </si>
  <si>
    <t>Contacto Realizado</t>
  </si>
  <si>
    <t>Contacto com cliente/prospeto</t>
  </si>
  <si>
    <t>Desafio 1</t>
  </si>
  <si>
    <t>Semana 1</t>
  </si>
  <si>
    <t>Tipo (C/V/A)</t>
  </si>
  <si>
    <t>Qualificação: Comprador, Vendedor ou Arrendamento</t>
  </si>
  <si>
    <t>Desafio 2</t>
  </si>
  <si>
    <t>Agendamento</t>
  </si>
  <si>
    <t>Agendamento de reunião ou visita</t>
  </si>
  <si>
    <t>Desafio 3</t>
  </si>
  <si>
    <t>Visita/Reunião</t>
  </si>
  <si>
    <t>Visita a imóvel ou reunião com proprietário</t>
  </si>
  <si>
    <t>Desafio 4</t>
  </si>
  <si>
    <t>Proposta</t>
  </si>
  <si>
    <t>Proposta apresentada ao cliente</t>
  </si>
  <si>
    <t>Desafio 5</t>
  </si>
  <si>
    <t>Semana 2</t>
  </si>
  <si>
    <t>Ang./Transação</t>
  </si>
  <si>
    <t>Angariação ou transação concluída</t>
  </si>
  <si>
    <t>Desafio 6</t>
  </si>
  <si>
    <t>PENALIZAÇÕES</t>
  </si>
  <si>
    <t>Desafio 7</t>
  </si>
  <si>
    <t>Tipo</t>
  </si>
  <si>
    <t>Código</t>
  </si>
  <si>
    <t>Desafio 8</t>
  </si>
  <si>
    <t>Atraso até 15 min</t>
  </si>
  <si>
    <t>Chegada tardia até 15 minutos</t>
  </si>
  <si>
    <t>AT1</t>
  </si>
  <si>
    <t>Desafio 9</t>
  </si>
  <si>
    <t>Semana 3</t>
  </si>
  <si>
    <t>Atraso acima 15 min</t>
  </si>
  <si>
    <t>Chegada tardia acima de 15 minutos</t>
  </si>
  <si>
    <t>AT2</t>
  </si>
  <si>
    <t>Desafio 10</t>
  </si>
  <si>
    <t>Falta injustificada</t>
  </si>
  <si>
    <t>Ausência sem justificação válida</t>
  </si>
  <si>
    <t>FI</t>
  </si>
  <si>
    <t>Desafio 11</t>
  </si>
  <si>
    <t>Falta justificada</t>
  </si>
  <si>
    <t>Escritura, médico ou força maior</t>
  </si>
  <si>
    <t>FJ</t>
  </si>
  <si>
    <t>Desafio 12</t>
  </si>
  <si>
    <t>Desafio 13</t>
  </si>
  <si>
    <t>Semana 4</t>
  </si>
  <si>
    <t>PONTUAÇÃO EXTRA DIÁRIA (POR DUPLA)</t>
  </si>
  <si>
    <t>Desafio 14</t>
  </si>
  <si>
    <t>Lugar</t>
  </si>
  <si>
    <t>Pontos Extra</t>
  </si>
  <si>
    <t>Desafio 15</t>
  </si>
  <si>
    <t>1º Lugar</t>
  </si>
  <si>
    <t>Dupla com mais pontos no desafio do dia</t>
  </si>
  <si>
    <t>Desafio 16</t>
  </si>
  <si>
    <t>2º Lugar</t>
  </si>
  <si>
    <t>Segunda dupla com mais pontos</t>
  </si>
  <si>
    <t>Desafio 17</t>
  </si>
  <si>
    <t>Semana 5</t>
  </si>
  <si>
    <t>3º Lugar</t>
  </si>
  <si>
    <t>Terceira dupla com mais pontos</t>
  </si>
  <si>
    <t>Desafio 18</t>
  </si>
  <si>
    <t>Restantes</t>
  </si>
  <si>
    <t>Duplas que cumpriram o desafio</t>
  </si>
  <si>
    <t>Desafio 19</t>
  </si>
  <si>
    <t>Desafio 20</t>
  </si>
  <si>
    <t>⚠️ Células amarelas são editáveis — alterações refletem-se em todo o ficheiro</t>
  </si>
  <si>
    <t>Desafio 21</t>
  </si>
  <si>
    <t>Semana 6</t>
  </si>
  <si>
    <t>Desafio 22</t>
  </si>
  <si>
    <t>PARTICIPANTES (nomes editáveis)</t>
  </si>
  <si>
    <t>Desafio 23</t>
  </si>
  <si>
    <t>Nome Participante</t>
  </si>
  <si>
    <t>Nº Ref.</t>
  </si>
  <si>
    <t>Desafio 24</t>
  </si>
  <si>
    <t>Carla Cantante</t>
  </si>
  <si>
    <t>P01</t>
  </si>
  <si>
    <t>Desafio 25</t>
  </si>
  <si>
    <t>Semana 7</t>
  </si>
  <si>
    <t>Elisabete Mendes</t>
  </si>
  <si>
    <t>P02</t>
  </si>
  <si>
    <t>Desafio 26</t>
  </si>
  <si>
    <t>Filipa Cunha</t>
  </si>
  <si>
    <t>P03</t>
  </si>
  <si>
    <t>Desafio 27</t>
  </si>
  <si>
    <t>Helena Rocha</t>
  </si>
  <si>
    <t>P04</t>
  </si>
  <si>
    <t>Desafio 28</t>
  </si>
  <si>
    <t>João Xavier</t>
  </si>
  <si>
    <t>P05</t>
  </si>
  <si>
    <t>Desafio 29</t>
  </si>
  <si>
    <t>Semana 8</t>
  </si>
  <si>
    <t>Tomás Carlos</t>
  </si>
  <si>
    <t>P06</t>
  </si>
  <si>
    <t>Desafio 30</t>
  </si>
  <si>
    <t>Alexandra Correia</t>
  </si>
  <si>
    <t>P07</t>
  </si>
  <si>
    <t>Desafio 31</t>
  </si>
  <si>
    <t>Carla Barata</t>
  </si>
  <si>
    <t>P08</t>
  </si>
  <si>
    <t>Desafio 32</t>
  </si>
  <si>
    <t>Denise Filipe</t>
  </si>
  <si>
    <t>P09</t>
  </si>
  <si>
    <t>PARÂMETROS DO PROGRAMA</t>
  </si>
  <si>
    <t>Fátima Rodriguez</t>
  </si>
  <si>
    <t>P10</t>
  </si>
  <si>
    <t>Duração (dias)</t>
  </si>
  <si>
    <t>Maria João Travassos</t>
  </si>
  <si>
    <t>P11</t>
  </si>
  <si>
    <t>Nº Desafios</t>
  </si>
  <si>
    <t>Marta Torres</t>
  </si>
  <si>
    <t>P12</t>
  </si>
  <si>
    <t>Nº Participantes</t>
  </si>
  <si>
    <t>Patricia Isabel Silva</t>
  </si>
  <si>
    <t>P13</t>
  </si>
  <si>
    <t>Nº Duplas por semana</t>
  </si>
  <si>
    <t>Paula Martins</t>
  </si>
  <si>
    <t>P14</t>
  </si>
  <si>
    <t>Inscrição por pessoa (€)</t>
  </si>
  <si>
    <t>Paula Miabara</t>
  </si>
  <si>
    <t>P15</t>
  </si>
  <si>
    <t>Data de Início</t>
  </si>
  <si>
    <t>Rita Carmo</t>
  </si>
  <si>
    <t>P16</t>
  </si>
  <si>
    <t>William Fernandes</t>
  </si>
  <si>
    <t>P17</t>
  </si>
  <si>
    <t>-</t>
  </si>
  <si>
    <t>P18</t>
  </si>
  <si>
    <t>P19</t>
  </si>
  <si>
    <t>P20</t>
  </si>
  <si>
    <t>🔄 BREAKING THE HABIT — ROTAÇÃO SEMANAL DE DUPLAS</t>
  </si>
  <si>
    <t>📝 Semana 1 pré-preenchida com pares iniciais. Para as semanas seguintes, selecione os nomes via dropdown (células amarelas) — os nomes vêm automaticamente da Configuração. 🔴 Alerta vermelho = participante repetido na mesma dupla.</t>
  </si>
  <si>
    <t>SEMANA 1</t>
  </si>
  <si>
    <t>Participante 1</t>
  </si>
  <si>
    <t>Participante 2</t>
  </si>
  <si>
    <t>Pts P1
(semana)</t>
  </si>
  <si>
    <t>Pts P2
(semana)</t>
  </si>
  <si>
    <t>Total
Dupla</t>
  </si>
  <si>
    <t>Transição P1
(÷2)</t>
  </si>
  <si>
    <t>Transição P2
(÷2)</t>
  </si>
  <si>
    <t>Totais Semana 1</t>
  </si>
  <si>
    <t>Total pontos gerados na semana →</t>
  </si>
  <si>
    <t>SEMANA 2</t>
  </si>
  <si>
    <t>Totais Semana 2</t>
  </si>
  <si>
    <t>SEMANA 3</t>
  </si>
  <si>
    <t>Totais Semana 3</t>
  </si>
  <si>
    <t>SEMANA 4</t>
  </si>
  <si>
    <t>Totais Semana 4</t>
  </si>
  <si>
    <t>SEMANA 5</t>
  </si>
  <si>
    <t>Totais Semana 5</t>
  </si>
  <si>
    <t>SEMANA 6</t>
  </si>
  <si>
    <t>Totais Semana 6</t>
  </si>
  <si>
    <t>SEMANA 7</t>
  </si>
  <si>
    <t>Totais Semana 7</t>
  </si>
  <si>
    <t>SEMANA 8</t>
  </si>
  <si>
    <t>Totais Semana 8</t>
  </si>
  <si>
    <t>⚠️ Atenção: Verifique manualmente se algum par se repete entre semanas. O alerta vermelho deteta apenas P1=P2 na mesma linha.</t>
  </si>
  <si>
    <t>💱 BREAKING THE HABIT — PONTOS TRANSITADOS (AUTO)</t>
  </si>
  <si>
    <t>✅ Esta folha é 100% automática — calcula os pontos transitados de cada participante diretamente da folha 🔄 Rotação Duplas. Não é necessário qualquer preenchimento manual. Os valores atualizam automaticamente quando as duplas da Rotação são definidas.</t>
  </si>
  <si>
    <t>Transitado
Sem. 1</t>
  </si>
  <si>
    <t>Transitado
Sem. 2</t>
  </si>
  <si>
    <t>Transitado
Sem. 3</t>
  </si>
  <si>
    <t>Transitado
Sem. 4</t>
  </si>
  <si>
    <t>Transitado
Sem. 5</t>
  </si>
  <si>
    <t>Transitado
Sem. 6</t>
  </si>
  <si>
    <t>Transitado
Sem. 7</t>
  </si>
  <si>
    <t>Transitado
Sem. 8</t>
  </si>
  <si>
    <t>Total
Transitado</t>
  </si>
  <si>
    <t>Pts Próprios
(Registo)</t>
  </si>
  <si>
    <t>📊 TOTAIS GERAIS</t>
  </si>
  <si>
    <t>📋 BREAKING THE HABIT — REGISTO DIÁRIO DE DESAFIOS</t>
  </si>
  <si>
    <t>IDENTIFICAÇÃO</t>
  </si>
  <si>
    <t>ATIVIDADES</t>
  </si>
  <si>
    <t>PONTOS ATIV.</t>
  </si>
  <si>
    <t>TOTAL</t>
  </si>
  <si>
    <t>DUPLA SEMANA</t>
  </si>
  <si>
    <t>Desafio Nº</t>
  </si>
  <si>
    <t>Contactos
(x1)</t>
  </si>
  <si>
    <t>Tipo
C/V/A
(x2)</t>
  </si>
  <si>
    <t>Agendamentos
(x5)</t>
  </si>
  <si>
    <t>Visitas/
Reuniões
(x10)</t>
  </si>
  <si>
    <t>Propostas
(x25)</t>
  </si>
  <si>
    <t>Ang./
Trans.
(x50)</t>
  </si>
  <si>
    <t>Pts
Atividade</t>
  </si>
  <si>
    <t>Tipo
Penaliz.</t>
  </si>
  <si>
    <t>Pts
Penaliz.</t>
  </si>
  <si>
    <t>Joker
(S/N)</t>
  </si>
  <si>
    <t>Lugar
Dupla</t>
  </si>
  <si>
    <t>Pts Extra
Lugar</t>
  </si>
  <si>
    <t>TOTAL
PONTOS</t>
  </si>
  <si>
    <t>Dupla da
Semana</t>
  </si>
  <si>
    <t>📈 BREAKING THE HABIT — TAXAS DE CONVERSÃO POR CONSULTOR</t>
  </si>
  <si>
    <t>Rácio = quantas atividades do nível anterior são necessárias para obter 1 do nível seguinte. Ex: '8' em Contactos→Reuniões significa que o consultor faz 8 contactos por cada reunião obtida.</t>
  </si>
  <si>
    <t>📊 ACUMULADO — TODO O PROGRAMA</t>
  </si>
  <si>
    <t>📅 SEMANAL — SELECIONE A SEMANA:</t>
  </si>
  <si>
    <t>← Altere o número da semana (1 a 8)</t>
  </si>
  <si>
    <t>Consultor</t>
  </si>
  <si>
    <t>Contactos
→ Reuniões</t>
  </si>
  <si>
    <t>Reuniões
→ Visitas</t>
  </si>
  <si>
    <t>Reuniões
→ Angariações</t>
  </si>
  <si>
    <t>Angariações
→ Transações</t>
  </si>
  <si>
    <t>Funil Completo
Contactos→Transações</t>
  </si>
  <si>
    <t>📊 MÉDIA EQUIPA</t>
  </si>
  <si>
    <t>📊 Gráficos de barras acumulados por rácio — quanto menor o número, mais eficiente o consultor nessa etapa do funil</t>
  </si>
  <si>
    <t>📊 BREAKING THE HABIT — RESUMO SEMANAL</t>
  </si>
  <si>
    <t>Pontos próprios por participante em cada semana (sem contar pontos transitados de divisão de duplas).</t>
  </si>
  <si>
    <t>Total Próprio</t>
  </si>
  <si>
    <t>Penalizações</t>
  </si>
  <si>
    <t>Total c/ Transição</t>
  </si>
  <si>
    <t>Dupla Atual</t>
  </si>
  <si>
    <t>Ordenar coluna G (TOTAL FINAL) para ver ranking atualizado. Total = Pontos próprios + Pontos transitados da divisão de duplas.</t>
  </si>
  <si>
    <t>👤 BREAKING THE HABIT — RANKING INDIVIDUAL</t>
  </si>
  <si>
    <t>👥 BREAKING THE HABIT — RANKING DUPLAS (SEMANA ATUAL)</t>
  </si>
  <si>
    <t>📌 Os nomes vêm automaticamente da folha 🔄 Rotação Duplas. Altere o número da semana (célula amarela D5) para ver os resultados de cada semana. Os pontos calculam automaticamente do Registo Diário.</t>
  </si>
  <si>
    <t>🔍 Ver semana:</t>
  </si>
  <si>
    <t>Dupla Nº</t>
  </si>
  <si>
    <t>Pts P1</t>
  </si>
  <si>
    <t>Pts P2</t>
  </si>
  <si>
    <t>TOTAL DUPLA</t>
  </si>
  <si>
    <t>Semana Atual</t>
  </si>
  <si>
    <t>⚠️ Editar no início de cada semana</t>
  </si>
  <si>
    <t>🏆 TOP 5 ACUMULADO INDIVIDUAL</t>
  </si>
  <si>
    <t>Todas as semanas decorridas</t>
  </si>
  <si>
    <t>4º</t>
  </si>
  <si>
    <t>5º</t>
  </si>
  <si>
    <t>AUX — Pts Semana Atual (ocultar)</t>
  </si>
  <si>
    <t>Pts Sem.</t>
  </si>
  <si>
    <t>🔥 TOP 5 SEMANA ATUAL</t>
  </si>
  <si>
    <t>Pontos da Semana</t>
  </si>
  <si>
    <t>💡 Esta tabela atualiza automaticamente ao mudar a semana em ⚙️ Configuração!H45</t>
  </si>
  <si>
    <t>Parceiro
(aux)</t>
  </si>
  <si>
    <t>Jokers
Dupla/Sem.
(aux)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</si>
</sst>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4" x14ac:knownFonts="1">
    <font>
      <sz val="11"/>
      <color theme="1"/>
      <name val="Calibri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b/>
      <sz val="12"/>
      <color rgb="FF375623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7030A0"/>
      <name val="Arial"/>
      <family val="2"/>
    </font>
    <font>
      <b/>
      <sz val="12"/>
      <color rgb="FFC00000"/>
      <name val="Arial"/>
      <family val="2"/>
    </font>
    <font>
      <sz val="9"/>
      <color rgb="FF1F3864"/>
      <name val="Arial"/>
      <family val="2"/>
    </font>
    <font>
      <b/>
      <sz val="10"/>
      <color rgb="FF000000"/>
      <name val="Arial"/>
      <family val="2"/>
    </font>
    <font>
      <b/>
      <sz val="11"/>
      <color rgb="FF375623"/>
      <name val="Arial"/>
      <family val="2"/>
    </font>
    <font>
      <sz val="10"/>
      <color rgb="FF7F6000"/>
      <name val="Arial"/>
      <family val="2"/>
    </font>
    <font>
      <b/>
      <sz val="10"/>
      <color rgb="FF375623"/>
      <name val="Arial"/>
      <family val="2"/>
    </font>
    <font>
      <b/>
      <sz val="14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7F6000"/>
      <name val="Arial"/>
      <family val="2"/>
    </font>
    <font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2E75B6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8"/>
      <color rgb="FF7F6000"/>
      <name val="Arial"/>
      <family val="2"/>
    </font>
    <font>
      <sz val="10"/>
      <color rgb="FF2E75B6"/>
      <name val="Arial"/>
      <family val="2"/>
    </font>
    <font>
      <b/>
      <sz val="11"/>
      <color rgb="FF7F6000"/>
      <name val="Arial"/>
      <family val="2"/>
    </font>
    <font>
      <b/>
      <sz val="12"/>
      <color rgb="FFFFFFFF"/>
      <name val="Arial"/>
      <family val="2"/>
    </font>
    <font>
      <b/>
      <sz val="11"/>
      <color rgb="FF2E75B6"/>
      <name val="Arial"/>
      <family val="2"/>
    </font>
    <font>
      <i/>
      <sz val="8"/>
      <color rgb="FF7F6000"/>
      <name val="Arial"/>
      <family val="2"/>
    </font>
    <font>
      <b/>
      <sz val="8"/>
      <color rgb="FFFFFFFF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1F3864"/>
      <name val="Arial"/>
      <family val="2"/>
    </font>
    <font>
      <b/>
      <sz val="11"/>
      <color rgb="FFC55A11"/>
      <name val="Arial"/>
      <family val="2"/>
    </font>
    <font>
      <b/>
      <sz val="11"/>
      <color rgb="FF7030A0"/>
      <name val="Arial"/>
      <family val="2"/>
    </font>
    <font>
      <b/>
      <sz val="11"/>
      <color rgb="FF833C00"/>
      <name val="Arial"/>
      <family val="2"/>
    </font>
    <font>
      <i/>
      <sz val="9"/>
      <color rgb="FF2E75B6"/>
      <name val="Arial"/>
      <family val="2"/>
    </font>
    <font>
      <b/>
      <sz val="14"/>
      <color rgb="FF1F3864"/>
      <name val="Arial"/>
      <family val="2"/>
    </font>
    <font>
      <b/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9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FFD700"/>
        <bgColor rgb="FFFFD70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AD1F5"/>
        <bgColor rgb="FFEAD1F5"/>
      </patternFill>
    </fill>
    <fill>
      <patternFill patternType="solid">
        <fgColor rgb="FFFFE0E0"/>
        <bgColor rgb="FFFFE0E0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FFFACD"/>
        <bgColor rgb="FFFFFACD"/>
      </patternFill>
    </fill>
    <fill>
      <patternFill patternType="solid">
        <fgColor rgb="FFDDEEFF"/>
        <bgColor rgb="FFDDEEFF"/>
      </patternFill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44" fillId="23" borderId="0" xfId="0" applyFont="1" applyFill="1" applyAlignment="1">
      <alignment horizontal="left"/>
    </xf>
    <xf numFmtId="0" fontId="0" fillId="23" borderId="0" xfId="0" applyFill="1"/>
    <xf numFmtId="0" fontId="45" fillId="23" borderId="0" xfId="0" applyFont="1" applyFill="1" applyAlignment="1">
      <alignment horizontal="right"/>
    </xf>
    <xf numFmtId="0" fontId="50" fillId="0" borderId="0" xfId="0" applyFont="1"/>
    <xf numFmtId="0" fontId="46" fillId="24" borderId="0" xfId="0" applyFont="1" applyFill="1" applyAlignment="1">
      <alignment horizontal="center"/>
    </xf>
    <xf numFmtId="0" fontId="46" fillId="24" borderId="0" xfId="0" applyFont="1" applyFill="1"/>
    <xf numFmtId="0" fontId="51" fillId="24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6" fillId="25" borderId="0" xfId="0" applyFont="1" applyFill="1" applyAlignment="1">
      <alignment horizontal="center"/>
    </xf>
    <xf numFmtId="0" fontId="49" fillId="0" borderId="0" xfId="0" applyFont="1"/>
    <xf numFmtId="0" fontId="46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26" borderId="0" xfId="0" applyFont="1" applyFill="1" applyAlignment="1">
      <alignment horizontal="left"/>
    </xf>
    <xf numFmtId="0" fontId="0" fillId="26" borderId="0" xfId="0" applyFill="1"/>
    <xf numFmtId="0" fontId="45" fillId="26" borderId="0" xfId="0" applyFont="1" applyFill="1" applyAlignment="1">
      <alignment horizontal="right"/>
    </xf>
    <xf numFmtId="0" fontId="46" fillId="27" borderId="0" xfId="0" applyFont="1" applyFill="1" applyAlignment="1">
      <alignment horizontal="center"/>
    </xf>
    <xf numFmtId="0" fontId="46" fillId="27" borderId="0" xfId="0" applyFont="1" applyFill="1"/>
    <xf numFmtId="0" fontId="0" fillId="27" borderId="0" xfId="0" applyFill="1"/>
    <xf numFmtId="0" fontId="52" fillId="0" borderId="0" xfId="0" applyFont="1" applyAlignment="1">
      <alignment horizontal="center"/>
    </xf>
    <xf numFmtId="0" fontId="18" fillId="15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9" fillId="0" borderId="0" xfId="0" applyFont="1"/>
    <xf numFmtId="0" fontId="4" fillId="16" borderId="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4" fillId="17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left" vertical="center" wrapText="1"/>
    </xf>
    <xf numFmtId="0" fontId="43" fillId="0" borderId="0" xfId="0" applyFont="1"/>
    <xf numFmtId="0" fontId="18" fillId="15" borderId="4" xfId="0" applyFont="1" applyFill="1" applyBorder="1" applyAlignment="1" applyProtection="1">
      <alignment horizontal="center" vertical="center"/>
      <protection locked="0"/>
    </xf>
    <xf numFmtId="1" fontId="42" fillId="22" borderId="0" xfId="0" applyNumberFormat="1" applyFont="1" applyFill="1" applyAlignment="1" applyProtection="1">
      <alignment horizontal="center"/>
      <protection locked="0"/>
    </xf>
    <xf numFmtId="0" fontId="21" fillId="7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3" fillId="19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6" fillId="2" borderId="8" xfId="0" applyFont="1" applyFill="1" applyBorder="1"/>
    <xf numFmtId="0" fontId="25" fillId="4" borderId="4" xfId="0" applyFont="1" applyFill="1" applyBorder="1" applyAlignment="1">
      <alignment horizontal="center" vertical="center"/>
    </xf>
    <xf numFmtId="0" fontId="18" fillId="15" borderId="4" xfId="0" applyFont="1" applyFill="1" applyBorder="1" applyAlignment="1" applyProtection="1">
      <alignment horizontal="left" vertical="center"/>
      <protection locked="0"/>
    </xf>
    <xf numFmtId="0" fontId="26" fillId="11" borderId="8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left" vertical="center" wrapText="1"/>
    </xf>
    <xf numFmtId="0" fontId="28" fillId="19" borderId="4" xfId="0" applyFont="1" applyFill="1" applyBorder="1" applyAlignment="1">
      <alignment horizontal="center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10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3" fillId="28" borderId="0" xfId="0" applyFont="1" applyFill="1" applyAlignment="1">
      <alignment horizontal="center" wrapText="1"/>
    </xf>
    <xf numFmtId="0" fontId="34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0" fontId="18" fillId="11" borderId="4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8" fillId="19" borderId="4" xfId="0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 applyProtection="1">
      <alignment horizontal="center" vertical="center"/>
      <protection locked="0"/>
    </xf>
    <xf numFmtId="0" fontId="35" fillId="13" borderId="4" xfId="0" applyFont="1" applyFill="1" applyBorder="1" applyAlignment="1" applyProtection="1">
      <alignment horizontal="center" vertical="center"/>
      <protection locked="0"/>
    </xf>
    <xf numFmtId="0" fontId="18" fillId="18" borderId="4" xfId="0" applyFont="1" applyFill="1" applyBorder="1" applyAlignment="1" applyProtection="1">
      <alignment horizontal="center" vertical="center"/>
      <protection locked="0"/>
    </xf>
    <xf numFmtId="0" fontId="22" fillId="18" borderId="4" xfId="0" applyFont="1" applyFill="1" applyBorder="1" applyAlignment="1" applyProtection="1">
      <alignment horizontal="center" vertical="center"/>
      <protection locked="0"/>
    </xf>
    <xf numFmtId="0" fontId="25" fillId="10" borderId="8" xfId="0" applyFont="1" applyFill="1" applyBorder="1" applyAlignment="1">
      <alignment horizontal="center" vertical="center" wrapText="1"/>
    </xf>
    <xf numFmtId="0" fontId="36" fillId="15" borderId="4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 wrapText="1"/>
    </xf>
    <xf numFmtId="0" fontId="31" fillId="19" borderId="4" xfId="0" applyFont="1" applyFill="1" applyBorder="1" applyAlignment="1">
      <alignment horizontal="center" vertical="center"/>
    </xf>
    <xf numFmtId="0" fontId="37" fillId="21" borderId="4" xfId="0" applyFont="1" applyFill="1" applyBorder="1" applyAlignment="1">
      <alignment horizontal="center" vertical="center"/>
    </xf>
    <xf numFmtId="0" fontId="38" fillId="12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39" fillId="21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left" vertical="center"/>
    </xf>
    <xf numFmtId="0" fontId="40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8" fillId="19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/>
    </xf>
    <xf numFmtId="0" fontId="19" fillId="0" borderId="4" xfId="0" applyFont="1" applyBorder="1"/>
    <xf numFmtId="0" fontId="41" fillId="15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2" fillId="1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18" fillId="15" borderId="5" xfId="0" applyNumberFormat="1" applyFont="1" applyFill="1" applyBorder="1" applyAlignment="1" applyProtection="1">
      <alignment horizontal="center" vertical="center"/>
      <protection locked="0"/>
    </xf>
    <xf numFmtId="0" fontId="6" fillId="11" borderId="5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horizontal="left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5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right" vertical="center" wrapText="1"/>
    </xf>
    <xf numFmtId="0" fontId="25" fillId="2" borderId="5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0" fillId="15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/>
    <xf numFmtId="0" fontId="22" fillId="15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9"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  <dxf>
      <font>
        <b/>
        <color rgb="FFFF0000"/>
      </font>
      <fill>
        <patternFill patternType="solid">
          <fgColor rgb="FFFFE0E0"/>
          <bgColor rgb="FFFF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pt-PT" sz="1800" b="1" i="0">
                <a:solidFill>
                  <a:srgbClr val="000000"/>
                </a:solidFill>
                <a:latin typeface="Calibri"/>
              </a:rPr>
              <a:t>Contactos → Reuniões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861965999594"/>
          <c:y val="0.17622120248384321"/>
          <c:w val="0.7596946242346132"/>
          <c:h val="0.77126453909685111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'📈 Taxas de Conversão'!$B$7:$B$26</c:f>
              <c:strCache>
                <c:ptCount val="20"/>
                <c:pt idx="0">
                  <c:v>Carla Cantante</c:v>
                </c:pt>
                <c:pt idx="1">
                  <c:v>Elisabete Mendes</c:v>
                </c:pt>
                <c:pt idx="2">
                  <c:v>Filipa Cunha</c:v>
                </c:pt>
                <c:pt idx="3">
                  <c:v>Helena Rocha</c:v>
                </c:pt>
                <c:pt idx="4">
                  <c:v>João Xavier</c:v>
                </c:pt>
                <c:pt idx="5">
                  <c:v>Tomás Carlos</c:v>
                </c:pt>
                <c:pt idx="6">
                  <c:v>Alexandra Correia</c:v>
                </c:pt>
                <c:pt idx="7">
                  <c:v>Carla Barata</c:v>
                </c:pt>
                <c:pt idx="8">
                  <c:v>Denise Filipe</c:v>
                </c:pt>
                <c:pt idx="9">
                  <c:v>Fátima Rodriguez</c:v>
                </c:pt>
                <c:pt idx="10">
                  <c:v>Maria João Travassos</c:v>
                </c:pt>
                <c:pt idx="11">
                  <c:v>Marta Torres</c:v>
                </c:pt>
                <c:pt idx="12">
                  <c:v>Patricia Isabel Silva</c:v>
                </c:pt>
                <c:pt idx="13">
                  <c:v>Paula Martins</c:v>
                </c:pt>
                <c:pt idx="14">
                  <c:v>Paula Miabara</c:v>
                </c:pt>
                <c:pt idx="15">
                  <c:v>Rita Carmo</c:v>
                </c:pt>
                <c:pt idx="16">
                  <c:v>William Fernandes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</c:strCache>
            </c:strRef>
          </c:cat>
          <c:val>
            <c:numRef>
              <c:f>'📈 Taxas de Conversão'!$C$7:$C$26</c:f>
              <c:numCache>
                <c:formatCode>General</c:formatCode>
                <c:ptCount val="20"/>
                <c:pt idx="0">
                  <c:v>6</c:v>
                </c:pt>
                <c:pt idx="1">
                  <c:v>9.5</c:v>
                </c:pt>
                <c:pt idx="2">
                  <c:v>5.0999999999999996</c:v>
                </c:pt>
                <c:pt idx="3">
                  <c:v>6</c:v>
                </c:pt>
                <c:pt idx="4">
                  <c:v>2.1</c:v>
                </c:pt>
                <c:pt idx="5">
                  <c:v>3</c:v>
                </c:pt>
                <c:pt idx="6">
                  <c:v>7.3</c:v>
                </c:pt>
                <c:pt idx="7">
                  <c:v>7</c:v>
                </c:pt>
                <c:pt idx="8">
                  <c:v>3.3</c:v>
                </c:pt>
                <c:pt idx="9">
                  <c:v>4.0999999999999996</c:v>
                </c:pt>
                <c:pt idx="10">
                  <c:v>7.5</c:v>
                </c:pt>
                <c:pt idx="11">
                  <c:v>2.9</c:v>
                </c:pt>
                <c:pt idx="12">
                  <c:v>5.2</c:v>
                </c:pt>
                <c:pt idx="13">
                  <c:v>0</c:v>
                </c:pt>
                <c:pt idx="14">
                  <c:v>2.7</c:v>
                </c:pt>
                <c:pt idx="15">
                  <c:v>6.6</c:v>
                </c:pt>
                <c:pt idx="16">
                  <c:v>2.8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BD-FA4E-B8EA-A5FE8667D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223378"/>
        <c:axId val="841908281"/>
      </c:barChart>
      <c:catAx>
        <c:axId val="11842233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Rácio (nº atividades por conversão)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41908281"/>
        <c:crosses val="autoZero"/>
        <c:auto val="1"/>
        <c:lblAlgn val="ctr"/>
        <c:lblOffset val="100"/>
        <c:noMultiLvlLbl val="1"/>
      </c:catAx>
      <c:valAx>
        <c:axId val="8419082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Consultor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18422337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pt-PT" sz="1800" b="1" i="0">
                <a:solidFill>
                  <a:srgbClr val="000000"/>
                </a:solidFill>
                <a:latin typeface="Calibri"/>
              </a:rPr>
              <a:t>Reuniões → Visitas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55A1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'📈 Taxas de Conversão'!$B$7:$B$26</c:f>
              <c:strCache>
                <c:ptCount val="20"/>
                <c:pt idx="0">
                  <c:v>Carla Cantante</c:v>
                </c:pt>
                <c:pt idx="1">
                  <c:v>Elisabete Mendes</c:v>
                </c:pt>
                <c:pt idx="2">
                  <c:v>Filipa Cunha</c:v>
                </c:pt>
                <c:pt idx="3">
                  <c:v>Helena Rocha</c:v>
                </c:pt>
                <c:pt idx="4">
                  <c:v>João Xavier</c:v>
                </c:pt>
                <c:pt idx="5">
                  <c:v>Tomás Carlos</c:v>
                </c:pt>
                <c:pt idx="6">
                  <c:v>Alexandra Correia</c:v>
                </c:pt>
                <c:pt idx="7">
                  <c:v>Carla Barata</c:v>
                </c:pt>
                <c:pt idx="8">
                  <c:v>Denise Filipe</c:v>
                </c:pt>
                <c:pt idx="9">
                  <c:v>Fátima Rodriguez</c:v>
                </c:pt>
                <c:pt idx="10">
                  <c:v>Maria João Travassos</c:v>
                </c:pt>
                <c:pt idx="11">
                  <c:v>Marta Torres</c:v>
                </c:pt>
                <c:pt idx="12">
                  <c:v>Patricia Isabel Silva</c:v>
                </c:pt>
                <c:pt idx="13">
                  <c:v>Paula Martins</c:v>
                </c:pt>
                <c:pt idx="14">
                  <c:v>Paula Miabara</c:v>
                </c:pt>
                <c:pt idx="15">
                  <c:v>Rita Carmo</c:v>
                </c:pt>
                <c:pt idx="16">
                  <c:v>William Fernandes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</c:strCache>
            </c:strRef>
          </c:cat>
          <c:val>
            <c:numRef>
              <c:f>'📈 Taxas de Conversão'!$D$7:$D$26</c:f>
              <c:numCache>
                <c:formatCode>General</c:formatCode>
                <c:ptCount val="20"/>
                <c:pt idx="0">
                  <c:v>5</c:v>
                </c:pt>
                <c:pt idx="1">
                  <c:v>0</c:v>
                </c:pt>
                <c:pt idx="2">
                  <c:v>4.5</c:v>
                </c:pt>
                <c:pt idx="3">
                  <c:v>0</c:v>
                </c:pt>
                <c:pt idx="4">
                  <c:v>2.2000000000000002</c:v>
                </c:pt>
                <c:pt idx="5">
                  <c:v>9</c:v>
                </c:pt>
                <c:pt idx="6">
                  <c:v>2</c:v>
                </c:pt>
                <c:pt idx="7">
                  <c:v>2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  <c:pt idx="11">
                  <c:v>2.7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2.5</c:v>
                </c:pt>
                <c:pt idx="16">
                  <c:v>2.2999999999999998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E4-9041-B8AC-19BD4FCB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522818"/>
        <c:axId val="687533991"/>
      </c:barChart>
      <c:catAx>
        <c:axId val="11855228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Rácio (nº atividades por conversão)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87533991"/>
        <c:crosses val="autoZero"/>
        <c:auto val="1"/>
        <c:lblAlgn val="ctr"/>
        <c:lblOffset val="100"/>
        <c:noMultiLvlLbl val="1"/>
      </c:catAx>
      <c:valAx>
        <c:axId val="6875339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Consultor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18552281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pt-PT" sz="1800" b="1" i="0">
                <a:solidFill>
                  <a:srgbClr val="000000"/>
                </a:solidFill>
                <a:latin typeface="Calibri"/>
              </a:rPr>
              <a:t>Reuniões → Angariações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cat>
            <c:strRef>
              <c:f>'📈 Taxas de Conversão'!$B$7:$B$26</c:f>
              <c:strCache>
                <c:ptCount val="20"/>
                <c:pt idx="0">
                  <c:v>Carla Cantante</c:v>
                </c:pt>
                <c:pt idx="1">
                  <c:v>Elisabete Mendes</c:v>
                </c:pt>
                <c:pt idx="2">
                  <c:v>Filipa Cunha</c:v>
                </c:pt>
                <c:pt idx="3">
                  <c:v>Helena Rocha</c:v>
                </c:pt>
                <c:pt idx="4">
                  <c:v>João Xavier</c:v>
                </c:pt>
                <c:pt idx="5">
                  <c:v>Tomás Carlos</c:v>
                </c:pt>
                <c:pt idx="6">
                  <c:v>Alexandra Correia</c:v>
                </c:pt>
                <c:pt idx="7">
                  <c:v>Carla Barata</c:v>
                </c:pt>
                <c:pt idx="8">
                  <c:v>Denise Filipe</c:v>
                </c:pt>
                <c:pt idx="9">
                  <c:v>Fátima Rodriguez</c:v>
                </c:pt>
                <c:pt idx="10">
                  <c:v>Maria João Travassos</c:v>
                </c:pt>
                <c:pt idx="11">
                  <c:v>Marta Torres</c:v>
                </c:pt>
                <c:pt idx="12">
                  <c:v>Patricia Isabel Silva</c:v>
                </c:pt>
                <c:pt idx="13">
                  <c:v>Paula Martins</c:v>
                </c:pt>
                <c:pt idx="14">
                  <c:v>Paula Miabara</c:v>
                </c:pt>
                <c:pt idx="15">
                  <c:v>Rita Carmo</c:v>
                </c:pt>
                <c:pt idx="16">
                  <c:v>William Fernandes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</c:strCache>
            </c:strRef>
          </c:cat>
          <c:val>
            <c:numRef>
              <c:f>'📈 Taxas de Conversão'!$E$7:$E$26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5-8843-8DED-892795EEF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323216"/>
        <c:axId val="675454513"/>
      </c:barChart>
      <c:catAx>
        <c:axId val="3913232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Rácio (nº atividades por conversão)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675454513"/>
        <c:crosses val="autoZero"/>
        <c:auto val="1"/>
        <c:lblAlgn val="ctr"/>
        <c:lblOffset val="100"/>
        <c:noMultiLvlLbl val="1"/>
      </c:catAx>
      <c:valAx>
        <c:axId val="67545451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9132321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pt-PT" sz="1800" b="1" i="0">
                <a:solidFill>
                  <a:srgbClr val="000000"/>
                </a:solidFill>
                <a:latin typeface="Calibri"/>
              </a:rPr>
              <a:t>Angariações → Transações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cat>
            <c:strRef>
              <c:f>'📈 Taxas de Conversão'!$B$7:$B$26</c:f>
              <c:strCache>
                <c:ptCount val="20"/>
                <c:pt idx="0">
                  <c:v>Carla Cantante</c:v>
                </c:pt>
                <c:pt idx="1">
                  <c:v>Elisabete Mendes</c:v>
                </c:pt>
                <c:pt idx="2">
                  <c:v>Filipa Cunha</c:v>
                </c:pt>
                <c:pt idx="3">
                  <c:v>Helena Rocha</c:v>
                </c:pt>
                <c:pt idx="4">
                  <c:v>João Xavier</c:v>
                </c:pt>
                <c:pt idx="5">
                  <c:v>Tomás Carlos</c:v>
                </c:pt>
                <c:pt idx="6">
                  <c:v>Alexandra Correia</c:v>
                </c:pt>
                <c:pt idx="7">
                  <c:v>Carla Barata</c:v>
                </c:pt>
                <c:pt idx="8">
                  <c:v>Denise Filipe</c:v>
                </c:pt>
                <c:pt idx="9">
                  <c:v>Fátima Rodriguez</c:v>
                </c:pt>
                <c:pt idx="10">
                  <c:v>Maria João Travassos</c:v>
                </c:pt>
                <c:pt idx="11">
                  <c:v>Marta Torres</c:v>
                </c:pt>
                <c:pt idx="12">
                  <c:v>Patricia Isabel Silva</c:v>
                </c:pt>
                <c:pt idx="13">
                  <c:v>Paula Martins</c:v>
                </c:pt>
                <c:pt idx="14">
                  <c:v>Paula Miabara</c:v>
                </c:pt>
                <c:pt idx="15">
                  <c:v>Rita Carmo</c:v>
                </c:pt>
                <c:pt idx="16">
                  <c:v>William Fernandes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</c:strCache>
            </c:strRef>
          </c:cat>
          <c:val>
            <c:numRef>
              <c:f>'📈 Taxas de Conversão'!$F$7:$F$26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1-7E4D-BA72-6D8713F1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19965"/>
        <c:axId val="1871788584"/>
      </c:barChart>
      <c:catAx>
        <c:axId val="101219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Rácio (nº atividades por conversão)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1871788584"/>
        <c:crosses val="autoZero"/>
        <c:auto val="1"/>
        <c:lblAlgn val="ctr"/>
        <c:lblOffset val="100"/>
        <c:noMultiLvlLbl val="1"/>
      </c:catAx>
      <c:valAx>
        <c:axId val="187178858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0121996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pt-PT" sz="1800" b="1" i="0">
                <a:solidFill>
                  <a:srgbClr val="000000"/>
                </a:solidFill>
                <a:latin typeface="Calibri"/>
              </a:rPr>
              <a:t>Funil: Contactos → Transações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1"/>
          <c:cat>
            <c:strRef>
              <c:f>'📈 Taxas de Conversão'!$B$7:$B$26</c:f>
              <c:strCache>
                <c:ptCount val="20"/>
                <c:pt idx="0">
                  <c:v>Carla Cantante</c:v>
                </c:pt>
                <c:pt idx="1">
                  <c:v>Elisabete Mendes</c:v>
                </c:pt>
                <c:pt idx="2">
                  <c:v>Filipa Cunha</c:v>
                </c:pt>
                <c:pt idx="3">
                  <c:v>Helena Rocha</c:v>
                </c:pt>
                <c:pt idx="4">
                  <c:v>João Xavier</c:v>
                </c:pt>
                <c:pt idx="5">
                  <c:v>Tomás Carlos</c:v>
                </c:pt>
                <c:pt idx="6">
                  <c:v>Alexandra Correia</c:v>
                </c:pt>
                <c:pt idx="7">
                  <c:v>Carla Barata</c:v>
                </c:pt>
                <c:pt idx="8">
                  <c:v>Denise Filipe</c:v>
                </c:pt>
                <c:pt idx="9">
                  <c:v>Fátima Rodriguez</c:v>
                </c:pt>
                <c:pt idx="10">
                  <c:v>Maria João Travassos</c:v>
                </c:pt>
                <c:pt idx="11">
                  <c:v>Marta Torres</c:v>
                </c:pt>
                <c:pt idx="12">
                  <c:v>Patricia Isabel Silva</c:v>
                </c:pt>
                <c:pt idx="13">
                  <c:v>Paula Martins</c:v>
                </c:pt>
                <c:pt idx="14">
                  <c:v>Paula Miabara</c:v>
                </c:pt>
                <c:pt idx="15">
                  <c:v>Rita Carmo</c:v>
                </c:pt>
                <c:pt idx="16">
                  <c:v>William Fernandes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</c:strCache>
            </c:strRef>
          </c:cat>
          <c:val>
            <c:numRef>
              <c:f>'📈 Taxas de Conversão'!$G$7:$G$26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D-664B-978F-889F0176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0893"/>
        <c:axId val="88248345"/>
      </c:barChart>
      <c:catAx>
        <c:axId val="111008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PT" sz="1000" b="1" i="0">
                    <a:solidFill>
                      <a:srgbClr val="000000"/>
                    </a:solidFill>
                    <a:latin typeface="Calibri"/>
                  </a:rPr>
                  <a:t>Rácio (nº atividades por conversão)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pt-PT"/>
          </a:p>
        </c:txPr>
        <c:crossAx val="88248345"/>
        <c:crosses val="autoZero"/>
        <c:auto val="1"/>
        <c:lblAlgn val="ctr"/>
        <c:lblOffset val="100"/>
        <c:noMultiLvlLbl val="1"/>
      </c:catAx>
      <c:valAx>
        <c:axId val="8824834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10089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pt-PT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1476375</xdr:colOff>
      <xdr:row>61</xdr:row>
      <xdr:rowOff>85725</xdr:rowOff>
    </xdr:from>
    <xdr:ext cx="7258050" cy="5448300"/>
    <xdr:graphicFrame macro="">
      <xdr:nvGraphicFramePr>
        <xdr:cNvPr id="224015003" name="Chart 1">
          <a:extLst>
            <a:ext uri="{FF2B5EF4-FFF2-40B4-BE49-F238E27FC236}">
              <a16:creationId xmlns:a16="http://schemas.microsoft.com/office/drawing/2014/main" id="{00000000-0008-0000-0500-00009B325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142875</xdr:colOff>
      <xdr:row>92</xdr:row>
      <xdr:rowOff>57150</xdr:rowOff>
    </xdr:from>
    <xdr:ext cx="7553325" cy="5448300"/>
    <xdr:graphicFrame macro="">
      <xdr:nvGraphicFramePr>
        <xdr:cNvPr id="5490103" name="Chart 2">
          <a:extLst>
            <a:ext uri="{FF2B5EF4-FFF2-40B4-BE49-F238E27FC236}">
              <a16:creationId xmlns:a16="http://schemas.microsoft.com/office/drawing/2014/main" id="{00000000-0008-0000-0500-0000B7C55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0</xdr:colOff>
      <xdr:row>31</xdr:row>
      <xdr:rowOff>0</xdr:rowOff>
    </xdr:from>
    <xdr:ext cx="7543800" cy="5276850"/>
    <xdr:graphicFrame macro="">
      <xdr:nvGraphicFramePr>
        <xdr:cNvPr id="493591281" name="Chart 3">
          <a:extLst>
            <a:ext uri="{FF2B5EF4-FFF2-40B4-BE49-F238E27FC236}">
              <a16:creationId xmlns:a16="http://schemas.microsoft.com/office/drawing/2014/main" id="{00000000-0008-0000-0500-0000F19A6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1476375</xdr:colOff>
      <xdr:row>31</xdr:row>
      <xdr:rowOff>85725</xdr:rowOff>
    </xdr:from>
    <xdr:ext cx="7315200" cy="5276850"/>
    <xdr:graphicFrame macro="">
      <xdr:nvGraphicFramePr>
        <xdr:cNvPr id="1283299401" name="Chart 4">
          <a:extLst>
            <a:ext uri="{FF2B5EF4-FFF2-40B4-BE49-F238E27FC236}">
              <a16:creationId xmlns:a16="http://schemas.microsoft.com/office/drawing/2014/main" id="{00000000-0008-0000-0500-000049987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7543800" cy="5276850"/>
    <xdr:graphicFrame macro="">
      <xdr:nvGraphicFramePr>
        <xdr:cNvPr id="2059433579" name="Chart 5">
          <a:extLst>
            <a:ext uri="{FF2B5EF4-FFF2-40B4-BE49-F238E27FC236}">
              <a16:creationId xmlns:a16="http://schemas.microsoft.com/office/drawing/2014/main" id="{00000000-0008-0000-0500-00006B76C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93D9D4-8FA3-804C-BBD3-09C71440A98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0991d92-9785-46fa-9a37-fb79f44cd424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showGridLines="0" tabSelected="1" workbookViewId="0"/>
  </sheetViews>
  <sheetFormatPr baseColWidth="10" defaultColWidth="14.5" defaultRowHeight="15" customHeight="1" outlineLevelCol="1" x14ac:dyDescent="0.2"/>
  <cols>
    <col min="1" max="1" width="3" customWidth="1"/>
    <col min="2" max="2" width="17.1640625" customWidth="1"/>
    <col min="3" max="3" width="13.33203125" customWidth="1"/>
    <col min="4" max="4" width="10.1640625" customWidth="1"/>
    <col min="5" max="5" width="12.33203125" customWidth="1"/>
    <col min="6" max="6" width="10.5" customWidth="1"/>
    <col min="7" max="7" width="4.33203125" customWidth="1"/>
    <col min="8" max="8" width="7.1640625" customWidth="1" outlineLevel="1"/>
    <col min="9" max="9" width="24.33203125" customWidth="1" outlineLevel="1"/>
    <col min="10" max="26" width="8.6640625" customWidth="1"/>
  </cols>
  <sheetData>
    <row r="1" spans="2:10" ht="9.75" customHeight="1" x14ac:dyDescent="0.2"/>
    <row r="2" spans="2:10" ht="49.5" customHeight="1" x14ac:dyDescent="0.2">
      <c r="B2" s="131" t="s">
        <v>0</v>
      </c>
      <c r="C2" s="132"/>
      <c r="D2" s="132"/>
      <c r="E2" s="132"/>
      <c r="F2" s="132"/>
      <c r="G2" s="132"/>
      <c r="H2" s="132"/>
      <c r="I2" s="132"/>
      <c r="J2" s="133"/>
    </row>
    <row r="3" spans="2:10" ht="9.75" customHeight="1" x14ac:dyDescent="0.2"/>
    <row r="4" spans="2:10" ht="15" customHeight="1" x14ac:dyDescent="0.2">
      <c r="B4" s="134" t="s">
        <v>1</v>
      </c>
      <c r="C4" s="132"/>
      <c r="D4" s="132"/>
      <c r="E4" s="133"/>
      <c r="G4" s="135" t="s">
        <v>2</v>
      </c>
      <c r="H4" s="132"/>
      <c r="I4" s="132"/>
      <c r="J4" s="133"/>
    </row>
    <row r="5" spans="2:10" ht="34.5" customHeight="1" x14ac:dyDescent="0.2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2" t="s">
        <v>3</v>
      </c>
      <c r="H5" s="2" t="s">
        <v>8</v>
      </c>
      <c r="I5" s="2" t="s">
        <v>9</v>
      </c>
      <c r="J5" s="2" t="s">
        <v>10</v>
      </c>
    </row>
    <row r="6" spans="2:10" ht="24.75" customHeight="1" x14ac:dyDescent="0.2">
      <c r="B6" s="3" t="s">
        <v>11</v>
      </c>
      <c r="C6" s="4" t="str">
        <f>IFERROR(INDEX('👤 Ranking Individual'!$C$4:$C$23,MATCH(LARGE('👤 Ranking Individual'!$G$4:$G$23,1),'👤 Ranking Individual'!$G$4:$G$23,0)),"-")</f>
        <v>João Xavier</v>
      </c>
      <c r="D6" s="5">
        <f>IFERROR(INDEX('👤 Ranking Individual'!$E$4:$E$23,MATCH(LARGE('👤 Ranking Individual'!$G$4:$G$23,1),'👤 Ranking Individual'!$G$4:$G$23,0)),0)</f>
        <v>83</v>
      </c>
      <c r="E6" s="5">
        <f>IFERROR(INDEX('👤 Ranking Individual'!$F$4:$F$23,MATCH(LARGE('👤 Ranking Individual'!$G$4:$G$23,1),'👤 Ranking Individual'!$G$4:$G$23,0)),0)</f>
        <v>68</v>
      </c>
      <c r="F6" s="6">
        <f>IFERROR(LARGE('👤 Ranking Individual'!$G$4:$G$23,1),0)</f>
        <v>151</v>
      </c>
      <c r="G6" s="3" t="s">
        <v>11</v>
      </c>
      <c r="H6" s="4" t="str">
        <f t="array" ref="H6">IFERROR(INDEX('👥 Ranking Duplas'!$C$7:$C$16,MATCH(LARGE('👥 Ranking Duplas'!$H$7:$H$16,1),'👥 Ranking Duplas'!$H$7:$H$16,0)),"-")</f>
        <v>Dupla 3</v>
      </c>
      <c r="I6" s="4" t="str">
        <f t="array" ref="I6">IFERROR(INDEX('👥 Ranking Duplas'!$D$7:$D$16,MATCH(LARGE('👥 Ranking Duplas'!$H$7:$H$16,1),'👥 Ranking Duplas'!$H$7:$H$16,0))&amp;" / "&amp;INDEX('👥 Ranking Duplas'!$E$7:$E$16,MATCH(LARGE('👥 Ranking Duplas'!$H$7:$H$16,1),'👥 Ranking Duplas'!$H$7:$H$16,0)),"-")</f>
        <v>João Xavier / Rita Carmo</v>
      </c>
      <c r="J6" s="6">
        <f>IFERROR(LARGE('👥 Ranking Duplas'!$H$7:$H$16,1),"-")</f>
        <v>136</v>
      </c>
    </row>
    <row r="7" spans="2:10" ht="24.75" customHeight="1" x14ac:dyDescent="0.2">
      <c r="B7" s="7" t="s">
        <v>12</v>
      </c>
      <c r="C7" s="4" t="str">
        <f>IFERROR(INDEX('👤 Ranking Individual'!$C$4:$C$23,MATCH(LARGE('👤 Ranking Individual'!$G$4:$G$23,2),'👤 Ranking Individual'!$G$4:$G$23,0)),"-")</f>
        <v>Filipa Cunha</v>
      </c>
      <c r="D7" s="5">
        <f>IFERROR(INDEX('👤 Ranking Individual'!$E$4:$E$23,MATCH(LARGE('👤 Ranking Individual'!$G$4:$G$23,2),'👤 Ranking Individual'!$G$4:$G$23,0)),0)</f>
        <v>74</v>
      </c>
      <c r="E7" s="5">
        <f>IFERROR(INDEX('👤 Ranking Individual'!$F$4:$F$23,MATCH(LARGE('👤 Ranking Individual'!$G$4:$G$23,2),'👤 Ranking Individual'!$G$4:$G$23,0)),0)</f>
        <v>56</v>
      </c>
      <c r="F7" s="6">
        <f>IFERROR(LARGE('👤 Ranking Individual'!$G$4:$G$23,2),0)</f>
        <v>130</v>
      </c>
      <c r="G7" s="7" t="s">
        <v>12</v>
      </c>
      <c r="H7" s="4" t="str">
        <f t="array" ref="H7">IFERROR(INDEX('👥 Ranking Duplas'!$C$7:$C$16,MATCH(LARGE('👥 Ranking Duplas'!$H$7:$H$16,2),'👥 Ranking Duplas'!$H$7:$H$16,0)),"-")</f>
        <v>Dupla 2</v>
      </c>
      <c r="I7" s="4" t="str">
        <f t="array" ref="I7">IFERROR(INDEX('👥 Ranking Duplas'!$D$7:$D$16,MATCH(LARGE('👥 Ranking Duplas'!$H$7:$H$16,2),'👥 Ranking Duplas'!$H$7:$H$16,0))&amp;" / "&amp;INDEX('👥 Ranking Duplas'!$E$7:$E$16,MATCH(LARGE('👥 Ranking Duplas'!$H$7:$H$16,2),'👥 Ranking Duplas'!$H$7:$H$16,0)),"-")</f>
        <v>Filipa Cunha / Maria João Travassos</v>
      </c>
      <c r="J7" s="6">
        <f>IFERROR(LARGE('👥 Ranking Duplas'!$H$7:$H$16,2),"-")</f>
        <v>112</v>
      </c>
    </row>
    <row r="8" spans="2:10" ht="24.75" customHeight="1" x14ac:dyDescent="0.2">
      <c r="B8" s="8" t="s">
        <v>13</v>
      </c>
      <c r="C8" s="4" t="str">
        <f>IFERROR(INDEX('👤 Ranking Individual'!$C$4:$C$23,MATCH(LARGE('👤 Ranking Individual'!$G$4:$G$23,3),'👤 Ranking Individual'!$G$4:$G$23,0)),"-")</f>
        <v>Rita Carmo</v>
      </c>
      <c r="D8" s="5">
        <f>IFERROR(INDEX('👤 Ranking Individual'!$E$4:$E$23,MATCH(LARGE('👤 Ranking Individual'!$G$4:$G$23,3),'👤 Ranking Individual'!$G$4:$G$23,0)),0)</f>
        <v>53</v>
      </c>
      <c r="E8" s="5">
        <f>IFERROR(INDEX('👤 Ranking Individual'!$F$4:$F$23,MATCH(LARGE('👤 Ranking Individual'!$G$4:$G$23,3),'👤 Ranking Individual'!$G$4:$G$23,0)),0)</f>
        <v>68</v>
      </c>
      <c r="F8" s="6">
        <f>IFERROR(LARGE('👤 Ranking Individual'!$G$4:$G$23,3),0)</f>
        <v>121</v>
      </c>
      <c r="G8" s="8" t="s">
        <v>13</v>
      </c>
      <c r="H8" s="4" t="str">
        <f t="array" ref="H8">IFERROR(INDEX('👥 Ranking Duplas'!$C$7:$C$16,MATCH(LARGE('👥 Ranking Duplas'!$H$7:$H$16,3),'👥 Ranking Duplas'!$H$7:$H$16,0)),"-")</f>
        <v>Dupla 4</v>
      </c>
      <c r="I8" s="4" t="str">
        <f t="array" ref="I8">IFERROR(INDEX('👥 Ranking Duplas'!$D$7:$D$16,MATCH(LARGE('👥 Ranking Duplas'!$H$7:$H$16,3),'👥 Ranking Duplas'!$H$7:$H$16,0))&amp;" / "&amp;INDEX('👥 Ranking Duplas'!$E$7:$E$16,MATCH(LARGE('👥 Ranking Duplas'!$H$7:$H$16,3),'👥 Ranking Duplas'!$H$7:$H$16,0)),"-")</f>
        <v>Alexandra Correia / William Fernandes</v>
      </c>
      <c r="J8" s="6">
        <f>IFERROR(LARGE('👥 Ranking Duplas'!$H$7:$H$16,3),"-")</f>
        <v>110</v>
      </c>
    </row>
    <row r="10" spans="2:10" ht="24.75" customHeight="1" x14ac:dyDescent="0.2">
      <c r="B10" s="136" t="s">
        <v>14</v>
      </c>
      <c r="C10" s="132"/>
      <c r="D10" s="132"/>
      <c r="E10" s="132"/>
      <c r="F10" s="132"/>
      <c r="G10" s="132"/>
      <c r="H10" s="132"/>
      <c r="I10" s="132"/>
      <c r="J10" s="133"/>
    </row>
    <row r="11" spans="2:10" ht="21.75" customHeight="1" x14ac:dyDescent="0.2">
      <c r="B11" s="129" t="s">
        <v>15</v>
      </c>
      <c r="C11" s="119"/>
      <c r="D11" s="120"/>
      <c r="E11" s="122">
        <f>SUM('📋 Registo Diário'!$E$7:$E$646)</f>
        <v>451</v>
      </c>
      <c r="F11" s="119"/>
      <c r="G11" s="119"/>
      <c r="H11" s="119"/>
      <c r="I11" s="119"/>
      <c r="J11" s="120"/>
    </row>
    <row r="12" spans="2:10" ht="21.75" customHeight="1" x14ac:dyDescent="0.2">
      <c r="B12" s="130" t="s">
        <v>16</v>
      </c>
      <c r="C12" s="119"/>
      <c r="D12" s="120"/>
      <c r="E12" s="123">
        <f>SUM('📋 Registo Diário'!$F$7:$F$646)</f>
        <v>101</v>
      </c>
      <c r="F12" s="119"/>
      <c r="G12" s="119"/>
      <c r="H12" s="119"/>
      <c r="I12" s="119"/>
      <c r="J12" s="120"/>
    </row>
    <row r="13" spans="2:10" ht="21.75" customHeight="1" x14ac:dyDescent="0.2">
      <c r="B13" s="129" t="s">
        <v>17</v>
      </c>
      <c r="C13" s="119"/>
      <c r="D13" s="120"/>
      <c r="E13" s="122">
        <f>SUM('📋 Registo Diário'!$G$7:$G$646)</f>
        <v>28</v>
      </c>
      <c r="F13" s="119"/>
      <c r="G13" s="119"/>
      <c r="H13" s="119"/>
      <c r="I13" s="119"/>
      <c r="J13" s="120"/>
    </row>
    <row r="14" spans="2:10" ht="21.75" customHeight="1" x14ac:dyDescent="0.2">
      <c r="B14" s="130" t="s">
        <v>18</v>
      </c>
      <c r="C14" s="119"/>
      <c r="D14" s="120"/>
      <c r="E14" s="123">
        <f>SUM('📋 Registo Diário'!$H$7:$H$646)</f>
        <v>0</v>
      </c>
      <c r="F14" s="119"/>
      <c r="G14" s="119"/>
      <c r="H14" s="119"/>
      <c r="I14" s="119"/>
      <c r="J14" s="120"/>
    </row>
    <row r="15" spans="2:10" ht="21.75" customHeight="1" x14ac:dyDescent="0.2">
      <c r="B15" s="129" t="s">
        <v>19</v>
      </c>
      <c r="C15" s="119"/>
      <c r="D15" s="120"/>
      <c r="E15" s="122">
        <f>SUM('📋 Registo Diário'!$I$7:$I$646)</f>
        <v>0</v>
      </c>
      <c r="F15" s="119"/>
      <c r="G15" s="119"/>
      <c r="H15" s="119"/>
      <c r="I15" s="119"/>
      <c r="J15" s="120"/>
    </row>
    <row r="16" spans="2:10" ht="21.75" customHeight="1" x14ac:dyDescent="0.2">
      <c r="B16" s="130" t="s">
        <v>20</v>
      </c>
      <c r="C16" s="119"/>
      <c r="D16" s="120"/>
      <c r="E16" s="124">
        <f>COUNTIF('📋 Registo Diário'!$N$7:$N$646,"S")</f>
        <v>0</v>
      </c>
      <c r="F16" s="119"/>
      <c r="G16" s="119"/>
      <c r="H16" s="119"/>
      <c r="I16" s="119"/>
      <c r="J16" s="120"/>
    </row>
    <row r="17" spans="2:10" ht="21.75" customHeight="1" x14ac:dyDescent="0.2">
      <c r="B17" s="129" t="s">
        <v>21</v>
      </c>
      <c r="C17" s="119"/>
      <c r="D17" s="120"/>
      <c r="E17" s="125">
        <f>SUM('📋 Registo Diário'!$M$7:$M$646)</f>
        <v>0</v>
      </c>
      <c r="F17" s="119"/>
      <c r="G17" s="119"/>
      <c r="H17" s="119"/>
      <c r="I17" s="119"/>
      <c r="J17" s="120"/>
    </row>
    <row r="18" spans="2:10" ht="21.75" customHeight="1" x14ac:dyDescent="0.2">
      <c r="B18" s="130" t="s">
        <v>22</v>
      </c>
      <c r="C18" s="119"/>
      <c r="D18" s="120"/>
      <c r="E18" s="126">
        <f>SUM('📋 Registo Diário'!$Q$7:$Q$646)</f>
        <v>793</v>
      </c>
      <c r="F18" s="119"/>
      <c r="G18" s="119"/>
      <c r="H18" s="119"/>
      <c r="I18" s="119"/>
      <c r="J18" s="120"/>
    </row>
    <row r="20" spans="2:10" ht="24.75" customHeight="1" x14ac:dyDescent="0.2">
      <c r="B20" s="121" t="s">
        <v>23</v>
      </c>
      <c r="C20" s="119"/>
      <c r="D20" s="119"/>
      <c r="E20" s="119"/>
      <c r="F20" s="119"/>
      <c r="G20" s="119"/>
      <c r="H20" s="119"/>
      <c r="I20" s="119"/>
      <c r="J20" s="120"/>
    </row>
    <row r="21" spans="2:10" ht="24.75" customHeight="1" x14ac:dyDescent="0.2">
      <c r="B21" s="127" t="s">
        <v>24</v>
      </c>
      <c r="C21" s="119"/>
      <c r="D21" s="119"/>
      <c r="E21" s="119"/>
      <c r="F21" s="119"/>
      <c r="G21" s="119"/>
      <c r="H21" s="119"/>
      <c r="I21" s="119"/>
      <c r="J21" s="120"/>
    </row>
    <row r="22" spans="2:10" ht="27.75" customHeight="1" x14ac:dyDescent="0.2">
      <c r="B22" s="9" t="s">
        <v>25</v>
      </c>
      <c r="C22" s="9" t="s">
        <v>26</v>
      </c>
      <c r="D22" s="9" t="s">
        <v>27</v>
      </c>
      <c r="E22" s="128" t="s">
        <v>28</v>
      </c>
      <c r="F22" s="119"/>
      <c r="G22" s="119"/>
      <c r="H22" s="119"/>
      <c r="I22" s="119"/>
      <c r="J22" s="120"/>
    </row>
    <row r="23" spans="2:10" ht="21.75" customHeight="1" x14ac:dyDescent="0.2">
      <c r="B23" s="10" t="s">
        <v>29</v>
      </c>
      <c r="C23" s="4" t="str">
        <f>IFERROR(INDEX('👤 Ranking Individual'!$C$4:$C$23,MATCH(MAX('👤 Ranking Individual'!$G$4:$G$23),'👤 Ranking Individual'!$G$4:$G$23,0)),"-")</f>
        <v>João Xavier</v>
      </c>
      <c r="D23" s="11">
        <f>IFERROR(MAX('👤 Ranking Individual'!$G$4:$G$23),0)</f>
        <v>151</v>
      </c>
      <c r="E23" s="118">
        <f>IFERROR(ROUND(AVERAGEIF('👤 Ranking Individual'!$G$6:$G$25,"&gt;"&amp;0),0),0)</f>
        <v>92</v>
      </c>
      <c r="F23" s="119"/>
      <c r="G23" s="119"/>
      <c r="H23" s="119"/>
      <c r="I23" s="119"/>
      <c r="J23" s="120"/>
    </row>
    <row r="24" spans="2:10" x14ac:dyDescent="0.2">
      <c r="B24" s="12" t="s">
        <v>30</v>
      </c>
      <c r="C24" s="13" t="str" cm="1">
        <f t="array" ref="C24">IFERROR(INDEX('👤 Ranking Individual'!$C$4:$C$23,MATCH(MAX(SUMIF('📋 Registo Diário'!$D$7:$D$646,'👤 Ranking Individual'!$C$4:$C$23,'📋 Registo Diário'!$E$7:$E$646)),SUMIF('📋 Registo Diário'!$D$7:$D$646,'👤 Ranking Individual'!$C$4:$C$23,'📋 Registo Diário'!$E$7:$E$646),0)),"-")</f>
        <v>Filipa Cunha</v>
      </c>
      <c r="D24" s="14" cm="1">
        <f t="array" ref="D24">IFERROR(MAX(SUMIF('📋 Registo Diário'!$D$7:$D$646,'👤 Ranking Individual'!$C$4:$C$23,'📋 Registo Diário'!$E$7:$E$646)),0)</f>
        <v>46</v>
      </c>
      <c r="E24" s="118">
        <f>IFERROR(ROUND(AVERAGEIF('📋 Registo Diário'!$E$7:$E$646,"&gt;"&amp;0),0),0)</f>
        <v>14</v>
      </c>
      <c r="F24" s="119"/>
      <c r="G24" s="119"/>
      <c r="H24" s="119"/>
      <c r="I24" s="119"/>
      <c r="J24" s="120"/>
    </row>
    <row r="25" spans="2:10" ht="28" x14ac:dyDescent="0.2">
      <c r="B25" s="10" t="s">
        <v>31</v>
      </c>
      <c r="C25" s="4" t="str" cm="1">
        <f t="array" ref="C25">IFERROR(INDEX('👤 Ranking Individual'!$C$4:$C$23,MATCH(MAX(SUMIF('📋 Registo Diário'!$D$7:$D$646,'👤 Ranking Individual'!$C$4:$C$23,'📋 Registo Diário'!$H$7:$H$646)),SUMIF('📋 Registo Diário'!$D$7:$D$646,'👤 Ranking Individual'!$C$4:$C$23,'📋 Registo Diário'!$H$7:$H$646),0)),"-")</f>
        <v>Carla Cantante</v>
      </c>
      <c r="D25" s="11" cm="1">
        <f t="array" ref="D25">IFERROR(MAX(SUMIF('📋 Registo Diário'!$D$7:$D$646,'👤 Ranking Individual'!$C$4:$C$23,'📋 Registo Diário'!$H$7:$H$646)),0)</f>
        <v>0</v>
      </c>
      <c r="E25" s="118">
        <f>IFERROR(ROUND(AVERAGEIF('📋 Registo Diário'!$H$7:$H$646,"&gt;"&amp;0),0),0)</f>
        <v>0</v>
      </c>
      <c r="F25" s="119"/>
      <c r="G25" s="119"/>
      <c r="H25" s="119"/>
      <c r="I25" s="119"/>
      <c r="J25" s="120"/>
    </row>
    <row r="26" spans="2:10" x14ac:dyDescent="0.2">
      <c r="B26" s="12" t="s">
        <v>32</v>
      </c>
      <c r="C26" s="13" t="str" cm="1">
        <f t="array" ref="C26">IFERROR(INDEX('👤 Ranking Individual'!$C$4:$C$23,MATCH(MAX(SUMIF('📋 Registo Diário'!$D$7:$D$646,'👤 Ranking Individual'!$C$4:$C$23,'📋 Registo Diário'!$I$7:$I$646)),SUMIF('📋 Registo Diário'!$D$7:$D$646,'👤 Ranking Individual'!$C$4:$C$23,'📋 Registo Diário'!$I$7:$I$646),0)),"-")</f>
        <v>Carla Cantante</v>
      </c>
      <c r="D26" s="11" cm="1">
        <f t="array" ref="D26">IFERROR(MAX(SUMIF('📋 Registo Diário'!$D$7:$D$646,'👤 Ranking Individual'!$C$4:$C$23,'📋 Registo Diário'!$I$7:$I$646)),0)</f>
        <v>0</v>
      </c>
      <c r="E26" s="118">
        <f>IFERROR(ROUND(AVERAGEIF('📋 Registo Diário'!$I$7:$I$646,"&gt;"&amp;0),0),0)</f>
        <v>0</v>
      </c>
      <c r="F26" s="119"/>
      <c r="G26" s="119"/>
      <c r="H26" s="119"/>
      <c r="I26" s="119"/>
      <c r="J26" s="120"/>
    </row>
    <row r="27" spans="2:10" ht="42" x14ac:dyDescent="0.2">
      <c r="B27" s="10" t="s">
        <v>33</v>
      </c>
      <c r="C27" s="4" t="str" cm="1">
        <f t="array" ref="C27">IFERROR(INDEX('👤 Ranking Individual'!$C$4:$C$23,MATCH(MAX(SUMIF('📋 Registo Diário'!$D$7:$D$646,'👤 Ranking Individual'!$C$4:$C$23,'📋 Registo Diário'!$J$7:$J$646)),SUMIF('📋 Registo Diário'!$D$7:$D$646,'👤 Ranking Individual'!$C$4:$C$23,'📋 Registo Diário'!$J$7:$J$646),0)),"-")</f>
        <v>Carla Cantante</v>
      </c>
      <c r="D27" s="11" cm="1">
        <f t="array" ref="D27">IFERROR(MAX(SUMIF('📋 Registo Diário'!$D$7:$D$646,'👤 Ranking Individual'!$C$4:$C$23,'📋 Registo Diário'!$J$7:$J$646)),0)</f>
        <v>0</v>
      </c>
      <c r="E27" s="118">
        <f>IFERROR(ROUND(AVERAGEIF('📋 Registo Diário'!$J$7:$J$646,"&gt;"&amp;0),0),0)</f>
        <v>0</v>
      </c>
      <c r="F27" s="119"/>
      <c r="G27" s="119"/>
      <c r="H27" s="119"/>
      <c r="I27" s="119"/>
      <c r="J27" s="120"/>
    </row>
    <row r="28" spans="2:10" ht="15.75" customHeight="1" x14ac:dyDescent="0.2"/>
    <row r="29" spans="2:10" ht="21.75" customHeight="1" x14ac:dyDescent="0.2">
      <c r="B29" s="121" t="s">
        <v>34</v>
      </c>
      <c r="C29" s="119"/>
      <c r="D29" s="119"/>
      <c r="E29" s="119"/>
      <c r="F29" s="119"/>
      <c r="G29" s="119"/>
      <c r="H29" s="119"/>
      <c r="I29" s="119"/>
      <c r="J29" s="120"/>
    </row>
    <row r="30" spans="2:10" ht="15.75" customHeight="1" x14ac:dyDescent="0.2"/>
    <row r="31" spans="2:10" ht="15.75" customHeight="1" x14ac:dyDescent="0.2">
      <c r="B31" s="15" t="s">
        <v>262</v>
      </c>
      <c r="C31" s="16"/>
      <c r="D31" s="16"/>
      <c r="E31" s="16"/>
      <c r="F31" s="17" t="s">
        <v>263</v>
      </c>
      <c r="H31" s="18" t="s">
        <v>266</v>
      </c>
    </row>
    <row r="32" spans="2:10" ht="15.75" customHeight="1" x14ac:dyDescent="0.2">
      <c r="B32" s="19" t="s">
        <v>3</v>
      </c>
      <c r="C32" s="20" t="s">
        <v>4</v>
      </c>
      <c r="D32" s="19" t="s">
        <v>5</v>
      </c>
      <c r="E32" s="19" t="s">
        <v>6</v>
      </c>
      <c r="F32" s="19" t="s">
        <v>215</v>
      </c>
      <c r="H32" s="21" t="s">
        <v>4</v>
      </c>
      <c r="I32" s="21" t="s">
        <v>267</v>
      </c>
    </row>
    <row r="33" spans="2:9" ht="15.75" customHeight="1" x14ac:dyDescent="0.25">
      <c r="B33" s="22" t="s">
        <v>11</v>
      </c>
      <c r="C33" t="str">
        <f>IFERROR(INDEX('👤 Ranking Individual'!$C$4:$C$23,MATCH(LARGE('👤 Ranking Individual'!$G$4:$G$23,1),'👤 Ranking Individual'!$G$4:$G$23,0)),"-")</f>
        <v>João Xavier</v>
      </c>
      <c r="D33" s="23">
        <f>IFERROR(INDEX('👤 Ranking Individual'!$E$4:$E$23,MATCH(LARGE('👤 Ranking Individual'!$G$4:$G$23,1),'👤 Ranking Individual'!$G$4:$G$23,0)),0)</f>
        <v>83</v>
      </c>
      <c r="E33" s="23">
        <f>IFERROR(INDEX('👤 Ranking Individual'!$F$4:$F$23,MATCH(LARGE('👤 Ranking Individual'!$G$4:$G$23,1),'👤 Ranking Individual'!$G$4:$G$23,0)),0)</f>
        <v>68</v>
      </c>
      <c r="F33" s="24">
        <f>IFERROR(LARGE('👤 Ranking Individual'!$G$4:$G$23,1),0)</f>
        <v>151</v>
      </c>
      <c r="H33" s="25" t="str">
        <f>'⚙️ Configuração'!C30</f>
        <v>Carla Cantante</v>
      </c>
      <c r="I33" s="25">
        <f>SUMIFS('📋 Registo Diário'!$Q$7:$Q$646,'📋 Registo Diário'!$D$7:$D$646,H33,'📋 Registo Diário'!$B$7:$B$646,"Semana "&amp;'⚙️ Configuração'!$H$45)</f>
        <v>0</v>
      </c>
    </row>
    <row r="34" spans="2:9" ht="15.75" customHeight="1" x14ac:dyDescent="0.25">
      <c r="B34" s="22" t="s">
        <v>12</v>
      </c>
      <c r="C34" t="str">
        <f>IFERROR(INDEX('👤 Ranking Individual'!$C$4:$C$23,MATCH(LARGE('👤 Ranking Individual'!$G$4:$G$23,2),'👤 Ranking Individual'!$G$4:$G$23,0)),"-")</f>
        <v>Filipa Cunha</v>
      </c>
      <c r="D34" s="23">
        <f>IFERROR(INDEX('👤 Ranking Individual'!$E$4:$E$23,MATCH(LARGE('👤 Ranking Individual'!$G$4:$G$23,2),'👤 Ranking Individual'!$G$4:$G$23,0)),0)</f>
        <v>74</v>
      </c>
      <c r="E34" s="23">
        <f>IFERROR(INDEX('👤 Ranking Individual'!$F$4:$F$23,MATCH(LARGE('👤 Ranking Individual'!$G$4:$G$23,2),'👤 Ranking Individual'!$G$4:$G$23,0)),0)</f>
        <v>56</v>
      </c>
      <c r="F34" s="26">
        <f>IFERROR(LARGE('👤 Ranking Individual'!$G$4:$G$23,2),0)</f>
        <v>130</v>
      </c>
      <c r="H34" s="25" t="str">
        <f>'⚙️ Configuração'!C31</f>
        <v>Elisabete Mendes</v>
      </c>
      <c r="I34" s="25">
        <f>SUMIFS('📋 Registo Diário'!$Q$7:$Q$646,'📋 Registo Diário'!$D$7:$D$646,H34,'📋 Registo Diário'!$B$7:$B$646,"Semana "&amp;'⚙️ Configuração'!$H$45)</f>
        <v>0</v>
      </c>
    </row>
    <row r="35" spans="2:9" ht="15.75" customHeight="1" x14ac:dyDescent="0.25">
      <c r="B35" s="22" t="s">
        <v>13</v>
      </c>
      <c r="C35" t="str">
        <f>IFERROR(INDEX('👤 Ranking Individual'!$C$4:$C$23,MATCH(LARGE('👤 Ranking Individual'!$G$4:$G$23,3),'👤 Ranking Individual'!$G$4:$G$23,0)),"-")</f>
        <v>Rita Carmo</v>
      </c>
      <c r="D35" s="23">
        <f>IFERROR(INDEX('👤 Ranking Individual'!$E$4:$E$23,MATCH(LARGE('👤 Ranking Individual'!$G$4:$G$23,3),'👤 Ranking Individual'!$G$4:$G$23,0)),0)</f>
        <v>53</v>
      </c>
      <c r="E35" s="23">
        <f>IFERROR(INDEX('👤 Ranking Individual'!$F$4:$F$23,MATCH(LARGE('👤 Ranking Individual'!$G$4:$G$23,3),'👤 Ranking Individual'!$G$4:$G$23,0)),0)</f>
        <v>68</v>
      </c>
      <c r="F35" s="26">
        <f>IFERROR(LARGE('👤 Ranking Individual'!$G$4:$G$23,3),0)</f>
        <v>121</v>
      </c>
      <c r="H35" s="25" t="str">
        <f>'⚙️ Configuração'!C32</f>
        <v>Filipa Cunha</v>
      </c>
      <c r="I35" s="25">
        <f>SUMIFS('📋 Registo Diário'!$Q$7:$Q$646,'📋 Registo Diário'!$D$7:$D$646,H35,'📋 Registo Diário'!$B$7:$B$646,"Semana "&amp;'⚙️ Configuração'!$H$45)</f>
        <v>0</v>
      </c>
    </row>
    <row r="36" spans="2:9" ht="15.75" customHeight="1" x14ac:dyDescent="0.25">
      <c r="B36" s="27" t="s">
        <v>264</v>
      </c>
      <c r="C36" t="str">
        <f>IFERROR(INDEX('👤 Ranking Individual'!$C$4:$C$23,MATCH(LARGE('👤 Ranking Individual'!$G$4:$G$23,4),'👤 Ranking Individual'!$G$4:$G$23,0)),"-")</f>
        <v>William Fernandes</v>
      </c>
      <c r="D36" s="23">
        <f>IFERROR(INDEX('👤 Ranking Individual'!$E$4:$E$23,MATCH(LARGE('👤 Ranking Individual'!$G$4:$G$23,4),'👤 Ranking Individual'!$G$4:$G$23,0)),0)</f>
        <v>63</v>
      </c>
      <c r="E36" s="23">
        <f>IFERROR(INDEX('👤 Ranking Individual'!$F$4:$F$23,MATCH(LARGE('👤 Ranking Individual'!$G$4:$G$23,4),'👤 Ranking Individual'!$G$4:$G$23,0)),0)</f>
        <v>55</v>
      </c>
      <c r="F36" s="26">
        <f>IFERROR(LARGE('👤 Ranking Individual'!$G$4:$G$23,4),0)</f>
        <v>118</v>
      </c>
      <c r="H36" s="25" t="str">
        <f>'⚙️ Configuração'!C33</f>
        <v>Helena Rocha</v>
      </c>
      <c r="I36" s="25">
        <f>SUMIFS('📋 Registo Diário'!$Q$7:$Q$646,'📋 Registo Diário'!$D$7:$D$646,H36,'📋 Registo Diário'!$B$7:$B$646,"Semana "&amp;'⚙️ Configuração'!$H$45)</f>
        <v>0</v>
      </c>
    </row>
    <row r="37" spans="2:9" ht="15.75" customHeight="1" x14ac:dyDescent="0.25">
      <c r="B37" s="27" t="s">
        <v>265</v>
      </c>
      <c r="C37" t="str">
        <f>IFERROR(INDEX('👤 Ranking Individual'!$C$4:$C$23,MATCH(LARGE('👤 Ranking Individual'!$G$4:$G$23,5),'👤 Ranking Individual'!$G$4:$G$23,0)),"-")</f>
        <v>Alexandra Correia</v>
      </c>
      <c r="D37" s="23">
        <f>IFERROR(INDEX('👤 Ranking Individual'!$E$4:$E$23,MATCH(LARGE('👤 Ranking Individual'!$G$4:$G$23,5),'👤 Ranking Individual'!$G$4:$G$23,0)),0)</f>
        <v>47</v>
      </c>
      <c r="E37" s="23">
        <f>IFERROR(INDEX('👤 Ranking Individual'!$F$4:$F$23,MATCH(LARGE('👤 Ranking Individual'!$G$4:$G$23,5),'👤 Ranking Individual'!$G$4:$G$23,0)),0)</f>
        <v>55</v>
      </c>
      <c r="F37" s="26">
        <f>IFERROR(LARGE('👤 Ranking Individual'!$G$4:$G$23,5),0)</f>
        <v>102</v>
      </c>
      <c r="H37" s="25" t="str">
        <f>'⚙️ Configuração'!C34</f>
        <v>João Xavier</v>
      </c>
      <c r="I37" s="25">
        <f>SUMIFS('📋 Registo Diário'!$Q$7:$Q$646,'📋 Registo Diário'!$D$7:$D$646,H37,'📋 Registo Diário'!$B$7:$B$646,"Semana "&amp;'⚙️ Configuração'!$H$45)</f>
        <v>0</v>
      </c>
    </row>
    <row r="38" spans="2:9" ht="15.75" customHeight="1" x14ac:dyDescent="0.2">
      <c r="H38" s="25" t="str">
        <f>'⚙️ Configuração'!C35</f>
        <v>Tomás Carlos</v>
      </c>
      <c r="I38" s="25">
        <f>SUMIFS('📋 Registo Diário'!$Q$7:$Q$646,'📋 Registo Diário'!$D$7:$D$646,H38,'📋 Registo Diário'!$B$7:$B$646,"Semana "&amp;'⚙️ Configuração'!$H$45)</f>
        <v>0</v>
      </c>
    </row>
    <row r="39" spans="2:9" ht="15.75" customHeight="1" x14ac:dyDescent="0.2">
      <c r="H39" s="25" t="str">
        <f>'⚙️ Configuração'!C36</f>
        <v>Alexandra Correia</v>
      </c>
      <c r="I39" s="25">
        <f>SUMIFS('📋 Registo Diário'!$Q$7:$Q$646,'📋 Registo Diário'!$D$7:$D$646,H39,'📋 Registo Diário'!$B$7:$B$646,"Semana "&amp;'⚙️ Configuração'!$H$45)</f>
        <v>0</v>
      </c>
    </row>
    <row r="40" spans="2:9" ht="15.75" customHeight="1" x14ac:dyDescent="0.2">
      <c r="B40" s="28" t="s">
        <v>268</v>
      </c>
      <c r="C40" s="29"/>
      <c r="D40" s="29"/>
      <c r="E40" s="29"/>
      <c r="F40" s="30" t="str">
        <f>"Semana "&amp;'⚙️ Configuração'!H45&amp;" (ajustar em ⚙️ H45)"</f>
        <v>Semana 2 (ajustar em ⚙️ H45)</v>
      </c>
      <c r="H40" s="25" t="str">
        <f>'⚙️ Configuração'!C37</f>
        <v>Carla Barata</v>
      </c>
      <c r="I40" s="25">
        <f>SUMIFS('📋 Registo Diário'!$Q$7:$Q$646,'📋 Registo Diário'!$D$7:$D$646,H40,'📋 Registo Diário'!$B$7:$B$646,"Semana "&amp;'⚙️ Configuração'!$H$45)</f>
        <v>0</v>
      </c>
    </row>
    <row r="41" spans="2:9" ht="15.75" customHeight="1" x14ac:dyDescent="0.2">
      <c r="B41" s="31" t="s">
        <v>3</v>
      </c>
      <c r="C41" s="32" t="s">
        <v>4</v>
      </c>
      <c r="D41" s="33"/>
      <c r="E41" s="33"/>
      <c r="F41" s="31" t="s">
        <v>269</v>
      </c>
      <c r="H41" s="25" t="str">
        <f>'⚙️ Configuração'!C38</f>
        <v>Denise Filipe</v>
      </c>
      <c r="I41" s="25">
        <f>SUMIFS('📋 Registo Diário'!$Q$7:$Q$646,'📋 Registo Diário'!$D$7:$D$646,H41,'📋 Registo Diário'!$B$7:$B$646,"Semana "&amp;'⚙️ Configuração'!$H$45)</f>
        <v>0</v>
      </c>
    </row>
    <row r="42" spans="2:9" ht="15.75" customHeight="1" x14ac:dyDescent="0.25">
      <c r="B42" s="22" t="s">
        <v>11</v>
      </c>
      <c r="C42" t="str">
        <f>IFERROR(IF(LARGE($I$33:$I$52,1)=0,"— sem registos —",INDEX($H$33:$H$52,MATCH(LARGE($I$33:$I$52,1),$I$33:$I$52,0))),"-")</f>
        <v>— sem registos —</v>
      </c>
      <c r="F42" s="24">
        <f>IFERROR(LARGE($I$33:$I$52,1),0)</f>
        <v>0</v>
      </c>
      <c r="H42" s="25" t="str">
        <f>'⚙️ Configuração'!C39</f>
        <v>Fátima Rodriguez</v>
      </c>
      <c r="I42" s="25">
        <f>SUMIFS('📋 Registo Diário'!$Q$7:$Q$646,'📋 Registo Diário'!$D$7:$D$646,H42,'📋 Registo Diário'!$B$7:$B$646,"Semana "&amp;'⚙️ Configuração'!$H$45)</f>
        <v>0</v>
      </c>
    </row>
    <row r="43" spans="2:9" ht="15.75" customHeight="1" x14ac:dyDescent="0.25">
      <c r="B43" s="22" t="s">
        <v>12</v>
      </c>
      <c r="C43" t="str">
        <f>IFERROR(IF(LARGE($I$33:$I$52,2)=0,"—",INDEX($H$33:$H$52,MATCH(LARGE($I$33:$I$52,2),$I$33:$I$52,0))),"-")</f>
        <v>—</v>
      </c>
      <c r="F43" s="26">
        <f>IFERROR(LARGE($I$33:$I$52,2),0)</f>
        <v>0</v>
      </c>
      <c r="H43" s="25" t="str">
        <f>'⚙️ Configuração'!C40</f>
        <v>Maria João Travassos</v>
      </c>
      <c r="I43" s="25">
        <f>SUMIFS('📋 Registo Diário'!$Q$7:$Q$646,'📋 Registo Diário'!$D$7:$D$646,H43,'📋 Registo Diário'!$B$7:$B$646,"Semana "&amp;'⚙️ Configuração'!$H$45)</f>
        <v>0</v>
      </c>
    </row>
    <row r="44" spans="2:9" ht="15.75" customHeight="1" x14ac:dyDescent="0.25">
      <c r="B44" s="22" t="s">
        <v>13</v>
      </c>
      <c r="C44" t="str">
        <f>IFERROR(IF(LARGE($I$33:$I$52,3)=0,"—",INDEX($H$33:$H$52,MATCH(LARGE($I$33:$I$52,3),$I$33:$I$52,0))),"-")</f>
        <v>—</v>
      </c>
      <c r="F44" s="26">
        <f>IFERROR(LARGE($I$33:$I$52,3),0)</f>
        <v>0</v>
      </c>
      <c r="H44" s="25" t="str">
        <f>'⚙️ Configuração'!C41</f>
        <v>Marta Torres</v>
      </c>
      <c r="I44" s="25">
        <f>SUMIFS('📋 Registo Diário'!$Q$7:$Q$646,'📋 Registo Diário'!$D$7:$D$646,H44,'📋 Registo Diário'!$B$7:$B$646,"Semana "&amp;'⚙️ Configuração'!$H$45)</f>
        <v>0</v>
      </c>
    </row>
    <row r="45" spans="2:9" ht="15.75" customHeight="1" x14ac:dyDescent="0.25">
      <c r="B45" s="27" t="s">
        <v>264</v>
      </c>
      <c r="C45" t="str">
        <f>IFERROR(IF(LARGE($I$33:$I$52,4)=0,"—",INDEX($H$33:$H$52,MATCH(LARGE($I$33:$I$52,4),$I$33:$I$52,0))),"-")</f>
        <v>—</v>
      </c>
      <c r="F45" s="26">
        <f>IFERROR(LARGE($I$33:$I$52,4),0)</f>
        <v>0</v>
      </c>
      <c r="H45" s="25" t="str">
        <f>'⚙️ Configuração'!C42</f>
        <v>Patricia Isabel Silva</v>
      </c>
      <c r="I45" s="25">
        <f>SUMIFS('📋 Registo Diário'!$Q$7:$Q$646,'📋 Registo Diário'!$D$7:$D$646,H45,'📋 Registo Diário'!$B$7:$B$646,"Semana "&amp;'⚙️ Configuração'!$H$45)</f>
        <v>0</v>
      </c>
    </row>
    <row r="46" spans="2:9" ht="15.75" customHeight="1" x14ac:dyDescent="0.25">
      <c r="B46" s="27" t="s">
        <v>265</v>
      </c>
      <c r="C46" t="str">
        <f>IFERROR(IF(LARGE($I$33:$I$52,5)=0,"—",INDEX($H$33:$H$52,MATCH(LARGE($I$33:$I$52,5),$I$33:$I$52,0))),"-")</f>
        <v>—</v>
      </c>
      <c r="F46" s="26">
        <f>IFERROR(LARGE($I$33:$I$52,5),0)</f>
        <v>0</v>
      </c>
      <c r="H46" s="25" t="str">
        <f>'⚙️ Configuração'!C43</f>
        <v>Paula Martins</v>
      </c>
      <c r="I46" s="25">
        <f>SUMIFS('📋 Registo Diário'!$Q$7:$Q$646,'📋 Registo Diário'!$D$7:$D$646,H46,'📋 Registo Diário'!$B$7:$B$646,"Semana "&amp;'⚙️ Configuração'!$H$45)</f>
        <v>0</v>
      </c>
    </row>
    <row r="47" spans="2:9" ht="15.75" customHeight="1" x14ac:dyDescent="0.2">
      <c r="B47" s="34" t="s">
        <v>270</v>
      </c>
      <c r="H47" s="25" t="str">
        <f>'⚙️ Configuração'!C44</f>
        <v>Paula Miabara</v>
      </c>
      <c r="I47" s="25">
        <f>SUMIFS('📋 Registo Diário'!$Q$7:$Q$646,'📋 Registo Diário'!$D$7:$D$646,H47,'📋 Registo Diário'!$B$7:$B$646,"Semana "&amp;'⚙️ Configuração'!$H$45)</f>
        <v>0</v>
      </c>
    </row>
    <row r="48" spans="2:9" ht="15.75" customHeight="1" x14ac:dyDescent="0.2">
      <c r="H48" s="25" t="str">
        <f>'⚙️ Configuração'!C45</f>
        <v>Rita Carmo</v>
      </c>
      <c r="I48" s="25">
        <f>SUMIFS('📋 Registo Diário'!$Q$7:$Q$646,'📋 Registo Diário'!$D$7:$D$646,H48,'📋 Registo Diário'!$B$7:$B$646,"Semana "&amp;'⚙️ Configuração'!$H$45)</f>
        <v>0</v>
      </c>
    </row>
    <row r="49" spans="8:9" ht="15.75" customHeight="1" x14ac:dyDescent="0.2">
      <c r="H49" s="25" t="str">
        <f>'⚙️ Configuração'!C46</f>
        <v>William Fernandes</v>
      </c>
      <c r="I49" s="25">
        <f>SUMIFS('📋 Registo Diário'!$Q$7:$Q$646,'📋 Registo Diário'!$D$7:$D$646,H49,'📋 Registo Diário'!$B$7:$B$646,"Semana "&amp;'⚙️ Configuração'!$H$45)</f>
        <v>0</v>
      </c>
    </row>
    <row r="50" spans="8:9" ht="15.75" customHeight="1" x14ac:dyDescent="0.2">
      <c r="H50" s="25" t="str">
        <f>'⚙️ Configuração'!C47</f>
        <v>-</v>
      </c>
      <c r="I50" s="25">
        <f>SUMIFS('📋 Registo Diário'!$Q$7:$Q$646,'📋 Registo Diário'!$D$7:$D$646,H50,'📋 Registo Diário'!$B$7:$B$646,"Semana "&amp;'⚙️ Configuração'!$H$45)</f>
        <v>0</v>
      </c>
    </row>
    <row r="51" spans="8:9" ht="15.75" customHeight="1" x14ac:dyDescent="0.2">
      <c r="H51" s="25" t="str">
        <f>'⚙️ Configuração'!C48</f>
        <v>-</v>
      </c>
      <c r="I51" s="25">
        <f>SUMIFS('📋 Registo Diário'!$Q$7:$Q$646,'📋 Registo Diário'!$D$7:$D$646,H51,'📋 Registo Diário'!$B$7:$B$646,"Semana "&amp;'⚙️ Configuração'!$H$45)</f>
        <v>0</v>
      </c>
    </row>
    <row r="52" spans="8:9" ht="15.75" customHeight="1" x14ac:dyDescent="0.2">
      <c r="H52" s="25" t="str">
        <f>'⚙️ Configuração'!C49</f>
        <v>-</v>
      </c>
      <c r="I52" s="25">
        <f>SUMIFS('📋 Registo Diário'!$Q$7:$Q$646,'📋 Registo Diário'!$D$7:$D$646,H52,'📋 Registo Diário'!$B$7:$B$646,"Semana "&amp;'⚙️ Configuração'!$H$45)</f>
        <v>0</v>
      </c>
    </row>
    <row r="53" spans="8:9" ht="15.75" customHeight="1" x14ac:dyDescent="0.2"/>
    <row r="54" spans="8:9" ht="15.75" customHeight="1" x14ac:dyDescent="0.2"/>
    <row r="55" spans="8:9" ht="15.75" customHeight="1" x14ac:dyDescent="0.2"/>
    <row r="56" spans="8:9" ht="15.75" customHeight="1" x14ac:dyDescent="0.2"/>
    <row r="57" spans="8:9" ht="15.75" customHeight="1" x14ac:dyDescent="0.2"/>
    <row r="58" spans="8:9" ht="15.75" customHeight="1" x14ac:dyDescent="0.2"/>
    <row r="59" spans="8:9" ht="15.75" customHeight="1" x14ac:dyDescent="0.2"/>
    <row r="60" spans="8:9" ht="15.75" customHeight="1" x14ac:dyDescent="0.2"/>
    <row r="61" spans="8:9" ht="15.75" customHeight="1" x14ac:dyDescent="0.2"/>
    <row r="62" spans="8:9" ht="15.75" customHeight="1" x14ac:dyDescent="0.2"/>
    <row r="63" spans="8:9" ht="15.75" customHeight="1" x14ac:dyDescent="0.2"/>
    <row r="64" spans="8:9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29">
    <mergeCell ref="B18:D18"/>
    <mergeCell ref="B2:J2"/>
    <mergeCell ref="B4:E4"/>
    <mergeCell ref="G4:J4"/>
    <mergeCell ref="B10:J10"/>
    <mergeCell ref="B11:D11"/>
    <mergeCell ref="E11:J11"/>
    <mergeCell ref="E12:J12"/>
    <mergeCell ref="B12:D12"/>
    <mergeCell ref="B13:D13"/>
    <mergeCell ref="B14:D14"/>
    <mergeCell ref="B15:D15"/>
    <mergeCell ref="B16:D16"/>
    <mergeCell ref="E26:J26"/>
    <mergeCell ref="E27:J27"/>
    <mergeCell ref="B29:J29"/>
    <mergeCell ref="E13:J13"/>
    <mergeCell ref="E14:J14"/>
    <mergeCell ref="E15:J15"/>
    <mergeCell ref="E16:J16"/>
    <mergeCell ref="E17:J17"/>
    <mergeCell ref="E18:J18"/>
    <mergeCell ref="B20:J20"/>
    <mergeCell ref="B21:J21"/>
    <mergeCell ref="E22:J22"/>
    <mergeCell ref="E23:J23"/>
    <mergeCell ref="E24:J24"/>
    <mergeCell ref="E25:J25"/>
    <mergeCell ref="B17:D1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3" width="22" customWidth="1"/>
    <col min="4" max="4" width="30.1640625" customWidth="1"/>
    <col min="5" max="5" width="22" customWidth="1"/>
    <col min="6" max="6" width="3" customWidth="1"/>
    <col min="7" max="9" width="22" customWidth="1"/>
    <col min="10" max="26" width="8.6640625" customWidth="1"/>
  </cols>
  <sheetData>
    <row r="1" spans="2:9" ht="9.75" customHeight="1" x14ac:dyDescent="0.2"/>
    <row r="2" spans="2:9" ht="45" customHeight="1" x14ac:dyDescent="0.2">
      <c r="B2" s="143" t="s">
        <v>35</v>
      </c>
      <c r="C2" s="132"/>
      <c r="D2" s="132"/>
      <c r="E2" s="132"/>
      <c r="F2" s="132"/>
      <c r="G2" s="132"/>
      <c r="H2" s="132"/>
      <c r="I2" s="133"/>
    </row>
    <row r="3" spans="2:9" ht="9.75" customHeight="1" x14ac:dyDescent="0.2"/>
    <row r="4" spans="2:9" ht="24.75" customHeight="1" x14ac:dyDescent="0.2">
      <c r="B4" s="134" t="s">
        <v>36</v>
      </c>
      <c r="C4" s="132"/>
      <c r="D4" s="132"/>
      <c r="E4" s="133"/>
      <c r="G4" s="135" t="s">
        <v>37</v>
      </c>
      <c r="H4" s="132"/>
      <c r="I4" s="133"/>
    </row>
    <row r="5" spans="2:9" ht="21.75" customHeight="1" x14ac:dyDescent="0.2">
      <c r="B5" s="9" t="s">
        <v>38</v>
      </c>
      <c r="C5" s="9" t="s">
        <v>10</v>
      </c>
      <c r="D5" s="9" t="s">
        <v>39</v>
      </c>
      <c r="E5" s="9" t="s">
        <v>40</v>
      </c>
      <c r="G5" s="2" t="s">
        <v>41</v>
      </c>
      <c r="H5" s="2" t="s">
        <v>42</v>
      </c>
      <c r="I5" s="2" t="s">
        <v>43</v>
      </c>
    </row>
    <row r="6" spans="2:9" ht="27.75" customHeight="1" x14ac:dyDescent="0.2">
      <c r="B6" s="10" t="s">
        <v>44</v>
      </c>
      <c r="C6" s="50">
        <v>1</v>
      </c>
      <c r="D6" s="4" t="s">
        <v>45</v>
      </c>
      <c r="E6" s="35">
        <v>1</v>
      </c>
      <c r="G6" s="36">
        <v>1</v>
      </c>
      <c r="H6" s="35" t="s">
        <v>46</v>
      </c>
      <c r="I6" s="37" t="s">
        <v>47</v>
      </c>
    </row>
    <row r="7" spans="2:9" ht="34.5" customHeight="1" x14ac:dyDescent="0.2">
      <c r="B7" s="12" t="s">
        <v>48</v>
      </c>
      <c r="C7" s="50">
        <v>2</v>
      </c>
      <c r="D7" s="13" t="s">
        <v>49</v>
      </c>
      <c r="E7" s="35">
        <v>1</v>
      </c>
      <c r="G7" s="38">
        <v>2</v>
      </c>
      <c r="H7" s="35" t="s">
        <v>50</v>
      </c>
      <c r="I7" s="39" t="s">
        <v>47</v>
      </c>
    </row>
    <row r="8" spans="2:9" ht="19.5" customHeight="1" x14ac:dyDescent="0.2">
      <c r="B8" s="10" t="s">
        <v>51</v>
      </c>
      <c r="C8" s="50">
        <v>5</v>
      </c>
      <c r="D8" s="4" t="s">
        <v>52</v>
      </c>
      <c r="E8" s="35">
        <v>1</v>
      </c>
      <c r="G8" s="36">
        <v>3</v>
      </c>
      <c r="H8" s="35" t="s">
        <v>53</v>
      </c>
      <c r="I8" s="37" t="s">
        <v>47</v>
      </c>
    </row>
    <row r="9" spans="2:9" ht="33.75" customHeight="1" x14ac:dyDescent="0.2">
      <c r="B9" s="12" t="s">
        <v>54</v>
      </c>
      <c r="C9" s="50">
        <v>10</v>
      </c>
      <c r="D9" s="13" t="s">
        <v>55</v>
      </c>
      <c r="E9" s="35">
        <v>1</v>
      </c>
      <c r="G9" s="38">
        <v>4</v>
      </c>
      <c r="H9" s="35" t="s">
        <v>56</v>
      </c>
      <c r="I9" s="39" t="s">
        <v>47</v>
      </c>
    </row>
    <row r="10" spans="2:9" ht="19.5" customHeight="1" x14ac:dyDescent="0.2">
      <c r="B10" s="10" t="s">
        <v>57</v>
      </c>
      <c r="C10" s="50">
        <v>25</v>
      </c>
      <c r="D10" s="4" t="s">
        <v>58</v>
      </c>
      <c r="E10" s="35">
        <v>1</v>
      </c>
      <c r="G10" s="36">
        <v>5</v>
      </c>
      <c r="H10" s="35" t="s">
        <v>59</v>
      </c>
      <c r="I10" s="37" t="s">
        <v>60</v>
      </c>
    </row>
    <row r="11" spans="2:9" ht="19.5" customHeight="1" x14ac:dyDescent="0.2">
      <c r="B11" s="40" t="s">
        <v>61</v>
      </c>
      <c r="C11" s="50">
        <v>50</v>
      </c>
      <c r="D11" s="40" t="s">
        <v>62</v>
      </c>
      <c r="E11" s="35">
        <v>1</v>
      </c>
      <c r="G11" s="38">
        <v>6</v>
      </c>
      <c r="H11" s="35" t="s">
        <v>63</v>
      </c>
      <c r="I11" s="39" t="s">
        <v>60</v>
      </c>
    </row>
    <row r="12" spans="2:9" ht="19.5" customHeight="1" x14ac:dyDescent="0.2">
      <c r="B12" s="144" t="s">
        <v>64</v>
      </c>
      <c r="C12" s="132"/>
      <c r="D12" s="132"/>
      <c r="E12" s="133"/>
      <c r="G12" s="36">
        <v>7</v>
      </c>
      <c r="H12" s="35" t="s">
        <v>65</v>
      </c>
      <c r="I12" s="37" t="s">
        <v>60</v>
      </c>
    </row>
    <row r="13" spans="2:9" ht="19.5" customHeight="1" x14ac:dyDescent="0.2">
      <c r="B13" s="41" t="s">
        <v>66</v>
      </c>
      <c r="C13" s="41" t="s">
        <v>10</v>
      </c>
      <c r="D13" s="41" t="s">
        <v>39</v>
      </c>
      <c r="E13" s="41" t="s">
        <v>67</v>
      </c>
      <c r="G13" s="38">
        <v>8</v>
      </c>
      <c r="H13" s="35" t="s">
        <v>68</v>
      </c>
      <c r="I13" s="39" t="s">
        <v>60</v>
      </c>
    </row>
    <row r="14" spans="2:9" ht="19.5" customHeight="1" x14ac:dyDescent="0.2">
      <c r="B14" s="42" t="s">
        <v>69</v>
      </c>
      <c r="C14" s="50">
        <v>-1</v>
      </c>
      <c r="D14" s="43" t="s">
        <v>70</v>
      </c>
      <c r="E14" s="44" t="s">
        <v>71</v>
      </c>
      <c r="G14" s="36">
        <v>9</v>
      </c>
      <c r="H14" s="35" t="s">
        <v>72</v>
      </c>
      <c r="I14" s="37" t="s">
        <v>73</v>
      </c>
    </row>
    <row r="15" spans="2:9" x14ac:dyDescent="0.2">
      <c r="B15" s="12" t="s">
        <v>74</v>
      </c>
      <c r="C15" s="50">
        <v>-2</v>
      </c>
      <c r="D15" s="13" t="s">
        <v>75</v>
      </c>
      <c r="E15" s="37" t="s">
        <v>76</v>
      </c>
      <c r="G15" s="38">
        <v>10</v>
      </c>
      <c r="H15" s="35" t="s">
        <v>77</v>
      </c>
      <c r="I15" s="39" t="s">
        <v>73</v>
      </c>
    </row>
    <row r="16" spans="2:9" ht="19.5" customHeight="1" x14ac:dyDescent="0.2">
      <c r="B16" s="42" t="s">
        <v>78</v>
      </c>
      <c r="C16" s="50">
        <v>-4</v>
      </c>
      <c r="D16" s="43" t="s">
        <v>79</v>
      </c>
      <c r="E16" s="44" t="s">
        <v>80</v>
      </c>
      <c r="G16" s="36">
        <v>11</v>
      </c>
      <c r="H16" s="35" t="s">
        <v>81</v>
      </c>
      <c r="I16" s="37" t="s">
        <v>73</v>
      </c>
    </row>
    <row r="17" spans="2:9" ht="19.5" customHeight="1" x14ac:dyDescent="0.2">
      <c r="B17" s="12" t="s">
        <v>82</v>
      </c>
      <c r="C17" s="50">
        <v>0</v>
      </c>
      <c r="D17" s="13" t="s">
        <v>83</v>
      </c>
      <c r="E17" s="37" t="s">
        <v>84</v>
      </c>
      <c r="G17" s="38">
        <v>12</v>
      </c>
      <c r="H17" s="35" t="s">
        <v>85</v>
      </c>
      <c r="I17" s="39" t="s">
        <v>73</v>
      </c>
    </row>
    <row r="18" spans="2:9" ht="19.5" customHeight="1" x14ac:dyDescent="0.2">
      <c r="G18" s="36">
        <v>13</v>
      </c>
      <c r="H18" s="35" t="s">
        <v>86</v>
      </c>
      <c r="I18" s="37" t="s">
        <v>87</v>
      </c>
    </row>
    <row r="19" spans="2:9" ht="19.5" customHeight="1" x14ac:dyDescent="0.2">
      <c r="B19" s="145" t="s">
        <v>88</v>
      </c>
      <c r="C19" s="132"/>
      <c r="D19" s="132"/>
      <c r="E19" s="133"/>
      <c r="G19" s="38">
        <v>14</v>
      </c>
      <c r="H19" s="35" t="s">
        <v>89</v>
      </c>
      <c r="I19" s="39" t="s">
        <v>87</v>
      </c>
    </row>
    <row r="20" spans="2:9" ht="19.5" customHeight="1" x14ac:dyDescent="0.2">
      <c r="B20" s="45" t="s">
        <v>90</v>
      </c>
      <c r="C20" s="45" t="s">
        <v>91</v>
      </c>
      <c r="D20" s="45" t="s">
        <v>39</v>
      </c>
      <c r="E20" s="45"/>
      <c r="G20" s="36">
        <v>15</v>
      </c>
      <c r="H20" s="35" t="s">
        <v>92</v>
      </c>
      <c r="I20" s="37" t="s">
        <v>87</v>
      </c>
    </row>
    <row r="21" spans="2:9" ht="19.5" customHeight="1" x14ac:dyDescent="0.2">
      <c r="B21" s="12" t="s">
        <v>93</v>
      </c>
      <c r="C21" s="50">
        <v>10</v>
      </c>
      <c r="D21" s="138" t="s">
        <v>94</v>
      </c>
      <c r="E21" s="120"/>
      <c r="G21" s="38">
        <v>16</v>
      </c>
      <c r="H21" s="35" t="s">
        <v>95</v>
      </c>
      <c r="I21" s="39" t="s">
        <v>87</v>
      </c>
    </row>
    <row r="22" spans="2:9" ht="19.5" customHeight="1" x14ac:dyDescent="0.2">
      <c r="B22" s="46" t="s">
        <v>96</v>
      </c>
      <c r="C22" s="50">
        <v>6</v>
      </c>
      <c r="D22" s="139" t="s">
        <v>97</v>
      </c>
      <c r="E22" s="120"/>
      <c r="G22" s="36">
        <v>17</v>
      </c>
      <c r="H22" s="35" t="s">
        <v>98</v>
      </c>
      <c r="I22" s="37" t="s">
        <v>99</v>
      </c>
    </row>
    <row r="23" spans="2:9" ht="19.5" customHeight="1" x14ac:dyDescent="0.2">
      <c r="B23" s="12" t="s">
        <v>100</v>
      </c>
      <c r="C23" s="50">
        <v>4</v>
      </c>
      <c r="D23" s="138" t="s">
        <v>101</v>
      </c>
      <c r="E23" s="120"/>
      <c r="G23" s="38">
        <v>18</v>
      </c>
      <c r="H23" s="35" t="s">
        <v>102</v>
      </c>
      <c r="I23" s="39" t="s">
        <v>99</v>
      </c>
    </row>
    <row r="24" spans="2:9" ht="19.5" customHeight="1" x14ac:dyDescent="0.2">
      <c r="B24" s="46" t="s">
        <v>103</v>
      </c>
      <c r="C24" s="50">
        <v>2</v>
      </c>
      <c r="D24" s="139" t="s">
        <v>104</v>
      </c>
      <c r="E24" s="120"/>
      <c r="G24" s="36">
        <v>19</v>
      </c>
      <c r="H24" s="35" t="s">
        <v>105</v>
      </c>
      <c r="I24" s="37" t="s">
        <v>99</v>
      </c>
    </row>
    <row r="25" spans="2:9" ht="19.5" customHeight="1" x14ac:dyDescent="0.2">
      <c r="G25" s="38">
        <v>20</v>
      </c>
      <c r="H25" s="35" t="s">
        <v>106</v>
      </c>
      <c r="I25" s="39" t="s">
        <v>99</v>
      </c>
    </row>
    <row r="26" spans="2:9" ht="19.5" customHeight="1" x14ac:dyDescent="0.2">
      <c r="B26" s="140" t="s">
        <v>107</v>
      </c>
      <c r="C26" s="119"/>
      <c r="D26" s="119"/>
      <c r="E26" s="120"/>
      <c r="G26" s="36">
        <v>21</v>
      </c>
      <c r="H26" s="35" t="s">
        <v>108</v>
      </c>
      <c r="I26" s="37" t="s">
        <v>109</v>
      </c>
    </row>
    <row r="27" spans="2:9" ht="19.5" customHeight="1" x14ac:dyDescent="0.2">
      <c r="G27" s="38">
        <v>22</v>
      </c>
      <c r="H27" s="35" t="s">
        <v>110</v>
      </c>
      <c r="I27" s="39" t="s">
        <v>109</v>
      </c>
    </row>
    <row r="28" spans="2:9" ht="19.5" customHeight="1" x14ac:dyDescent="0.2">
      <c r="B28" s="134" t="s">
        <v>111</v>
      </c>
      <c r="C28" s="132"/>
      <c r="D28" s="132"/>
      <c r="E28" s="133"/>
      <c r="G28" s="36">
        <v>23</v>
      </c>
      <c r="H28" s="35" t="s">
        <v>112</v>
      </c>
      <c r="I28" s="37" t="s">
        <v>109</v>
      </c>
    </row>
    <row r="29" spans="2:9" ht="19.5" customHeight="1" x14ac:dyDescent="0.2">
      <c r="B29" s="9" t="s">
        <v>41</v>
      </c>
      <c r="C29" s="9" t="s">
        <v>113</v>
      </c>
      <c r="D29" s="9" t="s">
        <v>114</v>
      </c>
      <c r="E29" s="9" t="s">
        <v>67</v>
      </c>
      <c r="G29" s="38">
        <v>24</v>
      </c>
      <c r="H29" s="35" t="s">
        <v>115</v>
      </c>
      <c r="I29" s="39" t="s">
        <v>109</v>
      </c>
    </row>
    <row r="30" spans="2:9" ht="19.5" customHeight="1" x14ac:dyDescent="0.2">
      <c r="B30" s="36">
        <v>1</v>
      </c>
      <c r="C30" s="50" t="s">
        <v>116</v>
      </c>
      <c r="D30" s="37">
        <v>1</v>
      </c>
      <c r="E30" s="37" t="s">
        <v>117</v>
      </c>
      <c r="G30" s="36">
        <v>25</v>
      </c>
      <c r="H30" s="35" t="s">
        <v>118</v>
      </c>
      <c r="I30" s="37" t="s">
        <v>119</v>
      </c>
    </row>
    <row r="31" spans="2:9" ht="19.5" customHeight="1" x14ac:dyDescent="0.2">
      <c r="B31" s="47">
        <v>2</v>
      </c>
      <c r="C31" s="50" t="s">
        <v>120</v>
      </c>
      <c r="D31" s="5">
        <v>2</v>
      </c>
      <c r="E31" s="5" t="s">
        <v>121</v>
      </c>
      <c r="G31" s="38">
        <v>26</v>
      </c>
      <c r="H31" s="35" t="s">
        <v>122</v>
      </c>
      <c r="I31" s="39" t="s">
        <v>119</v>
      </c>
    </row>
    <row r="32" spans="2:9" ht="19.5" customHeight="1" x14ac:dyDescent="0.2">
      <c r="B32" s="36">
        <v>3</v>
      </c>
      <c r="C32" s="50" t="s">
        <v>123</v>
      </c>
      <c r="D32" s="37">
        <v>3</v>
      </c>
      <c r="E32" s="37" t="s">
        <v>124</v>
      </c>
      <c r="G32" s="36">
        <v>27</v>
      </c>
      <c r="H32" s="35" t="s">
        <v>125</v>
      </c>
      <c r="I32" s="37" t="s">
        <v>119</v>
      </c>
    </row>
    <row r="33" spans="2:9" ht="19.5" customHeight="1" x14ac:dyDescent="0.2">
      <c r="B33" s="47">
        <v>4</v>
      </c>
      <c r="C33" s="50" t="s">
        <v>126</v>
      </c>
      <c r="D33" s="5">
        <v>4</v>
      </c>
      <c r="E33" s="5" t="s">
        <v>127</v>
      </c>
      <c r="G33" s="38">
        <v>28</v>
      </c>
      <c r="H33" s="35" t="s">
        <v>128</v>
      </c>
      <c r="I33" s="39" t="s">
        <v>119</v>
      </c>
    </row>
    <row r="34" spans="2:9" ht="19.5" customHeight="1" x14ac:dyDescent="0.2">
      <c r="B34" s="36">
        <v>5</v>
      </c>
      <c r="C34" s="50" t="s">
        <v>129</v>
      </c>
      <c r="D34" s="37">
        <v>5</v>
      </c>
      <c r="E34" s="37" t="s">
        <v>130</v>
      </c>
      <c r="G34" s="36">
        <v>29</v>
      </c>
      <c r="H34" s="35" t="s">
        <v>131</v>
      </c>
      <c r="I34" s="37" t="s">
        <v>132</v>
      </c>
    </row>
    <row r="35" spans="2:9" ht="19.5" customHeight="1" x14ac:dyDescent="0.2">
      <c r="B35" s="47">
        <v>6</v>
      </c>
      <c r="C35" s="50" t="s">
        <v>133</v>
      </c>
      <c r="D35" s="5">
        <v>6</v>
      </c>
      <c r="E35" s="5" t="s">
        <v>134</v>
      </c>
      <c r="G35" s="38">
        <v>30</v>
      </c>
      <c r="H35" s="35" t="s">
        <v>135</v>
      </c>
      <c r="I35" s="39" t="s">
        <v>132</v>
      </c>
    </row>
    <row r="36" spans="2:9" ht="19.5" customHeight="1" x14ac:dyDescent="0.2">
      <c r="B36" s="36">
        <v>7</v>
      </c>
      <c r="C36" s="50" t="s">
        <v>136</v>
      </c>
      <c r="D36" s="37">
        <v>7</v>
      </c>
      <c r="E36" s="37" t="s">
        <v>137</v>
      </c>
      <c r="G36" s="36">
        <v>31</v>
      </c>
      <c r="H36" s="35" t="s">
        <v>138</v>
      </c>
      <c r="I36" s="37" t="s">
        <v>132</v>
      </c>
    </row>
    <row r="37" spans="2:9" ht="19.5" customHeight="1" x14ac:dyDescent="0.2">
      <c r="B37" s="47">
        <v>8</v>
      </c>
      <c r="C37" s="50" t="s">
        <v>139</v>
      </c>
      <c r="D37" s="5">
        <v>8</v>
      </c>
      <c r="E37" s="5" t="s">
        <v>140</v>
      </c>
      <c r="G37" s="38">
        <v>32</v>
      </c>
      <c r="H37" s="35" t="s">
        <v>141</v>
      </c>
      <c r="I37" s="39" t="s">
        <v>132</v>
      </c>
    </row>
    <row r="38" spans="2:9" ht="24.75" customHeight="1" x14ac:dyDescent="0.2">
      <c r="B38" s="36">
        <v>9</v>
      </c>
      <c r="C38" s="50" t="s">
        <v>142</v>
      </c>
      <c r="D38" s="37">
        <v>9</v>
      </c>
      <c r="E38" s="37" t="s">
        <v>143</v>
      </c>
      <c r="G38" s="134" t="s">
        <v>144</v>
      </c>
      <c r="H38" s="132"/>
      <c r="I38" s="133"/>
    </row>
    <row r="39" spans="2:9" ht="19.5" customHeight="1" x14ac:dyDescent="0.2">
      <c r="B39" s="47">
        <v>10</v>
      </c>
      <c r="C39" s="50" t="s">
        <v>145</v>
      </c>
      <c r="D39" s="5">
        <v>10</v>
      </c>
      <c r="E39" s="5" t="s">
        <v>146</v>
      </c>
      <c r="G39" s="12" t="s">
        <v>147</v>
      </c>
      <c r="H39" s="141">
        <v>60</v>
      </c>
      <c r="I39" s="120"/>
    </row>
    <row r="40" spans="2:9" ht="19.5" customHeight="1" x14ac:dyDescent="0.2">
      <c r="B40" s="36">
        <v>11</v>
      </c>
      <c r="C40" s="50" t="s">
        <v>148</v>
      </c>
      <c r="D40" s="37">
        <v>11</v>
      </c>
      <c r="E40" s="37" t="s">
        <v>149</v>
      </c>
      <c r="G40" s="10" t="s">
        <v>150</v>
      </c>
      <c r="H40" s="142">
        <v>32</v>
      </c>
      <c r="I40" s="120"/>
    </row>
    <row r="41" spans="2:9" ht="19.5" customHeight="1" x14ac:dyDescent="0.2">
      <c r="B41" s="47">
        <v>12</v>
      </c>
      <c r="C41" s="50" t="s">
        <v>151</v>
      </c>
      <c r="D41" s="5">
        <v>12</v>
      </c>
      <c r="E41" s="5" t="s">
        <v>152</v>
      </c>
      <c r="G41" s="12" t="s">
        <v>153</v>
      </c>
      <c r="H41" s="142">
        <v>17</v>
      </c>
      <c r="I41" s="120"/>
    </row>
    <row r="42" spans="2:9" ht="19.5" customHeight="1" x14ac:dyDescent="0.2">
      <c r="B42" s="36">
        <v>13</v>
      </c>
      <c r="C42" s="50" t="s">
        <v>154</v>
      </c>
      <c r="D42" s="37">
        <v>13</v>
      </c>
      <c r="E42" s="37" t="s">
        <v>155</v>
      </c>
      <c r="G42" s="10" t="s">
        <v>156</v>
      </c>
      <c r="H42" s="142">
        <v>8</v>
      </c>
      <c r="I42" s="120"/>
    </row>
    <row r="43" spans="2:9" ht="19.5" customHeight="1" x14ac:dyDescent="0.2">
      <c r="B43" s="47">
        <v>14</v>
      </c>
      <c r="C43" s="50" t="s">
        <v>157</v>
      </c>
      <c r="D43" s="5">
        <v>14</v>
      </c>
      <c r="E43" s="5" t="s">
        <v>158</v>
      </c>
      <c r="G43" s="12" t="s">
        <v>159</v>
      </c>
      <c r="H43" s="142">
        <v>100</v>
      </c>
      <c r="I43" s="120"/>
    </row>
    <row r="44" spans="2:9" ht="19.5" customHeight="1" x14ac:dyDescent="0.2">
      <c r="B44" s="36">
        <v>15</v>
      </c>
      <c r="C44" s="50" t="s">
        <v>160</v>
      </c>
      <c r="D44" s="37">
        <v>15</v>
      </c>
      <c r="E44" s="37" t="s">
        <v>161</v>
      </c>
      <c r="G44" s="10" t="s">
        <v>162</v>
      </c>
      <c r="H44" s="137">
        <v>45760</v>
      </c>
      <c r="I44" s="120"/>
    </row>
    <row r="45" spans="2:9" ht="19.5" customHeight="1" x14ac:dyDescent="0.2">
      <c r="B45" s="47">
        <v>16</v>
      </c>
      <c r="C45" s="50" t="s">
        <v>163</v>
      </c>
      <c r="D45" s="5">
        <v>16</v>
      </c>
      <c r="E45" s="5" t="s">
        <v>164</v>
      </c>
      <c r="G45" s="48" t="s">
        <v>260</v>
      </c>
      <c r="H45" s="51">
        <v>2</v>
      </c>
      <c r="I45" s="49" t="s">
        <v>261</v>
      </c>
    </row>
    <row r="46" spans="2:9" ht="19.5" customHeight="1" x14ac:dyDescent="0.2">
      <c r="B46" s="36">
        <v>17</v>
      </c>
      <c r="C46" s="50" t="s">
        <v>165</v>
      </c>
      <c r="D46" s="37">
        <v>17</v>
      </c>
      <c r="E46" s="37" t="s">
        <v>166</v>
      </c>
    </row>
    <row r="47" spans="2:9" ht="19.5" customHeight="1" x14ac:dyDescent="0.2">
      <c r="B47" s="47">
        <v>18</v>
      </c>
      <c r="C47" s="50" t="s">
        <v>167</v>
      </c>
      <c r="D47" s="5">
        <v>18</v>
      </c>
      <c r="E47" s="5" t="s">
        <v>168</v>
      </c>
    </row>
    <row r="48" spans="2:9" ht="19.5" customHeight="1" x14ac:dyDescent="0.2">
      <c r="B48" s="36">
        <v>19</v>
      </c>
      <c r="C48" s="50" t="s">
        <v>167</v>
      </c>
      <c r="D48" s="37">
        <v>19</v>
      </c>
      <c r="E48" s="37" t="s">
        <v>169</v>
      </c>
    </row>
    <row r="49" spans="2:5" ht="19.5" customHeight="1" x14ac:dyDescent="0.2">
      <c r="B49" s="47">
        <v>20</v>
      </c>
      <c r="C49" s="50" t="s">
        <v>167</v>
      </c>
      <c r="D49" s="5">
        <v>20</v>
      </c>
      <c r="E49" s="5" t="s">
        <v>170</v>
      </c>
    </row>
    <row r="50" spans="2:5" ht="15.75" customHeight="1" x14ac:dyDescent="0.2"/>
    <row r="51" spans="2:5" ht="15.75" customHeight="1" x14ac:dyDescent="0.2"/>
    <row r="52" spans="2:5" ht="15.75" customHeight="1" x14ac:dyDescent="0.2"/>
    <row r="53" spans="2:5" ht="15.75" customHeight="1" x14ac:dyDescent="0.2"/>
    <row r="54" spans="2:5" ht="15.75" customHeight="1" x14ac:dyDescent="0.2"/>
    <row r="55" spans="2:5" ht="15.75" customHeight="1" x14ac:dyDescent="0.2"/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18">
    <mergeCell ref="B2:I2"/>
    <mergeCell ref="B4:E4"/>
    <mergeCell ref="G4:I4"/>
    <mergeCell ref="B12:E12"/>
    <mergeCell ref="B19:E19"/>
    <mergeCell ref="D21:E21"/>
    <mergeCell ref="D22:E22"/>
    <mergeCell ref="H41:I41"/>
    <mergeCell ref="H42:I42"/>
    <mergeCell ref="H43:I43"/>
    <mergeCell ref="H44:I44"/>
    <mergeCell ref="D23:E23"/>
    <mergeCell ref="D24:E24"/>
    <mergeCell ref="B26:E26"/>
    <mergeCell ref="B28:E28"/>
    <mergeCell ref="G38:I38"/>
    <mergeCell ref="H39:I39"/>
    <mergeCell ref="H40:I40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6" customWidth="1"/>
    <col min="3" max="4" width="22" customWidth="1"/>
    <col min="5" max="7" width="14" customWidth="1"/>
    <col min="8" max="9" width="16" customWidth="1"/>
    <col min="10" max="26" width="8.6640625" customWidth="1"/>
  </cols>
  <sheetData>
    <row r="1" spans="2:9" ht="9.75" customHeight="1" x14ac:dyDescent="0.2"/>
    <row r="2" spans="2:9" ht="45" customHeight="1" x14ac:dyDescent="0.2">
      <c r="B2" s="143" t="s">
        <v>171</v>
      </c>
      <c r="C2" s="132"/>
      <c r="D2" s="132"/>
      <c r="E2" s="132"/>
      <c r="F2" s="132"/>
      <c r="G2" s="132"/>
      <c r="H2" s="132"/>
      <c r="I2" s="133"/>
    </row>
    <row r="3" spans="2:9" ht="9.75" customHeight="1" x14ac:dyDescent="0.2"/>
    <row r="4" spans="2:9" ht="30" customHeight="1" x14ac:dyDescent="0.2">
      <c r="B4" s="121" t="s">
        <v>172</v>
      </c>
      <c r="C4" s="119"/>
      <c r="D4" s="119"/>
      <c r="E4" s="119"/>
      <c r="F4" s="119"/>
      <c r="G4" s="119"/>
      <c r="H4" s="119"/>
      <c r="I4" s="120"/>
    </row>
    <row r="6" spans="2:9" ht="24.75" customHeight="1" x14ac:dyDescent="0.2">
      <c r="B6" s="136" t="s">
        <v>173</v>
      </c>
      <c r="C6" s="132"/>
      <c r="D6" s="132"/>
      <c r="E6" s="132"/>
      <c r="F6" s="132"/>
      <c r="G6" s="132"/>
      <c r="H6" s="132"/>
      <c r="I6" s="133"/>
    </row>
    <row r="7" spans="2:9" ht="30" customHeight="1" x14ac:dyDescent="0.2">
      <c r="B7" s="9" t="s">
        <v>8</v>
      </c>
      <c r="C7" s="9" t="s">
        <v>174</v>
      </c>
      <c r="D7" s="9" t="s">
        <v>175</v>
      </c>
      <c r="E7" s="9" t="s">
        <v>176</v>
      </c>
      <c r="F7" s="9" t="s">
        <v>177</v>
      </c>
      <c r="G7" s="9" t="s">
        <v>178</v>
      </c>
      <c r="H7" s="1" t="s">
        <v>179</v>
      </c>
      <c r="I7" s="1" t="s">
        <v>180</v>
      </c>
    </row>
    <row r="8" spans="2:9" ht="21.75" customHeight="1" x14ac:dyDescent="0.2">
      <c r="B8" s="36">
        <v>1</v>
      </c>
      <c r="C8" s="58" t="str">
        <f>'⚙️ Configuração'!C30</f>
        <v>Carla Cantante</v>
      </c>
      <c r="D8" s="58" t="str">
        <f>'⚙️ Configuração'!C38</f>
        <v>Denise Filipe</v>
      </c>
      <c r="E8" s="52">
        <f>IF(C8="","-",SUMIFS('📋 Registo Diário'!$Q$7:$Q$646,'📋 Registo Diário'!$D$7:$D$646,C8,'📋 Registo Diário'!$B$7:$B$646,"Semana 1"))</f>
        <v>45</v>
      </c>
      <c r="F8" s="52">
        <f>IF(D8="","-",SUMIFS('📋 Registo Diário'!$Q$7:$Q$646,'📋 Registo Diário'!$D$7:$D$646,D8,'📋 Registo Diário'!$B$7:$B$646,"Semana 1"))</f>
        <v>42</v>
      </c>
      <c r="G8" s="53">
        <f t="shared" ref="G8:G17" si="0">IF(OR(E8="-",F8="-"),"-",E8+F8)</f>
        <v>87</v>
      </c>
      <c r="H8" s="54">
        <f t="shared" ref="H8:H17" si="1">IF(G8="-","-",INT(G8/2))</f>
        <v>43</v>
      </c>
      <c r="I8" s="54">
        <f t="shared" ref="I8:I17" si="2">IF(G8="-","-",G8-INT(G8/2))</f>
        <v>44</v>
      </c>
    </row>
    <row r="9" spans="2:9" ht="21.75" customHeight="1" x14ac:dyDescent="0.2">
      <c r="B9" s="47">
        <v>2</v>
      </c>
      <c r="C9" s="58" t="str">
        <f>'⚙️ Configuração'!C32</f>
        <v>Filipa Cunha</v>
      </c>
      <c r="D9" s="58" t="str">
        <f>'⚙️ Configuração'!C40</f>
        <v>Maria João Travassos</v>
      </c>
      <c r="E9" s="52">
        <f>IF(C9="","-",SUMIFS('📋 Registo Diário'!$Q$7:$Q$646,'📋 Registo Diário'!$D$7:$D$646,C9,'📋 Registo Diário'!$B$7:$B$646,"Semana 1"))</f>
        <v>74</v>
      </c>
      <c r="F9" s="52">
        <f>IF(D9="","-",SUMIFS('📋 Registo Diário'!$Q$7:$Q$646,'📋 Registo Diário'!$D$7:$D$646,D9,'📋 Registo Diário'!$B$7:$B$646,"Semana 1"))</f>
        <v>38</v>
      </c>
      <c r="G9" s="53">
        <f t="shared" si="0"/>
        <v>112</v>
      </c>
      <c r="H9" s="54">
        <f t="shared" si="1"/>
        <v>56</v>
      </c>
      <c r="I9" s="54">
        <f t="shared" si="2"/>
        <v>56</v>
      </c>
    </row>
    <row r="10" spans="2:9" ht="21.75" customHeight="1" x14ac:dyDescent="0.2">
      <c r="B10" s="36">
        <v>3</v>
      </c>
      <c r="C10" s="58" t="str">
        <f>'⚙️ Configuração'!C34</f>
        <v>João Xavier</v>
      </c>
      <c r="D10" s="58" t="str">
        <f>'⚙️ Configuração'!C45</f>
        <v>Rita Carmo</v>
      </c>
      <c r="E10" s="52">
        <f>IF(C10="","-",SUMIFS('📋 Registo Diário'!$Q$7:$Q$646,'📋 Registo Diário'!$D$7:$D$646,C10,'📋 Registo Diário'!$B$7:$B$646,"Semana 1"))</f>
        <v>83</v>
      </c>
      <c r="F10" s="52">
        <f>IF(D10="","-",SUMIFS('📋 Registo Diário'!$Q$7:$Q$646,'📋 Registo Diário'!$D$7:$D$646,D10,'📋 Registo Diário'!$B$7:$B$646,"Semana 1"))</f>
        <v>53</v>
      </c>
      <c r="G10" s="53">
        <f t="shared" si="0"/>
        <v>136</v>
      </c>
      <c r="H10" s="54">
        <f t="shared" si="1"/>
        <v>68</v>
      </c>
      <c r="I10" s="54">
        <f t="shared" si="2"/>
        <v>68</v>
      </c>
    </row>
    <row r="11" spans="2:9" ht="21.75" customHeight="1" x14ac:dyDescent="0.2">
      <c r="B11" s="47">
        <v>4</v>
      </c>
      <c r="C11" s="58" t="str">
        <f>'⚙️ Configuração'!C36</f>
        <v>Alexandra Correia</v>
      </c>
      <c r="D11" s="58" t="str">
        <f>'⚙️ Configuração'!C46</f>
        <v>William Fernandes</v>
      </c>
      <c r="E11" s="52">
        <f>IF(C11="","-",SUMIFS('📋 Registo Diário'!$Q$7:$Q$646,'📋 Registo Diário'!$D$7:$D$646,C11,'📋 Registo Diário'!$B$7:$B$646,"Semana 1"))</f>
        <v>47</v>
      </c>
      <c r="F11" s="52">
        <f>IF(D11="","-",SUMIFS('📋 Registo Diário'!$Q$7:$Q$646,'📋 Registo Diário'!$D$7:$D$646,D11,'📋 Registo Diário'!$B$7:$B$646,"Semana 1"))</f>
        <v>63</v>
      </c>
      <c r="G11" s="53">
        <f t="shared" si="0"/>
        <v>110</v>
      </c>
      <c r="H11" s="54">
        <f t="shared" si="1"/>
        <v>55</v>
      </c>
      <c r="I11" s="54">
        <f t="shared" si="2"/>
        <v>55</v>
      </c>
    </row>
    <row r="12" spans="2:9" ht="21.75" customHeight="1" x14ac:dyDescent="0.2">
      <c r="B12" s="36">
        <v>5</v>
      </c>
      <c r="C12" s="58"/>
      <c r="D12" s="58" t="str">
        <f>'⚙️ Configuração'!C39</f>
        <v>Fátima Rodriguez</v>
      </c>
      <c r="E12" s="52" t="str">
        <f>IF(C12="","-",SUMIFS('📋 Registo Diário'!$Q$7:$Q$646,'📋 Registo Diário'!$D$7:$D$646,C12,'📋 Registo Diário'!$B$7:$B$646,"Semana 1"))</f>
        <v>-</v>
      </c>
      <c r="F12" s="52">
        <f>IF(D12="","-",SUMIFS('📋 Registo Diário'!$Q$7:$Q$646,'📋 Registo Diário'!$D$7:$D$646,D12,'📋 Registo Diário'!$B$7:$B$646,"Semana 1"))</f>
        <v>69</v>
      </c>
      <c r="G12" s="53" t="str">
        <f t="shared" si="0"/>
        <v>-</v>
      </c>
      <c r="H12" s="54" t="str">
        <f t="shared" si="1"/>
        <v>-</v>
      </c>
      <c r="I12" s="54" t="str">
        <f t="shared" si="2"/>
        <v>-</v>
      </c>
    </row>
    <row r="13" spans="2:9" ht="21.75" customHeight="1" x14ac:dyDescent="0.2">
      <c r="B13" s="47">
        <v>6</v>
      </c>
      <c r="C13" s="58" t="str">
        <f>'⚙️ Configuração'!C44</f>
        <v>Paula Miabara</v>
      </c>
      <c r="D13" s="58" t="str">
        <f>'⚙️ Configuração'!C41</f>
        <v>Marta Torres</v>
      </c>
      <c r="E13" s="52">
        <f>IF(C13="","-",SUMIFS('📋 Registo Diário'!$Q$7:$Q$646,'📋 Registo Diário'!$D$7:$D$646,C13,'📋 Registo Diário'!$B$7:$B$646,"Semana 1"))</f>
        <v>28</v>
      </c>
      <c r="F13" s="52">
        <f>IF(D13="","-",SUMIFS('📋 Registo Diário'!$Q$7:$Q$646,'📋 Registo Diário'!$D$7:$D$646,D13,'📋 Registo Diário'!$B$7:$B$646,"Semana 1"))</f>
        <v>54</v>
      </c>
      <c r="G13" s="53">
        <f t="shared" si="0"/>
        <v>82</v>
      </c>
      <c r="H13" s="54">
        <f t="shared" si="1"/>
        <v>41</v>
      </c>
      <c r="I13" s="54">
        <f t="shared" si="2"/>
        <v>41</v>
      </c>
    </row>
    <row r="14" spans="2:9" ht="21.75" customHeight="1" x14ac:dyDescent="0.2">
      <c r="B14" s="36">
        <v>7</v>
      </c>
      <c r="C14" s="58" t="str">
        <f>'⚙️ Configuração'!C42</f>
        <v>Patricia Isabel Silva</v>
      </c>
      <c r="D14" s="58" t="str">
        <f>'⚙️ Configuração'!C35</f>
        <v>Tomás Carlos</v>
      </c>
      <c r="E14" s="52">
        <f>IF(C14="","-",SUMIFS('📋 Registo Diário'!$Q$7:$Q$646,'📋 Registo Diário'!$D$7:$D$646,C14,'📋 Registo Diário'!$B$7:$B$646,"Semana 1"))</f>
        <v>41</v>
      </c>
      <c r="F14" s="52">
        <f>IF(D14="","-",SUMIFS('📋 Registo Diário'!$Q$7:$Q$646,'📋 Registo Diário'!$D$7:$D$646,D14,'📋 Registo Diário'!$B$7:$B$646,"Semana 1"))</f>
        <v>50</v>
      </c>
      <c r="G14" s="53">
        <f t="shared" si="0"/>
        <v>91</v>
      </c>
      <c r="H14" s="54">
        <f t="shared" si="1"/>
        <v>45</v>
      </c>
      <c r="I14" s="54">
        <f t="shared" si="2"/>
        <v>46</v>
      </c>
    </row>
    <row r="15" spans="2:9" ht="21.75" customHeight="1" x14ac:dyDescent="0.2">
      <c r="B15" s="47">
        <v>8</v>
      </c>
      <c r="C15" s="58" t="str">
        <f>'⚙️ Configuração'!C37</f>
        <v>Carla Barata</v>
      </c>
      <c r="D15" s="58" t="str">
        <f>'⚙️ Configuração'!C43</f>
        <v>Paula Martins</v>
      </c>
      <c r="E15" s="52">
        <f>IF(C15="","-",SUMIFS('📋 Registo Diário'!$Q$7:$Q$646,'📋 Registo Diário'!$D$7:$D$646,C15,'📋 Registo Diário'!$B$7:$B$646,"Semana 1"))</f>
        <v>23</v>
      </c>
      <c r="F15" s="52">
        <f>IF(D15="","-",SUMIFS('📋 Registo Diário'!$Q$7:$Q$646,'📋 Registo Diário'!$D$7:$D$646,D15,'📋 Registo Diário'!$B$7:$B$646,"Semana 1"))</f>
        <v>20</v>
      </c>
      <c r="G15" s="53">
        <f t="shared" si="0"/>
        <v>43</v>
      </c>
      <c r="H15" s="54">
        <f t="shared" si="1"/>
        <v>21</v>
      </c>
      <c r="I15" s="54">
        <f t="shared" si="2"/>
        <v>22</v>
      </c>
    </row>
    <row r="16" spans="2:9" ht="21.75" customHeight="1" x14ac:dyDescent="0.2">
      <c r="B16" s="36">
        <v>9</v>
      </c>
      <c r="C16" s="58" t="str">
        <f>'⚙️ Configuração'!C31</f>
        <v>Elisabete Mendes</v>
      </c>
      <c r="D16" s="58" t="str">
        <f>'⚙️ Configuração'!C33</f>
        <v>Helena Rocha</v>
      </c>
      <c r="E16" s="52">
        <f>IF(C16="","-",SUMIFS('📋 Registo Diário'!$Q$7:$Q$646,'📋 Registo Diário'!$D$7:$D$646,C16,'📋 Registo Diário'!$B$7:$B$646,"Semana 1"))</f>
        <v>23</v>
      </c>
      <c r="F16" s="52">
        <f>IF(D16="","-",SUMIFS('📋 Registo Diário'!$Q$7:$Q$646,'📋 Registo Diário'!$D$7:$D$646,D16,'📋 Registo Diário'!$B$7:$B$646,"Semana 1"))</f>
        <v>40</v>
      </c>
      <c r="G16" s="53">
        <f t="shared" si="0"/>
        <v>63</v>
      </c>
      <c r="H16" s="54">
        <f t="shared" si="1"/>
        <v>31</v>
      </c>
      <c r="I16" s="54">
        <f t="shared" si="2"/>
        <v>32</v>
      </c>
    </row>
    <row r="17" spans="2:9" ht="21.75" customHeight="1" x14ac:dyDescent="0.2">
      <c r="B17" s="47">
        <v>10</v>
      </c>
      <c r="C17" s="58" t="str">
        <f>'⚙️ Configuração'!C48</f>
        <v>-</v>
      </c>
      <c r="D17" s="58" t="str">
        <f>'⚙️ Configuração'!C49</f>
        <v>-</v>
      </c>
      <c r="E17" s="52">
        <f>IF(C17="","-",SUMIFS('📋 Registo Diário'!$Q$7:$Q$646,'📋 Registo Diário'!$D$7:$D$646,C17,'📋 Registo Diário'!$B$7:$B$646,"Semana 1"))</f>
        <v>0</v>
      </c>
      <c r="F17" s="52">
        <f>IF(D17="","-",SUMIFS('📋 Registo Diário'!$Q$7:$Q$646,'📋 Registo Diário'!$D$7:$D$646,D17,'📋 Registo Diário'!$B$7:$B$646,"Semana 1"))</f>
        <v>0</v>
      </c>
      <c r="G17" s="53">
        <f t="shared" si="0"/>
        <v>0</v>
      </c>
      <c r="H17" s="54">
        <f t="shared" si="1"/>
        <v>0</v>
      </c>
      <c r="I17" s="54">
        <f t="shared" si="2"/>
        <v>0</v>
      </c>
    </row>
    <row r="18" spans="2:9" ht="21.75" customHeight="1" x14ac:dyDescent="0.2">
      <c r="B18" s="148" t="s">
        <v>181</v>
      </c>
      <c r="C18" s="132"/>
      <c r="D18" s="133"/>
      <c r="E18" s="149" t="s">
        <v>182</v>
      </c>
      <c r="F18" s="120"/>
      <c r="G18" s="55">
        <f>IF(G8="-",0,G8)+IF(G9="-",0,G9)+IF(G10="-",0,G10)+IF(G11="-",0,G11)+IF(G12="-",0,G12)+IF(G13="-",0,G13)+IF(G14="-",0,G14)+IF(G15="-",0,G15)+IF(G16="-",0,G16)+IF(G17="-",0,G17)</f>
        <v>724</v>
      </c>
    </row>
    <row r="19" spans="2:9" ht="7.5" customHeight="1" x14ac:dyDescent="0.2">
      <c r="B19" s="56"/>
      <c r="C19" s="56"/>
      <c r="D19" s="56"/>
      <c r="E19" s="56"/>
      <c r="F19" s="56"/>
      <c r="G19" s="56"/>
      <c r="H19" s="56"/>
      <c r="I19" s="56"/>
    </row>
    <row r="20" spans="2:9" ht="24.75" customHeight="1" x14ac:dyDescent="0.2">
      <c r="B20" s="135" t="s">
        <v>183</v>
      </c>
      <c r="C20" s="132"/>
      <c r="D20" s="132"/>
      <c r="E20" s="132"/>
      <c r="F20" s="132"/>
      <c r="G20" s="132"/>
      <c r="H20" s="132"/>
      <c r="I20" s="133"/>
    </row>
    <row r="21" spans="2:9" ht="30" customHeight="1" x14ac:dyDescent="0.2">
      <c r="B21" s="2" t="s">
        <v>8</v>
      </c>
      <c r="C21" s="2" t="s">
        <v>174</v>
      </c>
      <c r="D21" s="2" t="s">
        <v>175</v>
      </c>
      <c r="E21" s="2" t="s">
        <v>176</v>
      </c>
      <c r="F21" s="2" t="s">
        <v>177</v>
      </c>
      <c r="G21" s="2" t="s">
        <v>178</v>
      </c>
      <c r="H21" s="1" t="s">
        <v>179</v>
      </c>
      <c r="I21" s="1" t="s">
        <v>180</v>
      </c>
    </row>
    <row r="22" spans="2:9" ht="21.75" customHeight="1" x14ac:dyDescent="0.2">
      <c r="B22" s="36">
        <v>1</v>
      </c>
      <c r="C22" s="58"/>
      <c r="D22" s="58"/>
      <c r="E22" s="52" t="str">
        <f>IF(C22="","-",SUMIFS('📋 Registo Diário'!$Q$7:$Q$646,'📋 Registo Diário'!$D$7:$D$646,C22,'📋 Registo Diário'!$B$7:$B$646,"Semana 2"))</f>
        <v>-</v>
      </c>
      <c r="F22" s="52" t="str">
        <f>IF(D22="","-",SUMIFS('📋 Registo Diário'!$Q$7:$Q$646,'📋 Registo Diário'!$D$7:$D$646,D22,'📋 Registo Diário'!$B$7:$B$646,"Semana 2"))</f>
        <v>-</v>
      </c>
      <c r="G22" s="53" t="str">
        <f t="shared" ref="G22:G31" si="3">IF(OR(E22="-",F22="-"),"-",E22+F22)</f>
        <v>-</v>
      </c>
      <c r="H22" s="54" t="str">
        <f t="shared" ref="H22:H31" si="4">IF(G22="-","-",INT(G22/2))</f>
        <v>-</v>
      </c>
      <c r="I22" s="54" t="str">
        <f t="shared" ref="I22:I31" si="5">IF(G22="-","-",G22-INT(G22/2))</f>
        <v>-</v>
      </c>
    </row>
    <row r="23" spans="2:9" ht="21.75" customHeight="1" x14ac:dyDescent="0.2">
      <c r="B23" s="47">
        <v>2</v>
      </c>
      <c r="C23" s="58"/>
      <c r="D23" s="58"/>
      <c r="E23" s="52" t="str">
        <f>IF(C23="","-",SUMIFS('📋 Registo Diário'!$Q$7:$Q$646,'📋 Registo Diário'!$D$7:$D$646,C23,'📋 Registo Diário'!$B$7:$B$646,"Semana 2"))</f>
        <v>-</v>
      </c>
      <c r="F23" s="52" t="str">
        <f>IF(D23="","-",SUMIFS('📋 Registo Diário'!$Q$7:$Q$646,'📋 Registo Diário'!$D$7:$D$646,D23,'📋 Registo Diário'!$B$7:$B$646,"Semana 2"))</f>
        <v>-</v>
      </c>
      <c r="G23" s="53" t="str">
        <f t="shared" si="3"/>
        <v>-</v>
      </c>
      <c r="H23" s="54" t="str">
        <f t="shared" si="4"/>
        <v>-</v>
      </c>
      <c r="I23" s="54" t="str">
        <f t="shared" si="5"/>
        <v>-</v>
      </c>
    </row>
    <row r="24" spans="2:9" ht="21.75" customHeight="1" x14ac:dyDescent="0.2">
      <c r="B24" s="36">
        <v>3</v>
      </c>
      <c r="C24" s="58"/>
      <c r="D24" s="58"/>
      <c r="E24" s="52" t="str">
        <f>IF(C24="","-",SUMIFS('📋 Registo Diário'!$Q$7:$Q$646,'📋 Registo Diário'!$D$7:$D$646,C24,'📋 Registo Diário'!$B$7:$B$646,"Semana 2"))</f>
        <v>-</v>
      </c>
      <c r="F24" s="52" t="str">
        <f>IF(D24="","-",SUMIFS('📋 Registo Diário'!$Q$7:$Q$646,'📋 Registo Diário'!$D$7:$D$646,D24,'📋 Registo Diário'!$B$7:$B$646,"Semana 2"))</f>
        <v>-</v>
      </c>
      <c r="G24" s="53" t="str">
        <f t="shared" si="3"/>
        <v>-</v>
      </c>
      <c r="H24" s="54" t="str">
        <f t="shared" si="4"/>
        <v>-</v>
      </c>
      <c r="I24" s="54" t="str">
        <f t="shared" si="5"/>
        <v>-</v>
      </c>
    </row>
    <row r="25" spans="2:9" ht="21.75" customHeight="1" x14ac:dyDescent="0.2">
      <c r="B25" s="47">
        <v>4</v>
      </c>
      <c r="C25" s="58"/>
      <c r="D25" s="58"/>
      <c r="E25" s="52" t="str">
        <f>IF(C25="","-",SUMIFS('📋 Registo Diário'!$Q$7:$Q$646,'📋 Registo Diário'!$D$7:$D$646,C25,'📋 Registo Diário'!$B$7:$B$646,"Semana 2"))</f>
        <v>-</v>
      </c>
      <c r="F25" s="52" t="str">
        <f>IF(D25="","-",SUMIFS('📋 Registo Diário'!$Q$7:$Q$646,'📋 Registo Diário'!$D$7:$D$646,D25,'📋 Registo Diário'!$B$7:$B$646,"Semana 2"))</f>
        <v>-</v>
      </c>
      <c r="G25" s="53" t="str">
        <f t="shared" si="3"/>
        <v>-</v>
      </c>
      <c r="H25" s="54" t="str">
        <f t="shared" si="4"/>
        <v>-</v>
      </c>
      <c r="I25" s="54" t="str">
        <f t="shared" si="5"/>
        <v>-</v>
      </c>
    </row>
    <row r="26" spans="2:9" ht="21.75" customHeight="1" x14ac:dyDescent="0.2">
      <c r="B26" s="36">
        <v>5</v>
      </c>
      <c r="C26" s="58"/>
      <c r="D26" s="58"/>
      <c r="E26" s="52" t="str">
        <f>IF(C26="","-",SUMIFS('📋 Registo Diário'!$Q$7:$Q$646,'📋 Registo Diário'!$D$7:$D$646,C26,'📋 Registo Diário'!$B$7:$B$646,"Semana 2"))</f>
        <v>-</v>
      </c>
      <c r="F26" s="52" t="str">
        <f>IF(D26="","-",SUMIFS('📋 Registo Diário'!$Q$7:$Q$646,'📋 Registo Diário'!$D$7:$D$646,D26,'📋 Registo Diário'!$B$7:$B$646,"Semana 2"))</f>
        <v>-</v>
      </c>
      <c r="G26" s="53" t="str">
        <f t="shared" si="3"/>
        <v>-</v>
      </c>
      <c r="H26" s="54" t="str">
        <f t="shared" si="4"/>
        <v>-</v>
      </c>
      <c r="I26" s="54" t="str">
        <f t="shared" si="5"/>
        <v>-</v>
      </c>
    </row>
    <row r="27" spans="2:9" ht="21.75" customHeight="1" x14ac:dyDescent="0.2">
      <c r="B27" s="47">
        <v>6</v>
      </c>
      <c r="C27" s="58"/>
      <c r="D27" s="58"/>
      <c r="E27" s="52" t="str">
        <f>IF(C27="","-",SUMIFS('📋 Registo Diário'!$Q$7:$Q$646,'📋 Registo Diário'!$D$7:$D$646,C27,'📋 Registo Diário'!$B$7:$B$646,"Semana 2"))</f>
        <v>-</v>
      </c>
      <c r="F27" s="52" t="str">
        <f>IF(D27="","-",SUMIFS('📋 Registo Diário'!$Q$7:$Q$646,'📋 Registo Diário'!$D$7:$D$646,D27,'📋 Registo Diário'!$B$7:$B$646,"Semana 2"))</f>
        <v>-</v>
      </c>
      <c r="G27" s="53" t="str">
        <f t="shared" si="3"/>
        <v>-</v>
      </c>
      <c r="H27" s="54" t="str">
        <f t="shared" si="4"/>
        <v>-</v>
      </c>
      <c r="I27" s="54" t="str">
        <f t="shared" si="5"/>
        <v>-</v>
      </c>
    </row>
    <row r="28" spans="2:9" ht="21.75" customHeight="1" x14ac:dyDescent="0.2">
      <c r="B28" s="36">
        <v>7</v>
      </c>
      <c r="C28" s="58"/>
      <c r="D28" s="58"/>
      <c r="E28" s="52" t="str">
        <f>IF(C28="","-",SUMIFS('📋 Registo Diário'!$Q$7:$Q$646,'📋 Registo Diário'!$D$7:$D$646,C28,'📋 Registo Diário'!$B$7:$B$646,"Semana 2"))</f>
        <v>-</v>
      </c>
      <c r="F28" s="52" t="str">
        <f>IF(D28="","-",SUMIFS('📋 Registo Diário'!$Q$7:$Q$646,'📋 Registo Diário'!$D$7:$D$646,D28,'📋 Registo Diário'!$B$7:$B$646,"Semana 2"))</f>
        <v>-</v>
      </c>
      <c r="G28" s="53" t="str">
        <f t="shared" si="3"/>
        <v>-</v>
      </c>
      <c r="H28" s="54" t="str">
        <f t="shared" si="4"/>
        <v>-</v>
      </c>
      <c r="I28" s="54" t="str">
        <f t="shared" si="5"/>
        <v>-</v>
      </c>
    </row>
    <row r="29" spans="2:9" ht="21.75" customHeight="1" x14ac:dyDescent="0.2">
      <c r="B29" s="47">
        <v>8</v>
      </c>
      <c r="C29" s="58"/>
      <c r="D29" s="58"/>
      <c r="E29" s="52" t="str">
        <f>IF(C29="","-",SUMIFS('📋 Registo Diário'!$Q$7:$Q$646,'📋 Registo Diário'!$D$7:$D$646,C29,'📋 Registo Diário'!$B$7:$B$646,"Semana 2"))</f>
        <v>-</v>
      </c>
      <c r="F29" s="52" t="str">
        <f>IF(D29="","-",SUMIFS('📋 Registo Diário'!$Q$7:$Q$646,'📋 Registo Diário'!$D$7:$D$646,D29,'📋 Registo Diário'!$B$7:$B$646,"Semana 2"))</f>
        <v>-</v>
      </c>
      <c r="G29" s="53" t="str">
        <f t="shared" si="3"/>
        <v>-</v>
      </c>
      <c r="H29" s="54" t="str">
        <f t="shared" si="4"/>
        <v>-</v>
      </c>
      <c r="I29" s="54" t="str">
        <f t="shared" si="5"/>
        <v>-</v>
      </c>
    </row>
    <row r="30" spans="2:9" ht="21.75" customHeight="1" x14ac:dyDescent="0.2">
      <c r="B30" s="36">
        <v>9</v>
      </c>
      <c r="C30" s="58"/>
      <c r="D30" s="58"/>
      <c r="E30" s="52" t="str">
        <f>IF(C30="","-",SUMIFS('📋 Registo Diário'!$Q$7:$Q$646,'📋 Registo Diário'!$D$7:$D$646,C30,'📋 Registo Diário'!$B$7:$B$646,"Semana 2"))</f>
        <v>-</v>
      </c>
      <c r="F30" s="52" t="str">
        <f>IF(D30="","-",SUMIFS('📋 Registo Diário'!$Q$7:$Q$646,'📋 Registo Diário'!$D$7:$D$646,D30,'📋 Registo Diário'!$B$7:$B$646,"Semana 2"))</f>
        <v>-</v>
      </c>
      <c r="G30" s="53" t="str">
        <f t="shared" si="3"/>
        <v>-</v>
      </c>
      <c r="H30" s="54" t="str">
        <f t="shared" si="4"/>
        <v>-</v>
      </c>
      <c r="I30" s="54" t="str">
        <f t="shared" si="5"/>
        <v>-</v>
      </c>
    </row>
    <row r="31" spans="2:9" ht="21.75" customHeight="1" x14ac:dyDescent="0.2">
      <c r="B31" s="47">
        <v>10</v>
      </c>
      <c r="C31" s="58"/>
      <c r="D31" s="58"/>
      <c r="E31" s="52" t="str">
        <f>IF(C31="","-",SUMIFS('📋 Registo Diário'!$Q$7:$Q$646,'📋 Registo Diário'!$D$7:$D$646,C31,'📋 Registo Diário'!$B$7:$B$646,"Semana 2"))</f>
        <v>-</v>
      </c>
      <c r="F31" s="52" t="str">
        <f>IF(D31="","-",SUMIFS('📋 Registo Diário'!$Q$7:$Q$646,'📋 Registo Diário'!$D$7:$D$646,D31,'📋 Registo Diário'!$B$7:$B$646,"Semana 2"))</f>
        <v>-</v>
      </c>
      <c r="G31" s="53" t="str">
        <f t="shared" si="3"/>
        <v>-</v>
      </c>
      <c r="H31" s="54" t="str">
        <f t="shared" si="4"/>
        <v>-</v>
      </c>
      <c r="I31" s="54" t="str">
        <f t="shared" si="5"/>
        <v>-</v>
      </c>
    </row>
    <row r="32" spans="2:9" ht="21.75" customHeight="1" x14ac:dyDescent="0.2">
      <c r="B32" s="146" t="s">
        <v>184</v>
      </c>
      <c r="C32" s="132"/>
      <c r="D32" s="133"/>
      <c r="E32" s="147" t="s">
        <v>182</v>
      </c>
      <c r="F32" s="120"/>
      <c r="G32" s="57">
        <f>IF(G22="-",0,G22)+IF(G23="-",0,G23)+IF(G24="-",0,G24)+IF(G25="-",0,G25)+IF(G26="-",0,G26)+IF(G27="-",0,G27)+IF(G28="-",0,G28)+IF(G29="-",0,G29)+IF(G30="-",0,G30)+IF(G31="-",0,G31)</f>
        <v>0</v>
      </c>
    </row>
    <row r="33" spans="2:9" ht="7.5" customHeight="1" x14ac:dyDescent="0.2">
      <c r="B33" s="56"/>
      <c r="C33" s="56"/>
      <c r="D33" s="56"/>
      <c r="E33" s="56"/>
      <c r="F33" s="56"/>
      <c r="G33" s="56"/>
      <c r="H33" s="56"/>
      <c r="I33" s="56"/>
    </row>
    <row r="34" spans="2:9" ht="24.75" customHeight="1" x14ac:dyDescent="0.2">
      <c r="B34" s="136" t="s">
        <v>185</v>
      </c>
      <c r="C34" s="132"/>
      <c r="D34" s="132"/>
      <c r="E34" s="132"/>
      <c r="F34" s="132"/>
      <c r="G34" s="132"/>
      <c r="H34" s="132"/>
      <c r="I34" s="133"/>
    </row>
    <row r="35" spans="2:9" ht="30" customHeight="1" x14ac:dyDescent="0.2">
      <c r="B35" s="9" t="s">
        <v>8</v>
      </c>
      <c r="C35" s="9" t="s">
        <v>174</v>
      </c>
      <c r="D35" s="9" t="s">
        <v>175</v>
      </c>
      <c r="E35" s="9" t="s">
        <v>176</v>
      </c>
      <c r="F35" s="9" t="s">
        <v>177</v>
      </c>
      <c r="G35" s="9" t="s">
        <v>178</v>
      </c>
      <c r="H35" s="1" t="s">
        <v>179</v>
      </c>
      <c r="I35" s="1" t="s">
        <v>180</v>
      </c>
    </row>
    <row r="36" spans="2:9" ht="21.75" customHeight="1" x14ac:dyDescent="0.2">
      <c r="B36" s="36">
        <v>1</v>
      </c>
      <c r="C36" s="58"/>
      <c r="D36" s="58"/>
      <c r="E36" s="52" t="str">
        <f>IF(C36="","-",SUMIFS('📋 Registo Diário'!$Q$7:$Q$646,'📋 Registo Diário'!$D$7:$D$646,C36,'📋 Registo Diário'!$B$7:$B$646,"Semana 3"))</f>
        <v>-</v>
      </c>
      <c r="F36" s="52" t="str">
        <f>IF(D36="","-",SUMIFS('📋 Registo Diário'!$Q$7:$Q$646,'📋 Registo Diário'!$D$7:$D$646,D36,'📋 Registo Diário'!$B$7:$B$646,"Semana 3"))</f>
        <v>-</v>
      </c>
      <c r="G36" s="53" t="str">
        <f t="shared" ref="G36:G45" si="6">IF(OR(E36="-",F36="-"),"-",E36+F36)</f>
        <v>-</v>
      </c>
      <c r="H36" s="54" t="str">
        <f t="shared" ref="H36:H45" si="7">IF(G36="-","-",INT(G36/2))</f>
        <v>-</v>
      </c>
      <c r="I36" s="54" t="str">
        <f t="shared" ref="I36:I45" si="8">IF(G36="-","-",G36-INT(G36/2))</f>
        <v>-</v>
      </c>
    </row>
    <row r="37" spans="2:9" ht="21.75" customHeight="1" x14ac:dyDescent="0.2">
      <c r="B37" s="47">
        <v>2</v>
      </c>
      <c r="C37" s="58"/>
      <c r="D37" s="58"/>
      <c r="E37" s="52" t="str">
        <f>IF(C37="","-",SUMIFS('📋 Registo Diário'!$Q$7:$Q$646,'📋 Registo Diário'!$D$7:$D$646,C37,'📋 Registo Diário'!$B$7:$B$646,"Semana 3"))</f>
        <v>-</v>
      </c>
      <c r="F37" s="52" t="str">
        <f>IF(D37="","-",SUMIFS('📋 Registo Diário'!$Q$7:$Q$646,'📋 Registo Diário'!$D$7:$D$646,D37,'📋 Registo Diário'!$B$7:$B$646,"Semana 3"))</f>
        <v>-</v>
      </c>
      <c r="G37" s="53" t="str">
        <f t="shared" si="6"/>
        <v>-</v>
      </c>
      <c r="H37" s="54" t="str">
        <f t="shared" si="7"/>
        <v>-</v>
      </c>
      <c r="I37" s="54" t="str">
        <f t="shared" si="8"/>
        <v>-</v>
      </c>
    </row>
    <row r="38" spans="2:9" ht="21.75" customHeight="1" x14ac:dyDescent="0.2">
      <c r="B38" s="36">
        <v>3</v>
      </c>
      <c r="C38" s="58"/>
      <c r="D38" s="58"/>
      <c r="E38" s="52" t="str">
        <f>IF(C38="","-",SUMIFS('📋 Registo Diário'!$Q$7:$Q$646,'📋 Registo Diário'!$D$7:$D$646,C38,'📋 Registo Diário'!$B$7:$B$646,"Semana 3"))</f>
        <v>-</v>
      </c>
      <c r="F38" s="52" t="str">
        <f>IF(D38="","-",SUMIFS('📋 Registo Diário'!$Q$7:$Q$646,'📋 Registo Diário'!$D$7:$D$646,D38,'📋 Registo Diário'!$B$7:$B$646,"Semana 3"))</f>
        <v>-</v>
      </c>
      <c r="G38" s="53" t="str">
        <f t="shared" si="6"/>
        <v>-</v>
      </c>
      <c r="H38" s="54" t="str">
        <f t="shared" si="7"/>
        <v>-</v>
      </c>
      <c r="I38" s="54" t="str">
        <f t="shared" si="8"/>
        <v>-</v>
      </c>
    </row>
    <row r="39" spans="2:9" ht="21.75" customHeight="1" x14ac:dyDescent="0.2">
      <c r="B39" s="47">
        <v>4</v>
      </c>
      <c r="C39" s="58"/>
      <c r="D39" s="58"/>
      <c r="E39" s="52" t="str">
        <f>IF(C39="","-",SUMIFS('📋 Registo Diário'!$Q$7:$Q$646,'📋 Registo Diário'!$D$7:$D$646,C39,'📋 Registo Diário'!$B$7:$B$646,"Semana 3"))</f>
        <v>-</v>
      </c>
      <c r="F39" s="52" t="str">
        <f>IF(D39="","-",SUMIFS('📋 Registo Diário'!$Q$7:$Q$646,'📋 Registo Diário'!$D$7:$D$646,D39,'📋 Registo Diário'!$B$7:$B$646,"Semana 3"))</f>
        <v>-</v>
      </c>
      <c r="G39" s="53" t="str">
        <f t="shared" si="6"/>
        <v>-</v>
      </c>
      <c r="H39" s="54" t="str">
        <f t="shared" si="7"/>
        <v>-</v>
      </c>
      <c r="I39" s="54" t="str">
        <f t="shared" si="8"/>
        <v>-</v>
      </c>
    </row>
    <row r="40" spans="2:9" ht="21.75" customHeight="1" x14ac:dyDescent="0.2">
      <c r="B40" s="36">
        <v>5</v>
      </c>
      <c r="C40" s="58"/>
      <c r="D40" s="58"/>
      <c r="E40" s="52" t="str">
        <f>IF(C40="","-",SUMIFS('📋 Registo Diário'!$Q$7:$Q$646,'📋 Registo Diário'!$D$7:$D$646,C40,'📋 Registo Diário'!$B$7:$B$646,"Semana 3"))</f>
        <v>-</v>
      </c>
      <c r="F40" s="52" t="str">
        <f>IF(D40="","-",SUMIFS('📋 Registo Diário'!$Q$7:$Q$646,'📋 Registo Diário'!$D$7:$D$646,D40,'📋 Registo Diário'!$B$7:$B$646,"Semana 3"))</f>
        <v>-</v>
      </c>
      <c r="G40" s="53" t="str">
        <f t="shared" si="6"/>
        <v>-</v>
      </c>
      <c r="H40" s="54" t="str">
        <f t="shared" si="7"/>
        <v>-</v>
      </c>
      <c r="I40" s="54" t="str">
        <f t="shared" si="8"/>
        <v>-</v>
      </c>
    </row>
    <row r="41" spans="2:9" ht="21.75" customHeight="1" x14ac:dyDescent="0.2">
      <c r="B41" s="47">
        <v>6</v>
      </c>
      <c r="C41" s="58"/>
      <c r="D41" s="58"/>
      <c r="E41" s="52" t="str">
        <f>IF(C41="","-",SUMIFS('📋 Registo Diário'!$Q$7:$Q$646,'📋 Registo Diário'!$D$7:$D$646,C41,'📋 Registo Diário'!$B$7:$B$646,"Semana 3"))</f>
        <v>-</v>
      </c>
      <c r="F41" s="52" t="str">
        <f>IF(D41="","-",SUMIFS('📋 Registo Diário'!$Q$7:$Q$646,'📋 Registo Diário'!$D$7:$D$646,D41,'📋 Registo Diário'!$B$7:$B$646,"Semana 3"))</f>
        <v>-</v>
      </c>
      <c r="G41" s="53" t="str">
        <f t="shared" si="6"/>
        <v>-</v>
      </c>
      <c r="H41" s="54" t="str">
        <f t="shared" si="7"/>
        <v>-</v>
      </c>
      <c r="I41" s="54" t="str">
        <f t="shared" si="8"/>
        <v>-</v>
      </c>
    </row>
    <row r="42" spans="2:9" ht="21.75" customHeight="1" x14ac:dyDescent="0.2">
      <c r="B42" s="36">
        <v>7</v>
      </c>
      <c r="C42" s="58"/>
      <c r="D42" s="58"/>
      <c r="E42" s="52" t="str">
        <f>IF(C42="","-",SUMIFS('📋 Registo Diário'!$Q$7:$Q$646,'📋 Registo Diário'!$D$7:$D$646,C42,'📋 Registo Diário'!$B$7:$B$646,"Semana 3"))</f>
        <v>-</v>
      </c>
      <c r="F42" s="52" t="str">
        <f>IF(D42="","-",SUMIFS('📋 Registo Diário'!$Q$7:$Q$646,'📋 Registo Diário'!$D$7:$D$646,D42,'📋 Registo Diário'!$B$7:$B$646,"Semana 3"))</f>
        <v>-</v>
      </c>
      <c r="G42" s="53" t="str">
        <f t="shared" si="6"/>
        <v>-</v>
      </c>
      <c r="H42" s="54" t="str">
        <f t="shared" si="7"/>
        <v>-</v>
      </c>
      <c r="I42" s="54" t="str">
        <f t="shared" si="8"/>
        <v>-</v>
      </c>
    </row>
    <row r="43" spans="2:9" ht="21.75" customHeight="1" x14ac:dyDescent="0.2">
      <c r="B43" s="47">
        <v>8</v>
      </c>
      <c r="C43" s="58"/>
      <c r="D43" s="58"/>
      <c r="E43" s="52" t="str">
        <f>IF(C43="","-",SUMIFS('📋 Registo Diário'!$Q$7:$Q$646,'📋 Registo Diário'!$D$7:$D$646,C43,'📋 Registo Diário'!$B$7:$B$646,"Semana 3"))</f>
        <v>-</v>
      </c>
      <c r="F43" s="52" t="str">
        <f>IF(D43="","-",SUMIFS('📋 Registo Diário'!$Q$7:$Q$646,'📋 Registo Diário'!$D$7:$D$646,D43,'📋 Registo Diário'!$B$7:$B$646,"Semana 3"))</f>
        <v>-</v>
      </c>
      <c r="G43" s="53" t="str">
        <f t="shared" si="6"/>
        <v>-</v>
      </c>
      <c r="H43" s="54" t="str">
        <f t="shared" si="7"/>
        <v>-</v>
      </c>
      <c r="I43" s="54" t="str">
        <f t="shared" si="8"/>
        <v>-</v>
      </c>
    </row>
    <row r="44" spans="2:9" ht="21.75" customHeight="1" x14ac:dyDescent="0.2">
      <c r="B44" s="36">
        <v>9</v>
      </c>
      <c r="C44" s="58"/>
      <c r="D44" s="58"/>
      <c r="E44" s="52" t="str">
        <f>IF(C44="","-",SUMIFS('📋 Registo Diário'!$Q$7:$Q$646,'📋 Registo Diário'!$D$7:$D$646,C44,'📋 Registo Diário'!$B$7:$B$646,"Semana 3"))</f>
        <v>-</v>
      </c>
      <c r="F44" s="52" t="str">
        <f>IF(D44="","-",SUMIFS('📋 Registo Diário'!$Q$7:$Q$646,'📋 Registo Diário'!$D$7:$D$646,D44,'📋 Registo Diário'!$B$7:$B$646,"Semana 3"))</f>
        <v>-</v>
      </c>
      <c r="G44" s="53" t="str">
        <f t="shared" si="6"/>
        <v>-</v>
      </c>
      <c r="H44" s="54" t="str">
        <f t="shared" si="7"/>
        <v>-</v>
      </c>
      <c r="I44" s="54" t="str">
        <f t="shared" si="8"/>
        <v>-</v>
      </c>
    </row>
    <row r="45" spans="2:9" ht="21.75" customHeight="1" x14ac:dyDescent="0.2">
      <c r="B45" s="47">
        <v>10</v>
      </c>
      <c r="C45" s="58"/>
      <c r="D45" s="58"/>
      <c r="E45" s="52" t="str">
        <f>IF(C45="","-",SUMIFS('📋 Registo Diário'!$Q$7:$Q$646,'📋 Registo Diário'!$D$7:$D$646,C45,'📋 Registo Diário'!$B$7:$B$646,"Semana 3"))</f>
        <v>-</v>
      </c>
      <c r="F45" s="52" t="str">
        <f>IF(D45="","-",SUMIFS('📋 Registo Diário'!$Q$7:$Q$646,'📋 Registo Diário'!$D$7:$D$646,D45,'📋 Registo Diário'!$B$7:$B$646,"Semana 3"))</f>
        <v>-</v>
      </c>
      <c r="G45" s="53" t="str">
        <f t="shared" si="6"/>
        <v>-</v>
      </c>
      <c r="H45" s="54" t="str">
        <f t="shared" si="7"/>
        <v>-</v>
      </c>
      <c r="I45" s="54" t="str">
        <f t="shared" si="8"/>
        <v>-</v>
      </c>
    </row>
    <row r="46" spans="2:9" ht="21.75" customHeight="1" x14ac:dyDescent="0.2">
      <c r="B46" s="148" t="s">
        <v>186</v>
      </c>
      <c r="C46" s="132"/>
      <c r="D46" s="133"/>
      <c r="E46" s="149" t="s">
        <v>182</v>
      </c>
      <c r="F46" s="120"/>
      <c r="G46" s="55">
        <f>IF(G36="-",0,G36)+IF(G37="-",0,G37)+IF(G38="-",0,G38)+IF(G39="-",0,G39)+IF(G40="-",0,G40)+IF(G41="-",0,G41)+IF(G42="-",0,G42)+IF(G43="-",0,G43)+IF(G44="-",0,G44)+IF(G45="-",0,G45)</f>
        <v>0</v>
      </c>
    </row>
    <row r="47" spans="2:9" ht="7.5" customHeight="1" x14ac:dyDescent="0.2">
      <c r="B47" s="56"/>
      <c r="C47" s="56"/>
      <c r="D47" s="56"/>
      <c r="E47" s="56"/>
      <c r="F47" s="56"/>
      <c r="G47" s="56"/>
      <c r="H47" s="56"/>
      <c r="I47" s="56"/>
    </row>
    <row r="48" spans="2:9" ht="24.75" customHeight="1" x14ac:dyDescent="0.2">
      <c r="B48" s="135" t="s">
        <v>187</v>
      </c>
      <c r="C48" s="132"/>
      <c r="D48" s="132"/>
      <c r="E48" s="132"/>
      <c r="F48" s="132"/>
      <c r="G48" s="132"/>
      <c r="H48" s="132"/>
      <c r="I48" s="133"/>
    </row>
    <row r="49" spans="2:9" ht="30" customHeight="1" x14ac:dyDescent="0.2">
      <c r="B49" s="2" t="s">
        <v>8</v>
      </c>
      <c r="C49" s="2" t="s">
        <v>174</v>
      </c>
      <c r="D49" s="2" t="s">
        <v>175</v>
      </c>
      <c r="E49" s="2" t="s">
        <v>176</v>
      </c>
      <c r="F49" s="2" t="s">
        <v>177</v>
      </c>
      <c r="G49" s="2" t="s">
        <v>178</v>
      </c>
      <c r="H49" s="1" t="s">
        <v>179</v>
      </c>
      <c r="I49" s="1" t="s">
        <v>180</v>
      </c>
    </row>
    <row r="50" spans="2:9" ht="21.75" customHeight="1" x14ac:dyDescent="0.2">
      <c r="B50" s="36">
        <v>1</v>
      </c>
      <c r="C50" s="58"/>
      <c r="D50" s="58"/>
      <c r="E50" s="52" t="str">
        <f>IF(C50="","-",SUMIFS('📋 Registo Diário'!$Q$7:$Q$646,'📋 Registo Diário'!$D$7:$D$646,C50,'📋 Registo Diário'!$B$7:$B$646,"Semana 4"))</f>
        <v>-</v>
      </c>
      <c r="F50" s="52" t="str">
        <f>IF(D50="","-",SUMIFS('📋 Registo Diário'!$Q$7:$Q$646,'📋 Registo Diário'!$D$7:$D$646,D50,'📋 Registo Diário'!$B$7:$B$646,"Semana 4"))</f>
        <v>-</v>
      </c>
      <c r="G50" s="53" t="str">
        <f t="shared" ref="G50:G59" si="9">IF(OR(E50="-",F50="-"),"-",E50+F50)</f>
        <v>-</v>
      </c>
      <c r="H50" s="54" t="str">
        <f t="shared" ref="H50:H59" si="10">IF(G50="-","-",INT(G50/2))</f>
        <v>-</v>
      </c>
      <c r="I50" s="54" t="str">
        <f t="shared" ref="I50:I59" si="11">IF(G50="-","-",G50-INT(G50/2))</f>
        <v>-</v>
      </c>
    </row>
    <row r="51" spans="2:9" ht="21.75" customHeight="1" x14ac:dyDescent="0.2">
      <c r="B51" s="47">
        <v>2</v>
      </c>
      <c r="C51" s="58"/>
      <c r="D51" s="58"/>
      <c r="E51" s="52" t="str">
        <f>IF(C51="","-",SUMIFS('📋 Registo Diário'!$Q$7:$Q$646,'📋 Registo Diário'!$D$7:$D$646,C51,'📋 Registo Diário'!$B$7:$B$646,"Semana 4"))</f>
        <v>-</v>
      </c>
      <c r="F51" s="52" t="str">
        <f>IF(D51="","-",SUMIFS('📋 Registo Diário'!$Q$7:$Q$646,'📋 Registo Diário'!$D$7:$D$646,D51,'📋 Registo Diário'!$B$7:$B$646,"Semana 4"))</f>
        <v>-</v>
      </c>
      <c r="G51" s="53" t="str">
        <f t="shared" si="9"/>
        <v>-</v>
      </c>
      <c r="H51" s="54" t="str">
        <f t="shared" si="10"/>
        <v>-</v>
      </c>
      <c r="I51" s="54" t="str">
        <f t="shared" si="11"/>
        <v>-</v>
      </c>
    </row>
    <row r="52" spans="2:9" ht="21.75" customHeight="1" x14ac:dyDescent="0.2">
      <c r="B52" s="36">
        <v>3</v>
      </c>
      <c r="C52" s="58"/>
      <c r="D52" s="58"/>
      <c r="E52" s="52" t="str">
        <f>IF(C52="","-",SUMIFS('📋 Registo Diário'!$Q$7:$Q$646,'📋 Registo Diário'!$D$7:$D$646,C52,'📋 Registo Diário'!$B$7:$B$646,"Semana 4"))</f>
        <v>-</v>
      </c>
      <c r="F52" s="52" t="str">
        <f>IF(D52="","-",SUMIFS('📋 Registo Diário'!$Q$7:$Q$646,'📋 Registo Diário'!$D$7:$D$646,D52,'📋 Registo Diário'!$B$7:$B$646,"Semana 4"))</f>
        <v>-</v>
      </c>
      <c r="G52" s="53" t="str">
        <f t="shared" si="9"/>
        <v>-</v>
      </c>
      <c r="H52" s="54" t="str">
        <f t="shared" si="10"/>
        <v>-</v>
      </c>
      <c r="I52" s="54" t="str">
        <f t="shared" si="11"/>
        <v>-</v>
      </c>
    </row>
    <row r="53" spans="2:9" ht="21.75" customHeight="1" x14ac:dyDescent="0.2">
      <c r="B53" s="47">
        <v>4</v>
      </c>
      <c r="C53" s="58"/>
      <c r="D53" s="58"/>
      <c r="E53" s="52" t="str">
        <f>IF(C53="","-",SUMIFS('📋 Registo Diário'!$Q$7:$Q$646,'📋 Registo Diário'!$D$7:$D$646,C53,'📋 Registo Diário'!$B$7:$B$646,"Semana 4"))</f>
        <v>-</v>
      </c>
      <c r="F53" s="52" t="str">
        <f>IF(D53="","-",SUMIFS('📋 Registo Diário'!$Q$7:$Q$646,'📋 Registo Diário'!$D$7:$D$646,D53,'📋 Registo Diário'!$B$7:$B$646,"Semana 4"))</f>
        <v>-</v>
      </c>
      <c r="G53" s="53" t="str">
        <f t="shared" si="9"/>
        <v>-</v>
      </c>
      <c r="H53" s="54" t="str">
        <f t="shared" si="10"/>
        <v>-</v>
      </c>
      <c r="I53" s="54" t="str">
        <f t="shared" si="11"/>
        <v>-</v>
      </c>
    </row>
    <row r="54" spans="2:9" ht="21.75" customHeight="1" x14ac:dyDescent="0.2">
      <c r="B54" s="36">
        <v>5</v>
      </c>
      <c r="C54" s="58"/>
      <c r="D54" s="58"/>
      <c r="E54" s="52" t="str">
        <f>IF(C54="","-",SUMIFS('📋 Registo Diário'!$Q$7:$Q$646,'📋 Registo Diário'!$D$7:$D$646,C54,'📋 Registo Diário'!$B$7:$B$646,"Semana 4"))</f>
        <v>-</v>
      </c>
      <c r="F54" s="52" t="str">
        <f>IF(D54="","-",SUMIFS('📋 Registo Diário'!$Q$7:$Q$646,'📋 Registo Diário'!$D$7:$D$646,D54,'📋 Registo Diário'!$B$7:$B$646,"Semana 4"))</f>
        <v>-</v>
      </c>
      <c r="G54" s="53" t="str">
        <f t="shared" si="9"/>
        <v>-</v>
      </c>
      <c r="H54" s="54" t="str">
        <f t="shared" si="10"/>
        <v>-</v>
      </c>
      <c r="I54" s="54" t="str">
        <f t="shared" si="11"/>
        <v>-</v>
      </c>
    </row>
    <row r="55" spans="2:9" ht="21.75" customHeight="1" x14ac:dyDescent="0.2">
      <c r="B55" s="47">
        <v>6</v>
      </c>
      <c r="C55" s="58"/>
      <c r="D55" s="58"/>
      <c r="E55" s="52" t="str">
        <f>IF(C55="","-",SUMIFS('📋 Registo Diário'!$Q$7:$Q$646,'📋 Registo Diário'!$D$7:$D$646,C55,'📋 Registo Diário'!$B$7:$B$646,"Semana 4"))</f>
        <v>-</v>
      </c>
      <c r="F55" s="52" t="str">
        <f>IF(D55="","-",SUMIFS('📋 Registo Diário'!$Q$7:$Q$646,'📋 Registo Diário'!$D$7:$D$646,D55,'📋 Registo Diário'!$B$7:$B$646,"Semana 4"))</f>
        <v>-</v>
      </c>
      <c r="G55" s="53" t="str">
        <f t="shared" si="9"/>
        <v>-</v>
      </c>
      <c r="H55" s="54" t="str">
        <f t="shared" si="10"/>
        <v>-</v>
      </c>
      <c r="I55" s="54" t="str">
        <f t="shared" si="11"/>
        <v>-</v>
      </c>
    </row>
    <row r="56" spans="2:9" ht="21.75" customHeight="1" x14ac:dyDescent="0.2">
      <c r="B56" s="36">
        <v>7</v>
      </c>
      <c r="C56" s="58"/>
      <c r="D56" s="58"/>
      <c r="E56" s="52" t="str">
        <f>IF(C56="","-",SUMIFS('📋 Registo Diário'!$Q$7:$Q$646,'📋 Registo Diário'!$D$7:$D$646,C56,'📋 Registo Diário'!$B$7:$B$646,"Semana 4"))</f>
        <v>-</v>
      </c>
      <c r="F56" s="52" t="str">
        <f>IF(D56="","-",SUMIFS('📋 Registo Diário'!$Q$7:$Q$646,'📋 Registo Diário'!$D$7:$D$646,D56,'📋 Registo Diário'!$B$7:$B$646,"Semana 4"))</f>
        <v>-</v>
      </c>
      <c r="G56" s="53" t="str">
        <f t="shared" si="9"/>
        <v>-</v>
      </c>
      <c r="H56" s="54" t="str">
        <f t="shared" si="10"/>
        <v>-</v>
      </c>
      <c r="I56" s="54" t="str">
        <f t="shared" si="11"/>
        <v>-</v>
      </c>
    </row>
    <row r="57" spans="2:9" ht="21.75" customHeight="1" x14ac:dyDescent="0.2">
      <c r="B57" s="47">
        <v>8</v>
      </c>
      <c r="C57" s="58"/>
      <c r="D57" s="58"/>
      <c r="E57" s="52" t="str">
        <f>IF(C57="","-",SUMIFS('📋 Registo Diário'!$Q$7:$Q$646,'📋 Registo Diário'!$D$7:$D$646,C57,'📋 Registo Diário'!$B$7:$B$646,"Semana 4"))</f>
        <v>-</v>
      </c>
      <c r="F57" s="52" t="str">
        <f>IF(D57="","-",SUMIFS('📋 Registo Diário'!$Q$7:$Q$646,'📋 Registo Diário'!$D$7:$D$646,D57,'📋 Registo Diário'!$B$7:$B$646,"Semana 4"))</f>
        <v>-</v>
      </c>
      <c r="G57" s="53" t="str">
        <f t="shared" si="9"/>
        <v>-</v>
      </c>
      <c r="H57" s="54" t="str">
        <f t="shared" si="10"/>
        <v>-</v>
      </c>
      <c r="I57" s="54" t="str">
        <f t="shared" si="11"/>
        <v>-</v>
      </c>
    </row>
    <row r="58" spans="2:9" ht="21.75" customHeight="1" x14ac:dyDescent="0.2">
      <c r="B58" s="36">
        <v>9</v>
      </c>
      <c r="C58" s="58"/>
      <c r="D58" s="58"/>
      <c r="E58" s="52" t="str">
        <f>IF(C58="","-",SUMIFS('📋 Registo Diário'!$Q$7:$Q$646,'📋 Registo Diário'!$D$7:$D$646,C58,'📋 Registo Diário'!$B$7:$B$646,"Semana 4"))</f>
        <v>-</v>
      </c>
      <c r="F58" s="52" t="str">
        <f>IF(D58="","-",SUMIFS('📋 Registo Diário'!$Q$7:$Q$646,'📋 Registo Diário'!$D$7:$D$646,D58,'📋 Registo Diário'!$B$7:$B$646,"Semana 4"))</f>
        <v>-</v>
      </c>
      <c r="G58" s="53" t="str">
        <f t="shared" si="9"/>
        <v>-</v>
      </c>
      <c r="H58" s="54" t="str">
        <f t="shared" si="10"/>
        <v>-</v>
      </c>
      <c r="I58" s="54" t="str">
        <f t="shared" si="11"/>
        <v>-</v>
      </c>
    </row>
    <row r="59" spans="2:9" ht="21.75" customHeight="1" x14ac:dyDescent="0.2">
      <c r="B59" s="47">
        <v>10</v>
      </c>
      <c r="C59" s="58"/>
      <c r="D59" s="58"/>
      <c r="E59" s="52" t="str">
        <f>IF(C59="","-",SUMIFS('📋 Registo Diário'!$Q$7:$Q$646,'📋 Registo Diário'!$D$7:$D$646,C59,'📋 Registo Diário'!$B$7:$B$646,"Semana 4"))</f>
        <v>-</v>
      </c>
      <c r="F59" s="52" t="str">
        <f>IF(D59="","-",SUMIFS('📋 Registo Diário'!$Q$7:$Q$646,'📋 Registo Diário'!$D$7:$D$646,D59,'📋 Registo Diário'!$B$7:$B$646,"Semana 4"))</f>
        <v>-</v>
      </c>
      <c r="G59" s="53" t="str">
        <f t="shared" si="9"/>
        <v>-</v>
      </c>
      <c r="H59" s="54" t="str">
        <f t="shared" si="10"/>
        <v>-</v>
      </c>
      <c r="I59" s="54" t="str">
        <f t="shared" si="11"/>
        <v>-</v>
      </c>
    </row>
    <row r="60" spans="2:9" ht="21.75" customHeight="1" x14ac:dyDescent="0.2">
      <c r="B60" s="146" t="s">
        <v>188</v>
      </c>
      <c r="C60" s="132"/>
      <c r="D60" s="133"/>
      <c r="E60" s="147" t="s">
        <v>182</v>
      </c>
      <c r="F60" s="120"/>
      <c r="G60" s="57">
        <f>IF(G50="-",0,G50)+IF(G51="-",0,G51)+IF(G52="-",0,G52)+IF(G53="-",0,G53)+IF(G54="-",0,G54)+IF(G55="-",0,G55)+IF(G56="-",0,G56)+IF(G57="-",0,G57)+IF(G58="-",0,G58)+IF(G59="-",0,G59)</f>
        <v>0</v>
      </c>
    </row>
    <row r="61" spans="2:9" ht="7.5" customHeight="1" x14ac:dyDescent="0.2">
      <c r="B61" s="56"/>
      <c r="C61" s="56"/>
      <c r="D61" s="56"/>
      <c r="E61" s="56"/>
      <c r="F61" s="56"/>
      <c r="G61" s="56"/>
      <c r="H61" s="56"/>
      <c r="I61" s="56"/>
    </row>
    <row r="62" spans="2:9" ht="24.75" customHeight="1" x14ac:dyDescent="0.2">
      <c r="B62" s="136" t="s">
        <v>189</v>
      </c>
      <c r="C62" s="132"/>
      <c r="D62" s="132"/>
      <c r="E62" s="132"/>
      <c r="F62" s="132"/>
      <c r="G62" s="132"/>
      <c r="H62" s="132"/>
      <c r="I62" s="133"/>
    </row>
    <row r="63" spans="2:9" ht="30" customHeight="1" x14ac:dyDescent="0.2">
      <c r="B63" s="9" t="s">
        <v>8</v>
      </c>
      <c r="C63" s="9" t="s">
        <v>174</v>
      </c>
      <c r="D63" s="9" t="s">
        <v>175</v>
      </c>
      <c r="E63" s="9" t="s">
        <v>176</v>
      </c>
      <c r="F63" s="9" t="s">
        <v>177</v>
      </c>
      <c r="G63" s="9" t="s">
        <v>178</v>
      </c>
      <c r="H63" s="1" t="s">
        <v>179</v>
      </c>
      <c r="I63" s="1" t="s">
        <v>180</v>
      </c>
    </row>
    <row r="64" spans="2:9" ht="21.75" customHeight="1" x14ac:dyDescent="0.2">
      <c r="B64" s="36">
        <v>1</v>
      </c>
      <c r="C64" s="58"/>
      <c r="D64" s="58"/>
      <c r="E64" s="52" t="str">
        <f>IF(C64="","-",SUMIFS('📋 Registo Diário'!$Q$7:$Q$646,'📋 Registo Diário'!$D$7:$D$646,C64,'📋 Registo Diário'!$B$7:$B$646,"Semana 5"))</f>
        <v>-</v>
      </c>
      <c r="F64" s="52" t="str">
        <f>IF(D64="","-",SUMIFS('📋 Registo Diário'!$Q$7:$Q$646,'📋 Registo Diário'!$D$7:$D$646,D64,'📋 Registo Diário'!$B$7:$B$646,"Semana 5"))</f>
        <v>-</v>
      </c>
      <c r="G64" s="53" t="str">
        <f t="shared" ref="G64:G73" si="12">IF(OR(E64="-",F64="-"),"-",E64+F64)</f>
        <v>-</v>
      </c>
      <c r="H64" s="54" t="str">
        <f t="shared" ref="H64:H73" si="13">IF(G64="-","-",INT(G64/2))</f>
        <v>-</v>
      </c>
      <c r="I64" s="54" t="str">
        <f t="shared" ref="I64:I73" si="14">IF(G64="-","-",G64-INT(G64/2))</f>
        <v>-</v>
      </c>
    </row>
    <row r="65" spans="2:9" ht="21.75" customHeight="1" x14ac:dyDescent="0.2">
      <c r="B65" s="47">
        <v>2</v>
      </c>
      <c r="C65" s="58"/>
      <c r="D65" s="58"/>
      <c r="E65" s="52" t="str">
        <f>IF(C65="","-",SUMIFS('📋 Registo Diário'!$Q$7:$Q$646,'📋 Registo Diário'!$D$7:$D$646,C65,'📋 Registo Diário'!$B$7:$B$646,"Semana 5"))</f>
        <v>-</v>
      </c>
      <c r="F65" s="52" t="str">
        <f>IF(D65="","-",SUMIFS('📋 Registo Diário'!$Q$7:$Q$646,'📋 Registo Diário'!$D$7:$D$646,D65,'📋 Registo Diário'!$B$7:$B$646,"Semana 5"))</f>
        <v>-</v>
      </c>
      <c r="G65" s="53" t="str">
        <f t="shared" si="12"/>
        <v>-</v>
      </c>
      <c r="H65" s="54" t="str">
        <f t="shared" si="13"/>
        <v>-</v>
      </c>
      <c r="I65" s="54" t="str">
        <f t="shared" si="14"/>
        <v>-</v>
      </c>
    </row>
    <row r="66" spans="2:9" ht="21.75" customHeight="1" x14ac:dyDescent="0.2">
      <c r="B66" s="36">
        <v>3</v>
      </c>
      <c r="C66" s="58"/>
      <c r="D66" s="58"/>
      <c r="E66" s="52" t="str">
        <f>IF(C66="","-",SUMIFS('📋 Registo Diário'!$Q$7:$Q$646,'📋 Registo Diário'!$D$7:$D$646,C66,'📋 Registo Diário'!$B$7:$B$646,"Semana 5"))</f>
        <v>-</v>
      </c>
      <c r="F66" s="52" t="str">
        <f>IF(D66="","-",SUMIFS('📋 Registo Diário'!$Q$7:$Q$646,'📋 Registo Diário'!$D$7:$D$646,D66,'📋 Registo Diário'!$B$7:$B$646,"Semana 5"))</f>
        <v>-</v>
      </c>
      <c r="G66" s="53" t="str">
        <f t="shared" si="12"/>
        <v>-</v>
      </c>
      <c r="H66" s="54" t="str">
        <f t="shared" si="13"/>
        <v>-</v>
      </c>
      <c r="I66" s="54" t="str">
        <f t="shared" si="14"/>
        <v>-</v>
      </c>
    </row>
    <row r="67" spans="2:9" ht="21.75" customHeight="1" x14ac:dyDescent="0.2">
      <c r="B67" s="47">
        <v>4</v>
      </c>
      <c r="C67" s="58"/>
      <c r="D67" s="58"/>
      <c r="E67" s="52" t="str">
        <f>IF(C67="","-",SUMIFS('📋 Registo Diário'!$Q$7:$Q$646,'📋 Registo Diário'!$D$7:$D$646,C67,'📋 Registo Diário'!$B$7:$B$646,"Semana 5"))</f>
        <v>-</v>
      </c>
      <c r="F67" s="52" t="str">
        <f>IF(D67="","-",SUMIFS('📋 Registo Diário'!$Q$7:$Q$646,'📋 Registo Diário'!$D$7:$D$646,D67,'📋 Registo Diário'!$B$7:$B$646,"Semana 5"))</f>
        <v>-</v>
      </c>
      <c r="G67" s="53" t="str">
        <f t="shared" si="12"/>
        <v>-</v>
      </c>
      <c r="H67" s="54" t="str">
        <f t="shared" si="13"/>
        <v>-</v>
      </c>
      <c r="I67" s="54" t="str">
        <f t="shared" si="14"/>
        <v>-</v>
      </c>
    </row>
    <row r="68" spans="2:9" ht="21.75" customHeight="1" x14ac:dyDescent="0.2">
      <c r="B68" s="36">
        <v>5</v>
      </c>
      <c r="C68" s="58"/>
      <c r="D68" s="58"/>
      <c r="E68" s="52" t="str">
        <f>IF(C68="","-",SUMIFS('📋 Registo Diário'!$Q$7:$Q$646,'📋 Registo Diário'!$D$7:$D$646,C68,'📋 Registo Diário'!$B$7:$B$646,"Semana 5"))</f>
        <v>-</v>
      </c>
      <c r="F68" s="52" t="str">
        <f>IF(D68="","-",SUMIFS('📋 Registo Diário'!$Q$7:$Q$646,'📋 Registo Diário'!$D$7:$D$646,D68,'📋 Registo Diário'!$B$7:$B$646,"Semana 5"))</f>
        <v>-</v>
      </c>
      <c r="G68" s="53" t="str">
        <f t="shared" si="12"/>
        <v>-</v>
      </c>
      <c r="H68" s="54" t="str">
        <f t="shared" si="13"/>
        <v>-</v>
      </c>
      <c r="I68" s="54" t="str">
        <f t="shared" si="14"/>
        <v>-</v>
      </c>
    </row>
    <row r="69" spans="2:9" ht="21.75" customHeight="1" x14ac:dyDescent="0.2">
      <c r="B69" s="47">
        <v>6</v>
      </c>
      <c r="C69" s="58"/>
      <c r="D69" s="58"/>
      <c r="E69" s="52" t="str">
        <f>IF(C69="","-",SUMIFS('📋 Registo Diário'!$Q$7:$Q$646,'📋 Registo Diário'!$D$7:$D$646,C69,'📋 Registo Diário'!$B$7:$B$646,"Semana 5"))</f>
        <v>-</v>
      </c>
      <c r="F69" s="52" t="str">
        <f>IF(D69="","-",SUMIFS('📋 Registo Diário'!$Q$7:$Q$646,'📋 Registo Diário'!$D$7:$D$646,D69,'📋 Registo Diário'!$B$7:$B$646,"Semana 5"))</f>
        <v>-</v>
      </c>
      <c r="G69" s="53" t="str">
        <f t="shared" si="12"/>
        <v>-</v>
      </c>
      <c r="H69" s="54" t="str">
        <f t="shared" si="13"/>
        <v>-</v>
      </c>
      <c r="I69" s="54" t="str">
        <f t="shared" si="14"/>
        <v>-</v>
      </c>
    </row>
    <row r="70" spans="2:9" ht="21.75" customHeight="1" x14ac:dyDescent="0.2">
      <c r="B70" s="36">
        <v>7</v>
      </c>
      <c r="C70" s="58"/>
      <c r="D70" s="58"/>
      <c r="E70" s="52" t="str">
        <f>IF(C70="","-",SUMIFS('📋 Registo Diário'!$Q$7:$Q$646,'📋 Registo Diário'!$D$7:$D$646,C70,'📋 Registo Diário'!$B$7:$B$646,"Semana 5"))</f>
        <v>-</v>
      </c>
      <c r="F70" s="52" t="str">
        <f>IF(D70="","-",SUMIFS('📋 Registo Diário'!$Q$7:$Q$646,'📋 Registo Diário'!$D$7:$D$646,D70,'📋 Registo Diário'!$B$7:$B$646,"Semana 5"))</f>
        <v>-</v>
      </c>
      <c r="G70" s="53" t="str">
        <f t="shared" si="12"/>
        <v>-</v>
      </c>
      <c r="H70" s="54" t="str">
        <f t="shared" si="13"/>
        <v>-</v>
      </c>
      <c r="I70" s="54" t="str">
        <f t="shared" si="14"/>
        <v>-</v>
      </c>
    </row>
    <row r="71" spans="2:9" ht="21.75" customHeight="1" x14ac:dyDescent="0.2">
      <c r="B71" s="47">
        <v>8</v>
      </c>
      <c r="C71" s="58"/>
      <c r="D71" s="58"/>
      <c r="E71" s="52" t="str">
        <f>IF(C71="","-",SUMIFS('📋 Registo Diário'!$Q$7:$Q$646,'📋 Registo Diário'!$D$7:$D$646,C71,'📋 Registo Diário'!$B$7:$B$646,"Semana 5"))</f>
        <v>-</v>
      </c>
      <c r="F71" s="52" t="str">
        <f>IF(D71="","-",SUMIFS('📋 Registo Diário'!$Q$7:$Q$646,'📋 Registo Diário'!$D$7:$D$646,D71,'📋 Registo Diário'!$B$7:$B$646,"Semana 5"))</f>
        <v>-</v>
      </c>
      <c r="G71" s="53" t="str">
        <f t="shared" si="12"/>
        <v>-</v>
      </c>
      <c r="H71" s="54" t="str">
        <f t="shared" si="13"/>
        <v>-</v>
      </c>
      <c r="I71" s="54" t="str">
        <f t="shared" si="14"/>
        <v>-</v>
      </c>
    </row>
    <row r="72" spans="2:9" ht="21.75" customHeight="1" x14ac:dyDescent="0.2">
      <c r="B72" s="36">
        <v>9</v>
      </c>
      <c r="C72" s="58"/>
      <c r="D72" s="58"/>
      <c r="E72" s="52" t="str">
        <f>IF(C72="","-",SUMIFS('📋 Registo Diário'!$Q$7:$Q$646,'📋 Registo Diário'!$D$7:$D$646,C72,'📋 Registo Diário'!$B$7:$B$646,"Semana 5"))</f>
        <v>-</v>
      </c>
      <c r="F72" s="52" t="str">
        <f>IF(D72="","-",SUMIFS('📋 Registo Diário'!$Q$7:$Q$646,'📋 Registo Diário'!$D$7:$D$646,D72,'📋 Registo Diário'!$B$7:$B$646,"Semana 5"))</f>
        <v>-</v>
      </c>
      <c r="G72" s="53" t="str">
        <f t="shared" si="12"/>
        <v>-</v>
      </c>
      <c r="H72" s="54" t="str">
        <f t="shared" si="13"/>
        <v>-</v>
      </c>
      <c r="I72" s="54" t="str">
        <f t="shared" si="14"/>
        <v>-</v>
      </c>
    </row>
    <row r="73" spans="2:9" ht="21.75" customHeight="1" x14ac:dyDescent="0.2">
      <c r="B73" s="47">
        <v>10</v>
      </c>
      <c r="C73" s="58"/>
      <c r="D73" s="58"/>
      <c r="E73" s="52" t="str">
        <f>IF(C73="","-",SUMIFS('📋 Registo Diário'!$Q$7:$Q$646,'📋 Registo Diário'!$D$7:$D$646,C73,'📋 Registo Diário'!$B$7:$B$646,"Semana 5"))</f>
        <v>-</v>
      </c>
      <c r="F73" s="52" t="str">
        <f>IF(D73="","-",SUMIFS('📋 Registo Diário'!$Q$7:$Q$646,'📋 Registo Diário'!$D$7:$D$646,D73,'📋 Registo Diário'!$B$7:$B$646,"Semana 5"))</f>
        <v>-</v>
      </c>
      <c r="G73" s="53" t="str">
        <f t="shared" si="12"/>
        <v>-</v>
      </c>
      <c r="H73" s="54" t="str">
        <f t="shared" si="13"/>
        <v>-</v>
      </c>
      <c r="I73" s="54" t="str">
        <f t="shared" si="14"/>
        <v>-</v>
      </c>
    </row>
    <row r="74" spans="2:9" ht="21.75" customHeight="1" x14ac:dyDescent="0.2">
      <c r="B74" s="148" t="s">
        <v>190</v>
      </c>
      <c r="C74" s="132"/>
      <c r="D74" s="133"/>
      <c r="E74" s="149" t="s">
        <v>182</v>
      </c>
      <c r="F74" s="120"/>
      <c r="G74" s="55">
        <f>IF(G64="-",0,G64)+IF(G65="-",0,G65)+IF(G66="-",0,G66)+IF(G67="-",0,G67)+IF(G68="-",0,G68)+IF(G69="-",0,G69)+IF(G70="-",0,G70)+IF(G71="-",0,G71)+IF(G72="-",0,G72)+IF(G73="-",0,G73)</f>
        <v>0</v>
      </c>
    </row>
    <row r="75" spans="2:9" ht="7.5" customHeight="1" x14ac:dyDescent="0.2">
      <c r="B75" s="56"/>
      <c r="C75" s="56"/>
      <c r="D75" s="56"/>
      <c r="E75" s="56"/>
      <c r="F75" s="56"/>
      <c r="G75" s="56"/>
      <c r="H75" s="56"/>
      <c r="I75" s="56"/>
    </row>
    <row r="76" spans="2:9" ht="24.75" customHeight="1" x14ac:dyDescent="0.2">
      <c r="B76" s="135" t="s">
        <v>191</v>
      </c>
      <c r="C76" s="132"/>
      <c r="D76" s="132"/>
      <c r="E76" s="132"/>
      <c r="F76" s="132"/>
      <c r="G76" s="132"/>
      <c r="H76" s="132"/>
      <c r="I76" s="133"/>
    </row>
    <row r="77" spans="2:9" ht="30" customHeight="1" x14ac:dyDescent="0.2">
      <c r="B77" s="2" t="s">
        <v>8</v>
      </c>
      <c r="C77" s="2" t="s">
        <v>174</v>
      </c>
      <c r="D77" s="2" t="s">
        <v>175</v>
      </c>
      <c r="E77" s="2" t="s">
        <v>176</v>
      </c>
      <c r="F77" s="2" t="s">
        <v>177</v>
      </c>
      <c r="G77" s="2" t="s">
        <v>178</v>
      </c>
      <c r="H77" s="1" t="s">
        <v>179</v>
      </c>
      <c r="I77" s="1" t="s">
        <v>180</v>
      </c>
    </row>
    <row r="78" spans="2:9" ht="21.75" customHeight="1" x14ac:dyDescent="0.2">
      <c r="B78" s="36">
        <v>1</v>
      </c>
      <c r="C78" s="58"/>
      <c r="D78" s="58"/>
      <c r="E78" s="52" t="str">
        <f>IF(C78="","-",SUMIFS('📋 Registo Diário'!$Q$7:$Q$646,'📋 Registo Diário'!$D$7:$D$646,C78,'📋 Registo Diário'!$B$7:$B$646,"Semana 6"))</f>
        <v>-</v>
      </c>
      <c r="F78" s="52" t="str">
        <f>IF(D78="","-",SUMIFS('📋 Registo Diário'!$Q$7:$Q$646,'📋 Registo Diário'!$D$7:$D$646,D78,'📋 Registo Diário'!$B$7:$B$646,"Semana 6"))</f>
        <v>-</v>
      </c>
      <c r="G78" s="53" t="str">
        <f t="shared" ref="G78:G87" si="15">IF(OR(E78="-",F78="-"),"-",E78+F78)</f>
        <v>-</v>
      </c>
      <c r="H78" s="54" t="str">
        <f t="shared" ref="H78:H87" si="16">IF(G78="-","-",INT(G78/2))</f>
        <v>-</v>
      </c>
      <c r="I78" s="54" t="str">
        <f t="shared" ref="I78:I87" si="17">IF(G78="-","-",G78-INT(G78/2))</f>
        <v>-</v>
      </c>
    </row>
    <row r="79" spans="2:9" ht="21.75" customHeight="1" x14ac:dyDescent="0.2">
      <c r="B79" s="47">
        <v>2</v>
      </c>
      <c r="C79" s="58"/>
      <c r="D79" s="58"/>
      <c r="E79" s="52" t="str">
        <f>IF(C79="","-",SUMIFS('📋 Registo Diário'!$Q$7:$Q$646,'📋 Registo Diário'!$D$7:$D$646,C79,'📋 Registo Diário'!$B$7:$B$646,"Semana 6"))</f>
        <v>-</v>
      </c>
      <c r="F79" s="52" t="str">
        <f>IF(D79="","-",SUMIFS('📋 Registo Diário'!$Q$7:$Q$646,'📋 Registo Diário'!$D$7:$D$646,D79,'📋 Registo Diário'!$B$7:$B$646,"Semana 6"))</f>
        <v>-</v>
      </c>
      <c r="G79" s="53" t="str">
        <f t="shared" si="15"/>
        <v>-</v>
      </c>
      <c r="H79" s="54" t="str">
        <f t="shared" si="16"/>
        <v>-</v>
      </c>
      <c r="I79" s="54" t="str">
        <f t="shared" si="17"/>
        <v>-</v>
      </c>
    </row>
    <row r="80" spans="2:9" ht="21.75" customHeight="1" x14ac:dyDescent="0.2">
      <c r="B80" s="36">
        <v>3</v>
      </c>
      <c r="C80" s="58"/>
      <c r="D80" s="58"/>
      <c r="E80" s="52" t="str">
        <f>IF(C80="","-",SUMIFS('📋 Registo Diário'!$Q$7:$Q$646,'📋 Registo Diário'!$D$7:$D$646,C80,'📋 Registo Diário'!$B$7:$B$646,"Semana 6"))</f>
        <v>-</v>
      </c>
      <c r="F80" s="52" t="str">
        <f>IF(D80="","-",SUMIFS('📋 Registo Diário'!$Q$7:$Q$646,'📋 Registo Diário'!$D$7:$D$646,D80,'📋 Registo Diário'!$B$7:$B$646,"Semana 6"))</f>
        <v>-</v>
      </c>
      <c r="G80" s="53" t="str">
        <f t="shared" si="15"/>
        <v>-</v>
      </c>
      <c r="H80" s="54" t="str">
        <f t="shared" si="16"/>
        <v>-</v>
      </c>
      <c r="I80" s="54" t="str">
        <f t="shared" si="17"/>
        <v>-</v>
      </c>
    </row>
    <row r="81" spans="2:9" ht="21.75" customHeight="1" x14ac:dyDescent="0.2">
      <c r="B81" s="47">
        <v>4</v>
      </c>
      <c r="C81" s="58"/>
      <c r="D81" s="58"/>
      <c r="E81" s="52" t="str">
        <f>IF(C81="","-",SUMIFS('📋 Registo Diário'!$Q$7:$Q$646,'📋 Registo Diário'!$D$7:$D$646,C81,'📋 Registo Diário'!$B$7:$B$646,"Semana 6"))</f>
        <v>-</v>
      </c>
      <c r="F81" s="52" t="str">
        <f>IF(D81="","-",SUMIFS('📋 Registo Diário'!$Q$7:$Q$646,'📋 Registo Diário'!$D$7:$D$646,D81,'📋 Registo Diário'!$B$7:$B$646,"Semana 6"))</f>
        <v>-</v>
      </c>
      <c r="G81" s="53" t="str">
        <f t="shared" si="15"/>
        <v>-</v>
      </c>
      <c r="H81" s="54" t="str">
        <f t="shared" si="16"/>
        <v>-</v>
      </c>
      <c r="I81" s="54" t="str">
        <f t="shared" si="17"/>
        <v>-</v>
      </c>
    </row>
    <row r="82" spans="2:9" ht="21.75" customHeight="1" x14ac:dyDescent="0.2">
      <c r="B82" s="36">
        <v>5</v>
      </c>
      <c r="C82" s="58"/>
      <c r="D82" s="58"/>
      <c r="E82" s="52" t="str">
        <f>IF(C82="","-",SUMIFS('📋 Registo Diário'!$Q$7:$Q$646,'📋 Registo Diário'!$D$7:$D$646,C82,'📋 Registo Diário'!$B$7:$B$646,"Semana 6"))</f>
        <v>-</v>
      </c>
      <c r="F82" s="52" t="str">
        <f>IF(D82="","-",SUMIFS('📋 Registo Diário'!$Q$7:$Q$646,'📋 Registo Diário'!$D$7:$D$646,D82,'📋 Registo Diário'!$B$7:$B$646,"Semana 6"))</f>
        <v>-</v>
      </c>
      <c r="G82" s="53" t="str">
        <f t="shared" si="15"/>
        <v>-</v>
      </c>
      <c r="H82" s="54" t="str">
        <f t="shared" si="16"/>
        <v>-</v>
      </c>
      <c r="I82" s="54" t="str">
        <f t="shared" si="17"/>
        <v>-</v>
      </c>
    </row>
    <row r="83" spans="2:9" ht="21.75" customHeight="1" x14ac:dyDescent="0.2">
      <c r="B83" s="47">
        <v>6</v>
      </c>
      <c r="C83" s="58"/>
      <c r="D83" s="58"/>
      <c r="E83" s="52" t="str">
        <f>IF(C83="","-",SUMIFS('📋 Registo Diário'!$Q$7:$Q$646,'📋 Registo Diário'!$D$7:$D$646,C83,'📋 Registo Diário'!$B$7:$B$646,"Semana 6"))</f>
        <v>-</v>
      </c>
      <c r="F83" s="52" t="str">
        <f>IF(D83="","-",SUMIFS('📋 Registo Diário'!$Q$7:$Q$646,'📋 Registo Diário'!$D$7:$D$646,D83,'📋 Registo Diário'!$B$7:$B$646,"Semana 6"))</f>
        <v>-</v>
      </c>
      <c r="G83" s="53" t="str">
        <f t="shared" si="15"/>
        <v>-</v>
      </c>
      <c r="H83" s="54" t="str">
        <f t="shared" si="16"/>
        <v>-</v>
      </c>
      <c r="I83" s="54" t="str">
        <f t="shared" si="17"/>
        <v>-</v>
      </c>
    </row>
    <row r="84" spans="2:9" ht="21.75" customHeight="1" x14ac:dyDescent="0.2">
      <c r="B84" s="36">
        <v>7</v>
      </c>
      <c r="C84" s="58"/>
      <c r="D84" s="58"/>
      <c r="E84" s="52" t="str">
        <f>IF(C84="","-",SUMIFS('📋 Registo Diário'!$Q$7:$Q$646,'📋 Registo Diário'!$D$7:$D$646,C84,'📋 Registo Diário'!$B$7:$B$646,"Semana 6"))</f>
        <v>-</v>
      </c>
      <c r="F84" s="52" t="str">
        <f>IF(D84="","-",SUMIFS('📋 Registo Diário'!$Q$7:$Q$646,'📋 Registo Diário'!$D$7:$D$646,D84,'📋 Registo Diário'!$B$7:$B$646,"Semana 6"))</f>
        <v>-</v>
      </c>
      <c r="G84" s="53" t="str">
        <f t="shared" si="15"/>
        <v>-</v>
      </c>
      <c r="H84" s="54" t="str">
        <f t="shared" si="16"/>
        <v>-</v>
      </c>
      <c r="I84" s="54" t="str">
        <f t="shared" si="17"/>
        <v>-</v>
      </c>
    </row>
    <row r="85" spans="2:9" ht="21.75" customHeight="1" x14ac:dyDescent="0.2">
      <c r="B85" s="47">
        <v>8</v>
      </c>
      <c r="C85" s="58"/>
      <c r="D85" s="58"/>
      <c r="E85" s="52" t="str">
        <f>IF(C85="","-",SUMIFS('📋 Registo Diário'!$Q$7:$Q$646,'📋 Registo Diário'!$D$7:$D$646,C85,'📋 Registo Diário'!$B$7:$B$646,"Semana 6"))</f>
        <v>-</v>
      </c>
      <c r="F85" s="52" t="str">
        <f>IF(D85="","-",SUMIFS('📋 Registo Diário'!$Q$7:$Q$646,'📋 Registo Diário'!$D$7:$D$646,D85,'📋 Registo Diário'!$B$7:$B$646,"Semana 6"))</f>
        <v>-</v>
      </c>
      <c r="G85" s="53" t="str">
        <f t="shared" si="15"/>
        <v>-</v>
      </c>
      <c r="H85" s="54" t="str">
        <f t="shared" si="16"/>
        <v>-</v>
      </c>
      <c r="I85" s="54" t="str">
        <f t="shared" si="17"/>
        <v>-</v>
      </c>
    </row>
    <row r="86" spans="2:9" ht="21.75" customHeight="1" x14ac:dyDescent="0.2">
      <c r="B86" s="36">
        <v>9</v>
      </c>
      <c r="C86" s="58"/>
      <c r="D86" s="58"/>
      <c r="E86" s="52" t="str">
        <f>IF(C86="","-",SUMIFS('📋 Registo Diário'!$Q$7:$Q$646,'📋 Registo Diário'!$D$7:$D$646,C86,'📋 Registo Diário'!$B$7:$B$646,"Semana 6"))</f>
        <v>-</v>
      </c>
      <c r="F86" s="52" t="str">
        <f>IF(D86="","-",SUMIFS('📋 Registo Diário'!$Q$7:$Q$646,'📋 Registo Diário'!$D$7:$D$646,D86,'📋 Registo Diário'!$B$7:$B$646,"Semana 6"))</f>
        <v>-</v>
      </c>
      <c r="G86" s="53" t="str">
        <f t="shared" si="15"/>
        <v>-</v>
      </c>
      <c r="H86" s="54" t="str">
        <f t="shared" si="16"/>
        <v>-</v>
      </c>
      <c r="I86" s="54" t="str">
        <f t="shared" si="17"/>
        <v>-</v>
      </c>
    </row>
    <row r="87" spans="2:9" ht="21.75" customHeight="1" x14ac:dyDescent="0.2">
      <c r="B87" s="47">
        <v>10</v>
      </c>
      <c r="C87" s="58"/>
      <c r="D87" s="58"/>
      <c r="E87" s="52" t="str">
        <f>IF(C87="","-",SUMIFS('📋 Registo Diário'!$Q$7:$Q$646,'📋 Registo Diário'!$D$7:$D$646,C87,'📋 Registo Diário'!$B$7:$B$646,"Semana 6"))</f>
        <v>-</v>
      </c>
      <c r="F87" s="52" t="str">
        <f>IF(D87="","-",SUMIFS('📋 Registo Diário'!$Q$7:$Q$646,'📋 Registo Diário'!$D$7:$D$646,D87,'📋 Registo Diário'!$B$7:$B$646,"Semana 6"))</f>
        <v>-</v>
      </c>
      <c r="G87" s="53" t="str">
        <f t="shared" si="15"/>
        <v>-</v>
      </c>
      <c r="H87" s="54" t="str">
        <f t="shared" si="16"/>
        <v>-</v>
      </c>
      <c r="I87" s="54" t="str">
        <f t="shared" si="17"/>
        <v>-</v>
      </c>
    </row>
    <row r="88" spans="2:9" ht="21.75" customHeight="1" x14ac:dyDescent="0.2">
      <c r="B88" s="146" t="s">
        <v>192</v>
      </c>
      <c r="C88" s="132"/>
      <c r="D88" s="133"/>
      <c r="E88" s="147" t="s">
        <v>182</v>
      </c>
      <c r="F88" s="120"/>
      <c r="G88" s="57">
        <f>IF(G78="-",0,G78)+IF(G79="-",0,G79)+IF(G80="-",0,G80)+IF(G81="-",0,G81)+IF(G82="-",0,G82)+IF(G83="-",0,G83)+IF(G84="-",0,G84)+IF(G85="-",0,G85)+IF(G86="-",0,G86)+IF(G87="-",0,G87)</f>
        <v>0</v>
      </c>
    </row>
    <row r="89" spans="2:9" ht="7.5" customHeight="1" x14ac:dyDescent="0.2">
      <c r="B89" s="56"/>
      <c r="C89" s="56"/>
      <c r="D89" s="56"/>
      <c r="E89" s="56"/>
      <c r="F89" s="56"/>
      <c r="G89" s="56"/>
      <c r="H89" s="56"/>
      <c r="I89" s="56"/>
    </row>
    <row r="90" spans="2:9" ht="24.75" customHeight="1" x14ac:dyDescent="0.2">
      <c r="B90" s="136" t="s">
        <v>193</v>
      </c>
      <c r="C90" s="132"/>
      <c r="D90" s="132"/>
      <c r="E90" s="132"/>
      <c r="F90" s="132"/>
      <c r="G90" s="132"/>
      <c r="H90" s="132"/>
      <c r="I90" s="133"/>
    </row>
    <row r="91" spans="2:9" ht="30" customHeight="1" x14ac:dyDescent="0.2">
      <c r="B91" s="9" t="s">
        <v>8</v>
      </c>
      <c r="C91" s="9" t="s">
        <v>174</v>
      </c>
      <c r="D91" s="9" t="s">
        <v>175</v>
      </c>
      <c r="E91" s="9" t="s">
        <v>176</v>
      </c>
      <c r="F91" s="9" t="s">
        <v>177</v>
      </c>
      <c r="G91" s="9" t="s">
        <v>178</v>
      </c>
      <c r="H91" s="1" t="s">
        <v>179</v>
      </c>
      <c r="I91" s="1" t="s">
        <v>180</v>
      </c>
    </row>
    <row r="92" spans="2:9" ht="21.75" customHeight="1" x14ac:dyDescent="0.2">
      <c r="B92" s="36">
        <v>1</v>
      </c>
      <c r="C92" s="58"/>
      <c r="D92" s="58"/>
      <c r="E92" s="52" t="str">
        <f>IF(C92="","-",SUMIFS('📋 Registo Diário'!$Q$7:$Q$646,'📋 Registo Diário'!$D$7:$D$646,C92,'📋 Registo Diário'!$B$7:$B$646,"Semana 7"))</f>
        <v>-</v>
      </c>
      <c r="F92" s="52" t="str">
        <f>IF(D92="","-",SUMIFS('📋 Registo Diário'!$Q$7:$Q$646,'📋 Registo Diário'!$D$7:$D$646,D92,'📋 Registo Diário'!$B$7:$B$646,"Semana 7"))</f>
        <v>-</v>
      </c>
      <c r="G92" s="53" t="str">
        <f t="shared" ref="G92:G101" si="18">IF(OR(E92="-",F92="-"),"-",E92+F92)</f>
        <v>-</v>
      </c>
      <c r="H92" s="54" t="str">
        <f t="shared" ref="H92:H101" si="19">IF(G92="-","-",INT(G92/2))</f>
        <v>-</v>
      </c>
      <c r="I92" s="54" t="str">
        <f t="shared" ref="I92:I101" si="20">IF(G92="-","-",G92-INT(G92/2))</f>
        <v>-</v>
      </c>
    </row>
    <row r="93" spans="2:9" ht="21.75" customHeight="1" x14ac:dyDescent="0.2">
      <c r="B93" s="47">
        <v>2</v>
      </c>
      <c r="C93" s="58"/>
      <c r="D93" s="58"/>
      <c r="E93" s="52" t="str">
        <f>IF(C93="","-",SUMIFS('📋 Registo Diário'!$Q$7:$Q$646,'📋 Registo Diário'!$D$7:$D$646,C93,'📋 Registo Diário'!$B$7:$B$646,"Semana 7"))</f>
        <v>-</v>
      </c>
      <c r="F93" s="52" t="str">
        <f>IF(D93="","-",SUMIFS('📋 Registo Diário'!$Q$7:$Q$646,'📋 Registo Diário'!$D$7:$D$646,D93,'📋 Registo Diário'!$B$7:$B$646,"Semana 7"))</f>
        <v>-</v>
      </c>
      <c r="G93" s="53" t="str">
        <f t="shared" si="18"/>
        <v>-</v>
      </c>
      <c r="H93" s="54" t="str">
        <f t="shared" si="19"/>
        <v>-</v>
      </c>
      <c r="I93" s="54" t="str">
        <f t="shared" si="20"/>
        <v>-</v>
      </c>
    </row>
    <row r="94" spans="2:9" ht="21.75" customHeight="1" x14ac:dyDescent="0.2">
      <c r="B94" s="36">
        <v>3</v>
      </c>
      <c r="C94" s="58"/>
      <c r="D94" s="58"/>
      <c r="E94" s="52" t="str">
        <f>IF(C94="","-",SUMIFS('📋 Registo Diário'!$Q$7:$Q$646,'📋 Registo Diário'!$D$7:$D$646,C94,'📋 Registo Diário'!$B$7:$B$646,"Semana 7"))</f>
        <v>-</v>
      </c>
      <c r="F94" s="52" t="str">
        <f>IF(D94="","-",SUMIFS('📋 Registo Diário'!$Q$7:$Q$646,'📋 Registo Diário'!$D$7:$D$646,D94,'📋 Registo Diário'!$B$7:$B$646,"Semana 7"))</f>
        <v>-</v>
      </c>
      <c r="G94" s="53" t="str">
        <f t="shared" si="18"/>
        <v>-</v>
      </c>
      <c r="H94" s="54" t="str">
        <f t="shared" si="19"/>
        <v>-</v>
      </c>
      <c r="I94" s="54" t="str">
        <f t="shared" si="20"/>
        <v>-</v>
      </c>
    </row>
    <row r="95" spans="2:9" ht="21.75" customHeight="1" x14ac:dyDescent="0.2">
      <c r="B95" s="47">
        <v>4</v>
      </c>
      <c r="C95" s="58"/>
      <c r="D95" s="58"/>
      <c r="E95" s="52" t="str">
        <f>IF(C95="","-",SUMIFS('📋 Registo Diário'!$Q$7:$Q$646,'📋 Registo Diário'!$D$7:$D$646,C95,'📋 Registo Diário'!$B$7:$B$646,"Semana 7"))</f>
        <v>-</v>
      </c>
      <c r="F95" s="52" t="str">
        <f>IF(D95="","-",SUMIFS('📋 Registo Diário'!$Q$7:$Q$646,'📋 Registo Diário'!$D$7:$D$646,D95,'📋 Registo Diário'!$B$7:$B$646,"Semana 7"))</f>
        <v>-</v>
      </c>
      <c r="G95" s="53" t="str">
        <f t="shared" si="18"/>
        <v>-</v>
      </c>
      <c r="H95" s="54" t="str">
        <f t="shared" si="19"/>
        <v>-</v>
      </c>
      <c r="I95" s="54" t="str">
        <f t="shared" si="20"/>
        <v>-</v>
      </c>
    </row>
    <row r="96" spans="2:9" ht="21.75" customHeight="1" x14ac:dyDescent="0.2">
      <c r="B96" s="36">
        <v>5</v>
      </c>
      <c r="C96" s="58"/>
      <c r="D96" s="58"/>
      <c r="E96" s="52" t="str">
        <f>IF(C96="","-",SUMIFS('📋 Registo Diário'!$Q$7:$Q$646,'📋 Registo Diário'!$D$7:$D$646,C96,'📋 Registo Diário'!$B$7:$B$646,"Semana 7"))</f>
        <v>-</v>
      </c>
      <c r="F96" s="52" t="str">
        <f>IF(D96="","-",SUMIFS('📋 Registo Diário'!$Q$7:$Q$646,'📋 Registo Diário'!$D$7:$D$646,D96,'📋 Registo Diário'!$B$7:$B$646,"Semana 7"))</f>
        <v>-</v>
      </c>
      <c r="G96" s="53" t="str">
        <f t="shared" si="18"/>
        <v>-</v>
      </c>
      <c r="H96" s="54" t="str">
        <f t="shared" si="19"/>
        <v>-</v>
      </c>
      <c r="I96" s="54" t="str">
        <f t="shared" si="20"/>
        <v>-</v>
      </c>
    </row>
    <row r="97" spans="2:9" ht="21.75" customHeight="1" x14ac:dyDescent="0.2">
      <c r="B97" s="47">
        <v>6</v>
      </c>
      <c r="C97" s="58"/>
      <c r="D97" s="58"/>
      <c r="E97" s="52" t="str">
        <f>IF(C97="","-",SUMIFS('📋 Registo Diário'!$Q$7:$Q$646,'📋 Registo Diário'!$D$7:$D$646,C97,'📋 Registo Diário'!$B$7:$B$646,"Semana 7"))</f>
        <v>-</v>
      </c>
      <c r="F97" s="52" t="str">
        <f>IF(D97="","-",SUMIFS('📋 Registo Diário'!$Q$7:$Q$646,'📋 Registo Diário'!$D$7:$D$646,D97,'📋 Registo Diário'!$B$7:$B$646,"Semana 7"))</f>
        <v>-</v>
      </c>
      <c r="G97" s="53" t="str">
        <f t="shared" si="18"/>
        <v>-</v>
      </c>
      <c r="H97" s="54" t="str">
        <f t="shared" si="19"/>
        <v>-</v>
      </c>
      <c r="I97" s="54" t="str">
        <f t="shared" si="20"/>
        <v>-</v>
      </c>
    </row>
    <row r="98" spans="2:9" ht="21.75" customHeight="1" x14ac:dyDescent="0.2">
      <c r="B98" s="36">
        <v>7</v>
      </c>
      <c r="C98" s="58"/>
      <c r="D98" s="58"/>
      <c r="E98" s="52" t="str">
        <f>IF(C98="","-",SUMIFS('📋 Registo Diário'!$Q$7:$Q$646,'📋 Registo Diário'!$D$7:$D$646,C98,'📋 Registo Diário'!$B$7:$B$646,"Semana 7"))</f>
        <v>-</v>
      </c>
      <c r="F98" s="52" t="str">
        <f>IF(D98="","-",SUMIFS('📋 Registo Diário'!$Q$7:$Q$646,'📋 Registo Diário'!$D$7:$D$646,D98,'📋 Registo Diário'!$B$7:$B$646,"Semana 7"))</f>
        <v>-</v>
      </c>
      <c r="G98" s="53" t="str">
        <f t="shared" si="18"/>
        <v>-</v>
      </c>
      <c r="H98" s="54" t="str">
        <f t="shared" si="19"/>
        <v>-</v>
      </c>
      <c r="I98" s="54" t="str">
        <f t="shared" si="20"/>
        <v>-</v>
      </c>
    </row>
    <row r="99" spans="2:9" ht="21.75" customHeight="1" x14ac:dyDescent="0.2">
      <c r="B99" s="47">
        <v>8</v>
      </c>
      <c r="C99" s="58"/>
      <c r="D99" s="58"/>
      <c r="E99" s="52" t="str">
        <f>IF(C99="","-",SUMIFS('📋 Registo Diário'!$Q$7:$Q$646,'📋 Registo Diário'!$D$7:$D$646,C99,'📋 Registo Diário'!$B$7:$B$646,"Semana 7"))</f>
        <v>-</v>
      </c>
      <c r="F99" s="52" t="str">
        <f>IF(D99="","-",SUMIFS('📋 Registo Diário'!$Q$7:$Q$646,'📋 Registo Diário'!$D$7:$D$646,D99,'📋 Registo Diário'!$B$7:$B$646,"Semana 7"))</f>
        <v>-</v>
      </c>
      <c r="G99" s="53" t="str">
        <f t="shared" si="18"/>
        <v>-</v>
      </c>
      <c r="H99" s="54" t="str">
        <f t="shared" si="19"/>
        <v>-</v>
      </c>
      <c r="I99" s="54" t="str">
        <f t="shared" si="20"/>
        <v>-</v>
      </c>
    </row>
    <row r="100" spans="2:9" ht="21.75" customHeight="1" x14ac:dyDescent="0.2">
      <c r="B100" s="36">
        <v>9</v>
      </c>
      <c r="C100" s="58"/>
      <c r="D100" s="58"/>
      <c r="E100" s="52" t="str">
        <f>IF(C100="","-",SUMIFS('📋 Registo Diário'!$Q$7:$Q$646,'📋 Registo Diário'!$D$7:$D$646,C100,'📋 Registo Diário'!$B$7:$B$646,"Semana 7"))</f>
        <v>-</v>
      </c>
      <c r="F100" s="52" t="str">
        <f>IF(D100="","-",SUMIFS('📋 Registo Diário'!$Q$7:$Q$646,'📋 Registo Diário'!$D$7:$D$646,D100,'📋 Registo Diário'!$B$7:$B$646,"Semana 7"))</f>
        <v>-</v>
      </c>
      <c r="G100" s="53" t="str">
        <f t="shared" si="18"/>
        <v>-</v>
      </c>
      <c r="H100" s="54" t="str">
        <f t="shared" si="19"/>
        <v>-</v>
      </c>
      <c r="I100" s="54" t="str">
        <f t="shared" si="20"/>
        <v>-</v>
      </c>
    </row>
    <row r="101" spans="2:9" ht="21.75" customHeight="1" x14ac:dyDescent="0.2">
      <c r="B101" s="47">
        <v>10</v>
      </c>
      <c r="C101" s="58"/>
      <c r="D101" s="58"/>
      <c r="E101" s="52" t="str">
        <f>IF(C101="","-",SUMIFS('📋 Registo Diário'!$Q$7:$Q$646,'📋 Registo Diário'!$D$7:$D$646,C101,'📋 Registo Diário'!$B$7:$B$646,"Semana 7"))</f>
        <v>-</v>
      </c>
      <c r="F101" s="52" t="str">
        <f>IF(D101="","-",SUMIFS('📋 Registo Diário'!$Q$7:$Q$646,'📋 Registo Diário'!$D$7:$D$646,D101,'📋 Registo Diário'!$B$7:$B$646,"Semana 7"))</f>
        <v>-</v>
      </c>
      <c r="G101" s="53" t="str">
        <f t="shared" si="18"/>
        <v>-</v>
      </c>
      <c r="H101" s="54" t="str">
        <f t="shared" si="19"/>
        <v>-</v>
      </c>
      <c r="I101" s="54" t="str">
        <f t="shared" si="20"/>
        <v>-</v>
      </c>
    </row>
    <row r="102" spans="2:9" ht="21.75" customHeight="1" x14ac:dyDescent="0.2">
      <c r="B102" s="148" t="s">
        <v>194</v>
      </c>
      <c r="C102" s="132"/>
      <c r="D102" s="133"/>
      <c r="E102" s="149" t="s">
        <v>182</v>
      </c>
      <c r="F102" s="120"/>
      <c r="G102" s="55">
        <f>IF(G92="-",0,G92)+IF(G93="-",0,G93)+IF(G94="-",0,G94)+IF(G95="-",0,G95)+IF(G96="-",0,G96)+IF(G97="-",0,G97)+IF(G98="-",0,G98)+IF(G99="-",0,G99)+IF(G100="-",0,G100)+IF(G101="-",0,G101)</f>
        <v>0</v>
      </c>
    </row>
    <row r="103" spans="2:9" ht="7.5" customHeight="1" x14ac:dyDescent="0.2">
      <c r="B103" s="56"/>
      <c r="C103" s="56"/>
      <c r="D103" s="56"/>
      <c r="E103" s="56"/>
      <c r="F103" s="56"/>
      <c r="G103" s="56"/>
      <c r="H103" s="56"/>
      <c r="I103" s="56"/>
    </row>
    <row r="104" spans="2:9" ht="24.75" customHeight="1" x14ac:dyDescent="0.2">
      <c r="B104" s="135" t="s">
        <v>195</v>
      </c>
      <c r="C104" s="132"/>
      <c r="D104" s="132"/>
      <c r="E104" s="132"/>
      <c r="F104" s="132"/>
      <c r="G104" s="132"/>
      <c r="H104" s="132"/>
      <c r="I104" s="133"/>
    </row>
    <row r="105" spans="2:9" ht="30" customHeight="1" x14ac:dyDescent="0.2">
      <c r="B105" s="2" t="s">
        <v>8</v>
      </c>
      <c r="C105" s="2" t="s">
        <v>174</v>
      </c>
      <c r="D105" s="2" t="s">
        <v>175</v>
      </c>
      <c r="E105" s="2" t="s">
        <v>176</v>
      </c>
      <c r="F105" s="2" t="s">
        <v>177</v>
      </c>
      <c r="G105" s="2" t="s">
        <v>178</v>
      </c>
      <c r="H105" s="1" t="s">
        <v>179</v>
      </c>
      <c r="I105" s="1" t="s">
        <v>180</v>
      </c>
    </row>
    <row r="106" spans="2:9" ht="21.75" customHeight="1" x14ac:dyDescent="0.2">
      <c r="B106" s="36">
        <v>1</v>
      </c>
      <c r="C106" s="58"/>
      <c r="D106" s="58"/>
      <c r="E106" s="52" t="str">
        <f>IF(C106="","-",SUMIFS('📋 Registo Diário'!$Q$7:$Q$646,'📋 Registo Diário'!$D$7:$D$646,C106,'📋 Registo Diário'!$B$7:$B$646,"Semana 8"))</f>
        <v>-</v>
      </c>
      <c r="F106" s="52" t="str">
        <f>IF(D106="","-",SUMIFS('📋 Registo Diário'!$Q$7:$Q$646,'📋 Registo Diário'!$D$7:$D$646,D106,'📋 Registo Diário'!$B$7:$B$646,"Semana 8"))</f>
        <v>-</v>
      </c>
      <c r="G106" s="53" t="str">
        <f t="shared" ref="G106:G115" si="21">IF(OR(E106="-",F106="-"),"-",E106+F106)</f>
        <v>-</v>
      </c>
      <c r="H106" s="54" t="str">
        <f t="shared" ref="H106:H115" si="22">IF(G106="-","-",INT(G106/2))</f>
        <v>-</v>
      </c>
      <c r="I106" s="54" t="str">
        <f t="shared" ref="I106:I115" si="23">IF(G106="-","-",G106-INT(G106/2))</f>
        <v>-</v>
      </c>
    </row>
    <row r="107" spans="2:9" ht="21.75" customHeight="1" x14ac:dyDescent="0.2">
      <c r="B107" s="47">
        <v>2</v>
      </c>
      <c r="C107" s="58"/>
      <c r="D107" s="58"/>
      <c r="E107" s="52" t="str">
        <f>IF(C107="","-",SUMIFS('📋 Registo Diário'!$Q$7:$Q$646,'📋 Registo Diário'!$D$7:$D$646,C107,'📋 Registo Diário'!$B$7:$B$646,"Semana 8"))</f>
        <v>-</v>
      </c>
      <c r="F107" s="52" t="str">
        <f>IF(D107="","-",SUMIFS('📋 Registo Diário'!$Q$7:$Q$646,'📋 Registo Diário'!$D$7:$D$646,D107,'📋 Registo Diário'!$B$7:$B$646,"Semana 8"))</f>
        <v>-</v>
      </c>
      <c r="G107" s="53" t="str">
        <f t="shared" si="21"/>
        <v>-</v>
      </c>
      <c r="H107" s="54" t="str">
        <f t="shared" si="22"/>
        <v>-</v>
      </c>
      <c r="I107" s="54" t="str">
        <f t="shared" si="23"/>
        <v>-</v>
      </c>
    </row>
    <row r="108" spans="2:9" ht="21.75" customHeight="1" x14ac:dyDescent="0.2">
      <c r="B108" s="36">
        <v>3</v>
      </c>
      <c r="C108" s="58"/>
      <c r="D108" s="58"/>
      <c r="E108" s="52" t="str">
        <f>IF(C108="","-",SUMIFS('📋 Registo Diário'!$Q$7:$Q$646,'📋 Registo Diário'!$D$7:$D$646,C108,'📋 Registo Diário'!$B$7:$B$646,"Semana 8"))</f>
        <v>-</v>
      </c>
      <c r="F108" s="52" t="str">
        <f>IF(D108="","-",SUMIFS('📋 Registo Diário'!$Q$7:$Q$646,'📋 Registo Diário'!$D$7:$D$646,D108,'📋 Registo Diário'!$B$7:$B$646,"Semana 8"))</f>
        <v>-</v>
      </c>
      <c r="G108" s="53" t="str">
        <f t="shared" si="21"/>
        <v>-</v>
      </c>
      <c r="H108" s="54" t="str">
        <f t="shared" si="22"/>
        <v>-</v>
      </c>
      <c r="I108" s="54" t="str">
        <f t="shared" si="23"/>
        <v>-</v>
      </c>
    </row>
    <row r="109" spans="2:9" ht="21.75" customHeight="1" x14ac:dyDescent="0.2">
      <c r="B109" s="47">
        <v>4</v>
      </c>
      <c r="C109" s="58"/>
      <c r="D109" s="58"/>
      <c r="E109" s="52" t="str">
        <f>IF(C109="","-",SUMIFS('📋 Registo Diário'!$Q$7:$Q$646,'📋 Registo Diário'!$D$7:$D$646,C109,'📋 Registo Diário'!$B$7:$B$646,"Semana 8"))</f>
        <v>-</v>
      </c>
      <c r="F109" s="52" t="str">
        <f>IF(D109="","-",SUMIFS('📋 Registo Diário'!$Q$7:$Q$646,'📋 Registo Diário'!$D$7:$D$646,D109,'📋 Registo Diário'!$B$7:$B$646,"Semana 8"))</f>
        <v>-</v>
      </c>
      <c r="G109" s="53" t="str">
        <f t="shared" si="21"/>
        <v>-</v>
      </c>
      <c r="H109" s="54" t="str">
        <f t="shared" si="22"/>
        <v>-</v>
      </c>
      <c r="I109" s="54" t="str">
        <f t="shared" si="23"/>
        <v>-</v>
      </c>
    </row>
    <row r="110" spans="2:9" ht="21.75" customHeight="1" x14ac:dyDescent="0.2">
      <c r="B110" s="36">
        <v>5</v>
      </c>
      <c r="C110" s="58"/>
      <c r="D110" s="58"/>
      <c r="E110" s="52" t="str">
        <f>IF(C110="","-",SUMIFS('📋 Registo Diário'!$Q$7:$Q$646,'📋 Registo Diário'!$D$7:$D$646,C110,'📋 Registo Diário'!$B$7:$B$646,"Semana 8"))</f>
        <v>-</v>
      </c>
      <c r="F110" s="52" t="str">
        <f>IF(D110="","-",SUMIFS('📋 Registo Diário'!$Q$7:$Q$646,'📋 Registo Diário'!$D$7:$D$646,D110,'📋 Registo Diário'!$B$7:$B$646,"Semana 8"))</f>
        <v>-</v>
      </c>
      <c r="G110" s="53" t="str">
        <f t="shared" si="21"/>
        <v>-</v>
      </c>
      <c r="H110" s="54" t="str">
        <f t="shared" si="22"/>
        <v>-</v>
      </c>
      <c r="I110" s="54" t="str">
        <f t="shared" si="23"/>
        <v>-</v>
      </c>
    </row>
    <row r="111" spans="2:9" ht="21.75" customHeight="1" x14ac:dyDescent="0.2">
      <c r="B111" s="47">
        <v>6</v>
      </c>
      <c r="C111" s="58"/>
      <c r="D111" s="58"/>
      <c r="E111" s="52" t="str">
        <f>IF(C111="","-",SUMIFS('📋 Registo Diário'!$Q$7:$Q$646,'📋 Registo Diário'!$D$7:$D$646,C111,'📋 Registo Diário'!$B$7:$B$646,"Semana 8"))</f>
        <v>-</v>
      </c>
      <c r="F111" s="52" t="str">
        <f>IF(D111="","-",SUMIFS('📋 Registo Diário'!$Q$7:$Q$646,'📋 Registo Diário'!$D$7:$D$646,D111,'📋 Registo Diário'!$B$7:$B$646,"Semana 8"))</f>
        <v>-</v>
      </c>
      <c r="G111" s="53" t="str">
        <f t="shared" si="21"/>
        <v>-</v>
      </c>
      <c r="H111" s="54" t="str">
        <f t="shared" si="22"/>
        <v>-</v>
      </c>
      <c r="I111" s="54" t="str">
        <f t="shared" si="23"/>
        <v>-</v>
      </c>
    </row>
    <row r="112" spans="2:9" ht="21.75" customHeight="1" x14ac:dyDescent="0.2">
      <c r="B112" s="36">
        <v>7</v>
      </c>
      <c r="C112" s="58"/>
      <c r="D112" s="58"/>
      <c r="E112" s="52" t="str">
        <f>IF(C112="","-",SUMIFS('📋 Registo Diário'!$Q$7:$Q$646,'📋 Registo Diário'!$D$7:$D$646,C112,'📋 Registo Diário'!$B$7:$B$646,"Semana 8"))</f>
        <v>-</v>
      </c>
      <c r="F112" s="52" t="str">
        <f>IF(D112="","-",SUMIFS('📋 Registo Diário'!$Q$7:$Q$646,'📋 Registo Diário'!$D$7:$D$646,D112,'📋 Registo Diário'!$B$7:$B$646,"Semana 8"))</f>
        <v>-</v>
      </c>
      <c r="G112" s="53" t="str">
        <f t="shared" si="21"/>
        <v>-</v>
      </c>
      <c r="H112" s="54" t="str">
        <f t="shared" si="22"/>
        <v>-</v>
      </c>
      <c r="I112" s="54" t="str">
        <f t="shared" si="23"/>
        <v>-</v>
      </c>
    </row>
    <row r="113" spans="2:9" ht="21.75" customHeight="1" x14ac:dyDescent="0.2">
      <c r="B113" s="47">
        <v>8</v>
      </c>
      <c r="C113" s="58"/>
      <c r="D113" s="58"/>
      <c r="E113" s="52" t="str">
        <f>IF(C113="","-",SUMIFS('📋 Registo Diário'!$Q$7:$Q$646,'📋 Registo Diário'!$D$7:$D$646,C113,'📋 Registo Diário'!$B$7:$B$646,"Semana 8"))</f>
        <v>-</v>
      </c>
      <c r="F113" s="52" t="str">
        <f>IF(D113="","-",SUMIFS('📋 Registo Diário'!$Q$7:$Q$646,'📋 Registo Diário'!$D$7:$D$646,D113,'📋 Registo Diário'!$B$7:$B$646,"Semana 8"))</f>
        <v>-</v>
      </c>
      <c r="G113" s="53" t="str">
        <f t="shared" si="21"/>
        <v>-</v>
      </c>
      <c r="H113" s="54" t="str">
        <f t="shared" si="22"/>
        <v>-</v>
      </c>
      <c r="I113" s="54" t="str">
        <f t="shared" si="23"/>
        <v>-</v>
      </c>
    </row>
    <row r="114" spans="2:9" ht="21.75" customHeight="1" x14ac:dyDescent="0.2">
      <c r="B114" s="36">
        <v>9</v>
      </c>
      <c r="C114" s="58"/>
      <c r="D114" s="58"/>
      <c r="E114" s="52" t="str">
        <f>IF(C114="","-",SUMIFS('📋 Registo Diário'!$Q$7:$Q$646,'📋 Registo Diário'!$D$7:$D$646,C114,'📋 Registo Diário'!$B$7:$B$646,"Semana 8"))</f>
        <v>-</v>
      </c>
      <c r="F114" s="52" t="str">
        <f>IF(D114="","-",SUMIFS('📋 Registo Diário'!$Q$7:$Q$646,'📋 Registo Diário'!$D$7:$D$646,D114,'📋 Registo Diário'!$B$7:$B$646,"Semana 8"))</f>
        <v>-</v>
      </c>
      <c r="G114" s="53" t="str">
        <f t="shared" si="21"/>
        <v>-</v>
      </c>
      <c r="H114" s="54" t="str">
        <f t="shared" si="22"/>
        <v>-</v>
      </c>
      <c r="I114" s="54" t="str">
        <f t="shared" si="23"/>
        <v>-</v>
      </c>
    </row>
    <row r="115" spans="2:9" ht="21.75" customHeight="1" x14ac:dyDescent="0.2">
      <c r="B115" s="47">
        <v>10</v>
      </c>
      <c r="C115" s="58"/>
      <c r="D115" s="58"/>
      <c r="E115" s="52" t="str">
        <f>IF(C115="","-",SUMIFS('📋 Registo Diário'!$Q$7:$Q$646,'📋 Registo Diário'!$D$7:$D$646,C115,'📋 Registo Diário'!$B$7:$B$646,"Semana 8"))</f>
        <v>-</v>
      </c>
      <c r="F115" s="52" t="str">
        <f>IF(D115="","-",SUMIFS('📋 Registo Diário'!$Q$7:$Q$646,'📋 Registo Diário'!$D$7:$D$646,D115,'📋 Registo Diário'!$B$7:$B$646,"Semana 8"))</f>
        <v>-</v>
      </c>
      <c r="G115" s="53" t="str">
        <f t="shared" si="21"/>
        <v>-</v>
      </c>
      <c r="H115" s="54" t="str">
        <f t="shared" si="22"/>
        <v>-</v>
      </c>
      <c r="I115" s="54" t="str">
        <f t="shared" si="23"/>
        <v>-</v>
      </c>
    </row>
    <row r="116" spans="2:9" ht="21.75" customHeight="1" x14ac:dyDescent="0.2">
      <c r="B116" s="146" t="s">
        <v>196</v>
      </c>
      <c r="C116" s="132"/>
      <c r="D116" s="133"/>
      <c r="E116" s="147" t="s">
        <v>182</v>
      </c>
      <c r="F116" s="120"/>
      <c r="G116" s="57">
        <f>IF(G106="-",0,G106)+IF(G107="-",0,G107)+IF(G108="-",0,G108)+IF(G109="-",0,G109)+IF(G110="-",0,G110)+IF(G111="-",0,G111)+IF(G112="-",0,G112)+IF(G113="-",0,G113)+IF(G114="-",0,G114)+IF(G115="-",0,G115)</f>
        <v>0</v>
      </c>
    </row>
    <row r="117" spans="2:9" ht="7.5" customHeight="1" x14ac:dyDescent="0.2">
      <c r="B117" s="56"/>
      <c r="C117" s="56"/>
      <c r="D117" s="56"/>
      <c r="E117" s="56"/>
      <c r="F117" s="56"/>
      <c r="G117" s="56"/>
      <c r="H117" s="56"/>
      <c r="I117" s="56"/>
    </row>
    <row r="118" spans="2:9" ht="24.75" customHeight="1" x14ac:dyDescent="0.2">
      <c r="B118" s="140" t="s">
        <v>197</v>
      </c>
      <c r="C118" s="119"/>
      <c r="D118" s="119"/>
      <c r="E118" s="119"/>
      <c r="F118" s="119"/>
      <c r="G118" s="119"/>
      <c r="H118" s="119"/>
      <c r="I118" s="120"/>
    </row>
    <row r="119" spans="2:9" ht="15.75" customHeight="1" x14ac:dyDescent="0.2"/>
    <row r="120" spans="2:9" ht="15.75" customHeight="1" x14ac:dyDescent="0.2"/>
    <row r="121" spans="2:9" ht="15.75" customHeight="1" x14ac:dyDescent="0.2"/>
    <row r="122" spans="2:9" ht="15.75" customHeight="1" x14ac:dyDescent="0.2"/>
    <row r="123" spans="2:9" ht="15.75" customHeight="1" x14ac:dyDescent="0.2"/>
    <row r="124" spans="2:9" ht="15.75" customHeight="1" x14ac:dyDescent="0.2"/>
    <row r="125" spans="2:9" ht="15.75" customHeight="1" x14ac:dyDescent="0.2"/>
    <row r="126" spans="2:9" ht="15.75" customHeight="1" x14ac:dyDescent="0.2"/>
    <row r="127" spans="2:9" ht="15.75" customHeight="1" x14ac:dyDescent="0.2"/>
    <row r="128" spans="2:9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27">
    <mergeCell ref="B2:I2"/>
    <mergeCell ref="B4:I4"/>
    <mergeCell ref="B6:I6"/>
    <mergeCell ref="B18:D18"/>
    <mergeCell ref="E18:F18"/>
    <mergeCell ref="B20:I20"/>
    <mergeCell ref="E32:F32"/>
    <mergeCell ref="B32:D32"/>
    <mergeCell ref="B34:I34"/>
    <mergeCell ref="B46:D46"/>
    <mergeCell ref="E46:F46"/>
    <mergeCell ref="B48:I48"/>
    <mergeCell ref="E60:F60"/>
    <mergeCell ref="B62:I62"/>
    <mergeCell ref="B102:D102"/>
    <mergeCell ref="E102:F102"/>
    <mergeCell ref="B104:I104"/>
    <mergeCell ref="B116:D116"/>
    <mergeCell ref="E116:F116"/>
    <mergeCell ref="B118:I118"/>
    <mergeCell ref="B60:D60"/>
    <mergeCell ref="B74:D74"/>
    <mergeCell ref="E74:F74"/>
    <mergeCell ref="B76:I76"/>
    <mergeCell ref="B88:D88"/>
    <mergeCell ref="E88:F88"/>
    <mergeCell ref="B90:I90"/>
  </mergeCells>
  <conditionalFormatting sqref="C8:D17">
    <cfRule type="expression" dxfId="8" priority="1">
      <formula>AND($C8&lt;&gt;"",$C8=$D8)</formula>
    </cfRule>
  </conditionalFormatting>
  <conditionalFormatting sqref="C22:D31">
    <cfRule type="expression" dxfId="7" priority="2">
      <formula>AND($C22&lt;&gt;"",$C22=$D22)</formula>
    </cfRule>
  </conditionalFormatting>
  <conditionalFormatting sqref="C36:D45">
    <cfRule type="expression" dxfId="6" priority="3">
      <formula>AND($C36&lt;&gt;"",$C36=$D36)</formula>
    </cfRule>
  </conditionalFormatting>
  <conditionalFormatting sqref="C50:D59">
    <cfRule type="expression" dxfId="5" priority="4">
      <formula>AND($C50&lt;&gt;"",$C50=$D50)</formula>
    </cfRule>
  </conditionalFormatting>
  <conditionalFormatting sqref="C64:D73">
    <cfRule type="expression" dxfId="4" priority="5">
      <formula>AND($C64&lt;&gt;"",$C64=$D64)</formula>
    </cfRule>
  </conditionalFormatting>
  <conditionalFormatting sqref="C78:D87">
    <cfRule type="expression" dxfId="3" priority="6">
      <formula>AND($C78&lt;&gt;"",$C78=$D78)</formula>
    </cfRule>
  </conditionalFormatting>
  <conditionalFormatting sqref="C92:D101">
    <cfRule type="expression" dxfId="2" priority="7">
      <formula>AND($C92&lt;&gt;"",$C92=$D92)</formula>
    </cfRule>
  </conditionalFormatting>
  <conditionalFormatting sqref="C106:D115">
    <cfRule type="expression" dxfId="1" priority="8">
      <formula>AND($C106&lt;&gt;"",$C106=$D106)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24" customWidth="1"/>
    <col min="3" max="12" width="13" customWidth="1"/>
    <col min="13" max="13" width="16" customWidth="1"/>
    <col min="14" max="14" width="3" customWidth="1"/>
    <col min="15" max="15" width="18" customWidth="1"/>
    <col min="16" max="16" width="22" customWidth="1"/>
    <col min="17" max="26" width="8.6640625" customWidth="1"/>
  </cols>
  <sheetData>
    <row r="1" spans="1:16" ht="9.75" customHeight="1" x14ac:dyDescent="0.2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45" customHeight="1" x14ac:dyDescent="0.2">
      <c r="A2" s="59"/>
      <c r="B2" s="143" t="s">
        <v>198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  <c r="N2" s="59"/>
      <c r="O2" s="59"/>
      <c r="P2" s="59"/>
    </row>
    <row r="3" spans="1:16" ht="9.75" customHeight="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 ht="30" customHeight="1" x14ac:dyDescent="0.2">
      <c r="A4" s="59"/>
      <c r="B4" s="121" t="s">
        <v>199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59"/>
      <c r="O4" s="59"/>
      <c r="P4" s="59"/>
    </row>
    <row r="5" spans="1:16" ht="34.5" customHeight="1" x14ac:dyDescent="0.2">
      <c r="A5" s="59"/>
      <c r="B5" s="9" t="s">
        <v>4</v>
      </c>
      <c r="C5" s="9" t="s">
        <v>200</v>
      </c>
      <c r="D5" s="2" t="s">
        <v>201</v>
      </c>
      <c r="E5" s="9" t="s">
        <v>202</v>
      </c>
      <c r="F5" s="2" t="s">
        <v>203</v>
      </c>
      <c r="G5" s="9" t="s">
        <v>204</v>
      </c>
      <c r="H5" s="2" t="s">
        <v>205</v>
      </c>
      <c r="I5" s="9" t="s">
        <v>206</v>
      </c>
      <c r="J5" s="2" t="s">
        <v>207</v>
      </c>
      <c r="K5" s="1" t="s">
        <v>208</v>
      </c>
      <c r="L5" s="2" t="s">
        <v>209</v>
      </c>
      <c r="M5" s="60" t="s">
        <v>7</v>
      </c>
      <c r="N5" s="59"/>
      <c r="O5" s="61"/>
      <c r="P5" s="62"/>
    </row>
    <row r="6" spans="1:16" ht="21.75" customHeight="1" x14ac:dyDescent="0.2">
      <c r="A6" s="59"/>
      <c r="B6" s="13" t="str">
        <f>'⚙️ Configuração'!C30</f>
        <v>Carla Cantante</v>
      </c>
      <c r="C6" s="63">
        <f>IF('⚙️ Configuração'!C30='🔄 Rotação Duplas'!C8,IF('🔄 Rotação Duplas'!H8="-",0,'🔄 Rotação Duplas'!H8),IF('⚙️ Configuração'!C30='🔄 Rotação Duplas'!D8,IF('🔄 Rotação Duplas'!I8="-",0,'🔄 Rotação Duplas'!I8),0))+IF('⚙️ Configuração'!C30='🔄 Rotação Duplas'!C9,IF('🔄 Rotação Duplas'!H9="-",0,'🔄 Rotação Duplas'!H9),IF('⚙️ Configuração'!C30='🔄 Rotação Duplas'!D9,IF('🔄 Rotação Duplas'!I9="-",0,'🔄 Rotação Duplas'!I9),0))+IF('⚙️ Configuração'!C30='🔄 Rotação Duplas'!C10,IF('🔄 Rotação Duplas'!H10="-",0,'🔄 Rotação Duplas'!H10),IF('⚙️ Configuração'!C30='🔄 Rotação Duplas'!D10,IF('🔄 Rotação Duplas'!I10="-",0,'🔄 Rotação Duplas'!I10),0))+IF('⚙️ Configuração'!C30='🔄 Rotação Duplas'!C11,IF('🔄 Rotação Duplas'!H11="-",0,'🔄 Rotação Duplas'!H11),IF('⚙️ Configuração'!C30='🔄 Rotação Duplas'!D11,IF('🔄 Rotação Duplas'!I11="-",0,'🔄 Rotação Duplas'!I11),0))+IF('⚙️ Configuração'!C30='🔄 Rotação Duplas'!C12,IF('🔄 Rotação Duplas'!H12="-",0,'🔄 Rotação Duplas'!H12),IF('⚙️ Configuração'!C30='🔄 Rotação Duplas'!D12,IF('🔄 Rotação Duplas'!I12="-",0,'🔄 Rotação Duplas'!I12),0))+IF('⚙️ Configuração'!C30='🔄 Rotação Duplas'!C13,IF('🔄 Rotação Duplas'!H13="-",0,'🔄 Rotação Duplas'!H13),IF('⚙️ Configuração'!C30='🔄 Rotação Duplas'!D13,IF('🔄 Rotação Duplas'!I13="-",0,'🔄 Rotação Duplas'!I13),0))+IF('⚙️ Configuração'!C30='🔄 Rotação Duplas'!C14,IF('🔄 Rotação Duplas'!H14="-",0,'🔄 Rotação Duplas'!H14),IF('⚙️ Configuração'!C30='🔄 Rotação Duplas'!D14,IF('🔄 Rotação Duplas'!I14="-",0,'🔄 Rotação Duplas'!I14),0))+IF('⚙️ Configuração'!C30='🔄 Rotação Duplas'!C15,IF('🔄 Rotação Duplas'!H15="-",0,'🔄 Rotação Duplas'!H15),IF('⚙️ Configuração'!C30='🔄 Rotação Duplas'!D15,IF('🔄 Rotação Duplas'!I15="-",0,'🔄 Rotação Duplas'!I15),0))+IF('⚙️ Configuração'!C30='🔄 Rotação Duplas'!C16,IF('🔄 Rotação Duplas'!H16="-",0,'🔄 Rotação Duplas'!H16),IF('⚙️ Configuração'!C30='🔄 Rotação Duplas'!D16,IF('🔄 Rotação Duplas'!I16="-",0,'🔄 Rotação Duplas'!I16),0))+IF('⚙️ Configuração'!C30='🔄 Rotação Duplas'!C17,IF('🔄 Rotação Duplas'!H17="-",0,'🔄 Rotação Duplas'!H17),IF('⚙️ Configuração'!C30='🔄 Rotação Duplas'!D17,IF('🔄 Rotação Duplas'!I17="-",0,'🔄 Rotação Duplas'!I17),0))</f>
        <v>43</v>
      </c>
      <c r="D6" s="63">
        <f>IF('⚙️ Configuração'!C30='🔄 Rotação Duplas'!C22,IF('🔄 Rotação Duplas'!H22="-",0,'🔄 Rotação Duplas'!H22),IF('⚙️ Configuração'!C30='🔄 Rotação Duplas'!D22,IF('🔄 Rotação Duplas'!I22="-",0,'🔄 Rotação Duplas'!I22),0))+IF('⚙️ Configuração'!C30='🔄 Rotação Duplas'!C23,IF('🔄 Rotação Duplas'!H23="-",0,'🔄 Rotação Duplas'!H23),IF('⚙️ Configuração'!C30='🔄 Rotação Duplas'!D23,IF('🔄 Rotação Duplas'!I23="-",0,'🔄 Rotação Duplas'!I23),0))+IF('⚙️ Configuração'!C30='🔄 Rotação Duplas'!C24,IF('🔄 Rotação Duplas'!H24="-",0,'🔄 Rotação Duplas'!H24),IF('⚙️ Configuração'!C30='🔄 Rotação Duplas'!D24,IF('🔄 Rotação Duplas'!I24="-",0,'🔄 Rotação Duplas'!I24),0))+IF('⚙️ Configuração'!C30='🔄 Rotação Duplas'!C25,IF('🔄 Rotação Duplas'!H25="-",0,'🔄 Rotação Duplas'!H25),IF('⚙️ Configuração'!C30='🔄 Rotação Duplas'!D25,IF('🔄 Rotação Duplas'!I25="-",0,'🔄 Rotação Duplas'!I25),0))+IF('⚙️ Configuração'!C30='🔄 Rotação Duplas'!C26,IF('🔄 Rotação Duplas'!H26="-",0,'🔄 Rotação Duplas'!H26),IF('⚙️ Configuração'!C30='🔄 Rotação Duplas'!D26,IF('🔄 Rotação Duplas'!I26="-",0,'🔄 Rotação Duplas'!I26),0))+IF('⚙️ Configuração'!C30='🔄 Rotação Duplas'!C27,IF('🔄 Rotação Duplas'!H27="-",0,'🔄 Rotação Duplas'!H27),IF('⚙️ Configuração'!C30='🔄 Rotação Duplas'!D27,IF('🔄 Rotação Duplas'!I27="-",0,'🔄 Rotação Duplas'!I27),0))+IF('⚙️ Configuração'!C30='🔄 Rotação Duplas'!C28,IF('🔄 Rotação Duplas'!H28="-",0,'🔄 Rotação Duplas'!H28),IF('⚙️ Configuração'!C30='🔄 Rotação Duplas'!D28,IF('🔄 Rotação Duplas'!I28="-",0,'🔄 Rotação Duplas'!I28),0))+IF('⚙️ Configuração'!C30='🔄 Rotação Duplas'!C29,IF('🔄 Rotação Duplas'!H29="-",0,'🔄 Rotação Duplas'!H29),IF('⚙️ Configuração'!C30='🔄 Rotação Duplas'!D29,IF('🔄 Rotação Duplas'!I29="-",0,'🔄 Rotação Duplas'!I29),0))+IF('⚙️ Configuração'!C30='🔄 Rotação Duplas'!C30,IF('🔄 Rotação Duplas'!H30="-",0,'🔄 Rotação Duplas'!H30),IF('⚙️ Configuração'!C30='🔄 Rotação Duplas'!D30,IF('🔄 Rotação Duplas'!I30="-",0,'🔄 Rotação Duplas'!I30),0))+IF('⚙️ Configuração'!C30='🔄 Rotação Duplas'!C31,IF('🔄 Rotação Duplas'!H31="-",0,'🔄 Rotação Duplas'!H31),IF('⚙️ Configuração'!C30='🔄 Rotação Duplas'!D31,IF('🔄 Rotação Duplas'!I31="-",0,'🔄 Rotação Duplas'!I31),0))</f>
        <v>0</v>
      </c>
      <c r="E6" s="63">
        <f>IF('⚙️ Configuração'!C30='🔄 Rotação Duplas'!C36,IF('🔄 Rotação Duplas'!H36="-",0,'🔄 Rotação Duplas'!H36),IF('⚙️ Configuração'!C30='🔄 Rotação Duplas'!D36,IF('🔄 Rotação Duplas'!I36="-",0,'🔄 Rotação Duplas'!I36),0))+IF('⚙️ Configuração'!C30='🔄 Rotação Duplas'!C37,IF('🔄 Rotação Duplas'!H37="-",0,'🔄 Rotação Duplas'!H37),IF('⚙️ Configuração'!C30='🔄 Rotação Duplas'!D37,IF('🔄 Rotação Duplas'!I37="-",0,'🔄 Rotação Duplas'!I37),0))+IF('⚙️ Configuração'!C30='🔄 Rotação Duplas'!C38,IF('🔄 Rotação Duplas'!H38="-",0,'🔄 Rotação Duplas'!H38),IF('⚙️ Configuração'!C30='🔄 Rotação Duplas'!D38,IF('🔄 Rotação Duplas'!I38="-",0,'🔄 Rotação Duplas'!I38),0))+IF('⚙️ Configuração'!C30='🔄 Rotação Duplas'!C39,IF('🔄 Rotação Duplas'!H39="-",0,'🔄 Rotação Duplas'!H39),IF('⚙️ Configuração'!C30='🔄 Rotação Duplas'!D39,IF('🔄 Rotação Duplas'!I39="-",0,'🔄 Rotação Duplas'!I39),0))+IF('⚙️ Configuração'!C30='🔄 Rotação Duplas'!C40,IF('🔄 Rotação Duplas'!H40="-",0,'🔄 Rotação Duplas'!H40),IF('⚙️ Configuração'!C30='🔄 Rotação Duplas'!D40,IF('🔄 Rotação Duplas'!I40="-",0,'🔄 Rotação Duplas'!I40),0))+IF('⚙️ Configuração'!C30='🔄 Rotação Duplas'!C41,IF('🔄 Rotação Duplas'!H41="-",0,'🔄 Rotação Duplas'!H41),IF('⚙️ Configuração'!C30='🔄 Rotação Duplas'!D41,IF('🔄 Rotação Duplas'!I41="-",0,'🔄 Rotação Duplas'!I41),0))+IF('⚙️ Configuração'!C30='🔄 Rotação Duplas'!C42,IF('🔄 Rotação Duplas'!H42="-",0,'🔄 Rotação Duplas'!H42),IF('⚙️ Configuração'!C30='🔄 Rotação Duplas'!D42,IF('🔄 Rotação Duplas'!I42="-",0,'🔄 Rotação Duplas'!I42),0))+IF('⚙️ Configuração'!C30='🔄 Rotação Duplas'!C43,IF('🔄 Rotação Duplas'!H43="-",0,'🔄 Rotação Duplas'!H43),IF('⚙️ Configuração'!C30='🔄 Rotação Duplas'!D43,IF('🔄 Rotação Duplas'!I43="-",0,'🔄 Rotação Duplas'!I43),0))+IF('⚙️ Configuração'!C30='🔄 Rotação Duplas'!C44,IF('🔄 Rotação Duplas'!H44="-",0,'🔄 Rotação Duplas'!H44),IF('⚙️ Configuração'!C30='🔄 Rotação Duplas'!D44,IF('🔄 Rotação Duplas'!I44="-",0,'🔄 Rotação Duplas'!I44),0))+IF('⚙️ Configuração'!C30='🔄 Rotação Duplas'!C45,IF('🔄 Rotação Duplas'!H45="-",0,'🔄 Rotação Duplas'!H45),IF('⚙️ Configuração'!C30='🔄 Rotação Duplas'!D45,IF('🔄 Rotação Duplas'!I45="-",0,'🔄 Rotação Duplas'!I45),0))</f>
        <v>0</v>
      </c>
      <c r="F6" s="63">
        <f>IF('⚙️ Configuração'!C30='🔄 Rotação Duplas'!C50,IF('🔄 Rotação Duplas'!H50="-",0,'🔄 Rotação Duplas'!H50),IF('⚙️ Configuração'!C30='🔄 Rotação Duplas'!D50,IF('🔄 Rotação Duplas'!I50="-",0,'🔄 Rotação Duplas'!I50),0))+IF('⚙️ Configuração'!C30='🔄 Rotação Duplas'!C51,IF('🔄 Rotação Duplas'!H51="-",0,'🔄 Rotação Duplas'!H51),IF('⚙️ Configuração'!C30='🔄 Rotação Duplas'!D51,IF('🔄 Rotação Duplas'!I51="-",0,'🔄 Rotação Duplas'!I51),0))+IF('⚙️ Configuração'!C30='🔄 Rotação Duplas'!C52,IF('🔄 Rotação Duplas'!H52="-",0,'🔄 Rotação Duplas'!H52),IF('⚙️ Configuração'!C30='🔄 Rotação Duplas'!D52,IF('🔄 Rotação Duplas'!I52="-",0,'🔄 Rotação Duplas'!I52),0))+IF('⚙️ Configuração'!C30='🔄 Rotação Duplas'!C53,IF('🔄 Rotação Duplas'!H53="-",0,'🔄 Rotação Duplas'!H53),IF('⚙️ Configuração'!C30='🔄 Rotação Duplas'!D53,IF('🔄 Rotação Duplas'!I53="-",0,'🔄 Rotação Duplas'!I53),0))+IF('⚙️ Configuração'!C30='🔄 Rotação Duplas'!C54,IF('🔄 Rotação Duplas'!H54="-",0,'🔄 Rotação Duplas'!H54),IF('⚙️ Configuração'!C30='🔄 Rotação Duplas'!D54,IF('🔄 Rotação Duplas'!I54="-",0,'🔄 Rotação Duplas'!I54),0))+IF('⚙️ Configuração'!C30='🔄 Rotação Duplas'!C55,IF('🔄 Rotação Duplas'!H55="-",0,'🔄 Rotação Duplas'!H55),IF('⚙️ Configuração'!C30='🔄 Rotação Duplas'!D55,IF('🔄 Rotação Duplas'!I55="-",0,'🔄 Rotação Duplas'!I55),0))+IF('⚙️ Configuração'!C30='🔄 Rotação Duplas'!C56,IF('🔄 Rotação Duplas'!H56="-",0,'🔄 Rotação Duplas'!H56),IF('⚙️ Configuração'!C30='🔄 Rotação Duplas'!D56,IF('🔄 Rotação Duplas'!I56="-",0,'🔄 Rotação Duplas'!I56),0))+IF('⚙️ Configuração'!C30='🔄 Rotação Duplas'!C57,IF('🔄 Rotação Duplas'!H57="-",0,'🔄 Rotação Duplas'!H57),IF('⚙️ Configuração'!C30='🔄 Rotação Duplas'!D57,IF('🔄 Rotação Duplas'!I57="-",0,'🔄 Rotação Duplas'!I57),0))+IF('⚙️ Configuração'!C30='🔄 Rotação Duplas'!C58,IF('🔄 Rotação Duplas'!H58="-",0,'🔄 Rotação Duplas'!H58),IF('⚙️ Configuração'!C30='🔄 Rotação Duplas'!D58,IF('🔄 Rotação Duplas'!I58="-",0,'🔄 Rotação Duplas'!I58),0))+IF('⚙️ Configuração'!C30='🔄 Rotação Duplas'!C59,IF('🔄 Rotação Duplas'!H59="-",0,'🔄 Rotação Duplas'!H59),IF('⚙️ Configuração'!C30='🔄 Rotação Duplas'!D59,IF('🔄 Rotação Duplas'!I59="-",0,'🔄 Rotação Duplas'!I59),0))</f>
        <v>0</v>
      </c>
      <c r="G6" s="63">
        <f>IF('⚙️ Configuração'!C30='🔄 Rotação Duplas'!C64,IF('🔄 Rotação Duplas'!H64="-",0,'🔄 Rotação Duplas'!H64),IF('⚙️ Configuração'!C30='🔄 Rotação Duplas'!D64,IF('🔄 Rotação Duplas'!I64="-",0,'🔄 Rotação Duplas'!I64),0))+IF('⚙️ Configuração'!C30='🔄 Rotação Duplas'!C65,IF('🔄 Rotação Duplas'!H65="-",0,'🔄 Rotação Duplas'!H65),IF('⚙️ Configuração'!C30='🔄 Rotação Duplas'!D65,IF('🔄 Rotação Duplas'!I65="-",0,'🔄 Rotação Duplas'!I65),0))+IF('⚙️ Configuração'!C30='🔄 Rotação Duplas'!C66,IF('🔄 Rotação Duplas'!H66="-",0,'🔄 Rotação Duplas'!H66),IF('⚙️ Configuração'!C30='🔄 Rotação Duplas'!D66,IF('🔄 Rotação Duplas'!I66="-",0,'🔄 Rotação Duplas'!I66),0))+IF('⚙️ Configuração'!C30='🔄 Rotação Duplas'!C67,IF('🔄 Rotação Duplas'!H67="-",0,'🔄 Rotação Duplas'!H67),IF('⚙️ Configuração'!C30='🔄 Rotação Duplas'!D67,IF('🔄 Rotação Duplas'!I67="-",0,'🔄 Rotação Duplas'!I67),0))+IF('⚙️ Configuração'!C30='🔄 Rotação Duplas'!C68,IF('🔄 Rotação Duplas'!H68="-",0,'🔄 Rotação Duplas'!H68),IF('⚙️ Configuração'!C30='🔄 Rotação Duplas'!D68,IF('🔄 Rotação Duplas'!I68="-",0,'🔄 Rotação Duplas'!I68),0))+IF('⚙️ Configuração'!C30='🔄 Rotação Duplas'!C69,IF('🔄 Rotação Duplas'!H69="-",0,'🔄 Rotação Duplas'!H69),IF('⚙️ Configuração'!C30='🔄 Rotação Duplas'!D69,IF('🔄 Rotação Duplas'!I69="-",0,'🔄 Rotação Duplas'!I69),0))+IF('⚙️ Configuração'!C30='🔄 Rotação Duplas'!C70,IF('🔄 Rotação Duplas'!H70="-",0,'🔄 Rotação Duplas'!H70),IF('⚙️ Configuração'!C30='🔄 Rotação Duplas'!D70,IF('🔄 Rotação Duplas'!I70="-",0,'🔄 Rotação Duplas'!I70),0))+IF('⚙️ Configuração'!C30='🔄 Rotação Duplas'!C71,IF('🔄 Rotação Duplas'!H71="-",0,'🔄 Rotação Duplas'!H71),IF('⚙️ Configuração'!C30='🔄 Rotação Duplas'!D71,IF('🔄 Rotação Duplas'!I71="-",0,'🔄 Rotação Duplas'!I71),0))+IF('⚙️ Configuração'!C30='🔄 Rotação Duplas'!C72,IF('🔄 Rotação Duplas'!H72="-",0,'🔄 Rotação Duplas'!H72),IF('⚙️ Configuração'!C30='🔄 Rotação Duplas'!D72,IF('🔄 Rotação Duplas'!I72="-",0,'🔄 Rotação Duplas'!I72),0))+IF('⚙️ Configuração'!C30='🔄 Rotação Duplas'!C73,IF('🔄 Rotação Duplas'!H73="-",0,'🔄 Rotação Duplas'!H73),IF('⚙️ Configuração'!C30='🔄 Rotação Duplas'!D73,IF('🔄 Rotação Duplas'!I73="-",0,'🔄 Rotação Duplas'!I73),0))</f>
        <v>0</v>
      </c>
      <c r="H6" s="63">
        <f>IF('⚙️ Configuração'!C30='🔄 Rotação Duplas'!C78,IF('🔄 Rotação Duplas'!H78="-",0,'🔄 Rotação Duplas'!H78),IF('⚙️ Configuração'!C30='🔄 Rotação Duplas'!D78,IF('🔄 Rotação Duplas'!I78="-",0,'🔄 Rotação Duplas'!I78),0))+IF('⚙️ Configuração'!C30='🔄 Rotação Duplas'!C79,IF('🔄 Rotação Duplas'!H79="-",0,'🔄 Rotação Duplas'!H79),IF('⚙️ Configuração'!C30='🔄 Rotação Duplas'!D79,IF('🔄 Rotação Duplas'!I79="-",0,'🔄 Rotação Duplas'!I79),0))+IF('⚙️ Configuração'!C30='🔄 Rotação Duplas'!C80,IF('🔄 Rotação Duplas'!H80="-",0,'🔄 Rotação Duplas'!H80),IF('⚙️ Configuração'!C30='🔄 Rotação Duplas'!D80,IF('🔄 Rotação Duplas'!I80="-",0,'🔄 Rotação Duplas'!I80),0))+IF('⚙️ Configuração'!C30='🔄 Rotação Duplas'!C81,IF('🔄 Rotação Duplas'!H81="-",0,'🔄 Rotação Duplas'!H81),IF('⚙️ Configuração'!C30='🔄 Rotação Duplas'!D81,IF('🔄 Rotação Duplas'!I81="-",0,'🔄 Rotação Duplas'!I81),0))+IF('⚙️ Configuração'!C30='🔄 Rotação Duplas'!C82,IF('🔄 Rotação Duplas'!H82="-",0,'🔄 Rotação Duplas'!H82),IF('⚙️ Configuração'!C30='🔄 Rotação Duplas'!D82,IF('🔄 Rotação Duplas'!I82="-",0,'🔄 Rotação Duplas'!I82),0))+IF('⚙️ Configuração'!C30='🔄 Rotação Duplas'!C83,IF('🔄 Rotação Duplas'!H83="-",0,'🔄 Rotação Duplas'!H83),IF('⚙️ Configuração'!C30='🔄 Rotação Duplas'!D83,IF('🔄 Rotação Duplas'!I83="-",0,'🔄 Rotação Duplas'!I83),0))+IF('⚙️ Configuração'!C30='🔄 Rotação Duplas'!C84,IF('🔄 Rotação Duplas'!H84="-",0,'🔄 Rotação Duplas'!H84),IF('⚙️ Configuração'!C30='🔄 Rotação Duplas'!D84,IF('🔄 Rotação Duplas'!I84="-",0,'🔄 Rotação Duplas'!I84),0))+IF('⚙️ Configuração'!C30='🔄 Rotação Duplas'!C85,IF('🔄 Rotação Duplas'!H85="-",0,'🔄 Rotação Duplas'!H85),IF('⚙️ Configuração'!C30='🔄 Rotação Duplas'!D85,IF('🔄 Rotação Duplas'!I85="-",0,'🔄 Rotação Duplas'!I85),0))+IF('⚙️ Configuração'!C30='🔄 Rotação Duplas'!C86,IF('🔄 Rotação Duplas'!H86="-",0,'🔄 Rotação Duplas'!H86),IF('⚙️ Configuração'!C30='🔄 Rotação Duplas'!D86,IF('🔄 Rotação Duplas'!I86="-",0,'🔄 Rotação Duplas'!I86),0))+IF('⚙️ Configuração'!C30='🔄 Rotação Duplas'!C87,IF('🔄 Rotação Duplas'!H87="-",0,'🔄 Rotação Duplas'!H87),IF('⚙️ Configuração'!C30='🔄 Rotação Duplas'!D87,IF('🔄 Rotação Duplas'!I87="-",0,'🔄 Rotação Duplas'!I87),0))</f>
        <v>0</v>
      </c>
      <c r="I6" s="63">
        <f>IF('⚙️ Configuração'!C30='🔄 Rotação Duplas'!C92,IF('🔄 Rotação Duplas'!H92="-",0,'🔄 Rotação Duplas'!H92),IF('⚙️ Configuração'!C30='🔄 Rotação Duplas'!D92,IF('🔄 Rotação Duplas'!I92="-",0,'🔄 Rotação Duplas'!I92),0))+IF('⚙️ Configuração'!C30='🔄 Rotação Duplas'!C93,IF('🔄 Rotação Duplas'!H93="-",0,'🔄 Rotação Duplas'!H93),IF('⚙️ Configuração'!C30='🔄 Rotação Duplas'!D93,IF('🔄 Rotação Duplas'!I93="-",0,'🔄 Rotação Duplas'!I93),0))+IF('⚙️ Configuração'!C30='🔄 Rotação Duplas'!C94,IF('🔄 Rotação Duplas'!H94="-",0,'🔄 Rotação Duplas'!H94),IF('⚙️ Configuração'!C30='🔄 Rotação Duplas'!D94,IF('🔄 Rotação Duplas'!I94="-",0,'🔄 Rotação Duplas'!I94),0))+IF('⚙️ Configuração'!C30='🔄 Rotação Duplas'!C95,IF('🔄 Rotação Duplas'!H95="-",0,'🔄 Rotação Duplas'!H95),IF('⚙️ Configuração'!C30='🔄 Rotação Duplas'!D95,IF('🔄 Rotação Duplas'!I95="-",0,'🔄 Rotação Duplas'!I95),0))+IF('⚙️ Configuração'!C30='🔄 Rotação Duplas'!C96,IF('🔄 Rotação Duplas'!H96="-",0,'🔄 Rotação Duplas'!H96),IF('⚙️ Configuração'!C30='🔄 Rotação Duplas'!D96,IF('🔄 Rotação Duplas'!I96="-",0,'🔄 Rotação Duplas'!I96),0))+IF('⚙️ Configuração'!C30='🔄 Rotação Duplas'!C97,IF('🔄 Rotação Duplas'!H97="-",0,'🔄 Rotação Duplas'!H97),IF('⚙️ Configuração'!C30='🔄 Rotação Duplas'!D97,IF('🔄 Rotação Duplas'!I97="-",0,'🔄 Rotação Duplas'!I97),0))+IF('⚙️ Configuração'!C30='🔄 Rotação Duplas'!C98,IF('🔄 Rotação Duplas'!H98="-",0,'🔄 Rotação Duplas'!H98),IF('⚙️ Configuração'!C30='🔄 Rotação Duplas'!D98,IF('🔄 Rotação Duplas'!I98="-",0,'🔄 Rotação Duplas'!I98),0))+IF('⚙️ Configuração'!C30='🔄 Rotação Duplas'!C99,IF('🔄 Rotação Duplas'!H99="-",0,'🔄 Rotação Duplas'!H99),IF('⚙️ Configuração'!C30='🔄 Rotação Duplas'!D99,IF('🔄 Rotação Duplas'!I99="-",0,'🔄 Rotação Duplas'!I99),0))+IF('⚙️ Configuração'!C30='🔄 Rotação Duplas'!C100,IF('🔄 Rotação Duplas'!H100="-",0,'🔄 Rotação Duplas'!H100),IF('⚙️ Configuração'!C30='🔄 Rotação Duplas'!D100,IF('🔄 Rotação Duplas'!I100="-",0,'🔄 Rotação Duplas'!I100),0))+IF('⚙️ Configuração'!C30='🔄 Rotação Duplas'!C101,IF('🔄 Rotação Duplas'!H101="-",0,'🔄 Rotação Duplas'!H101),IF('⚙️ Configuração'!C30='🔄 Rotação Duplas'!D101,IF('🔄 Rotação Duplas'!I101="-",0,'🔄 Rotação Duplas'!I101),0))</f>
        <v>0</v>
      </c>
      <c r="J6" s="63">
        <f>IF('⚙️ Configuração'!C30='🔄 Rotação Duplas'!C106,IF('🔄 Rotação Duplas'!H106="-",0,'🔄 Rotação Duplas'!H106),IF('⚙️ Configuração'!C30='🔄 Rotação Duplas'!D106,IF('🔄 Rotação Duplas'!I106="-",0,'🔄 Rotação Duplas'!I106),0))+IF('⚙️ Configuração'!C30='🔄 Rotação Duplas'!C107,IF('🔄 Rotação Duplas'!H107="-",0,'🔄 Rotação Duplas'!H107),IF('⚙️ Configuração'!C30='🔄 Rotação Duplas'!D107,IF('🔄 Rotação Duplas'!I107="-",0,'🔄 Rotação Duplas'!I107),0))+IF('⚙️ Configuração'!C30='🔄 Rotação Duplas'!C108,IF('🔄 Rotação Duplas'!H108="-",0,'🔄 Rotação Duplas'!H108),IF('⚙️ Configuração'!C30='🔄 Rotação Duplas'!D108,IF('🔄 Rotação Duplas'!I108="-",0,'🔄 Rotação Duplas'!I108),0))+IF('⚙️ Configuração'!C30='🔄 Rotação Duplas'!C109,IF('🔄 Rotação Duplas'!H109="-",0,'🔄 Rotação Duplas'!H109),IF('⚙️ Configuração'!C30='🔄 Rotação Duplas'!D109,IF('🔄 Rotação Duplas'!I109="-",0,'🔄 Rotação Duplas'!I109),0))+IF('⚙️ Configuração'!C30='🔄 Rotação Duplas'!C110,IF('🔄 Rotação Duplas'!H110="-",0,'🔄 Rotação Duplas'!H110),IF('⚙️ Configuração'!C30='🔄 Rotação Duplas'!D110,IF('🔄 Rotação Duplas'!I110="-",0,'🔄 Rotação Duplas'!I110),0))+IF('⚙️ Configuração'!C30='🔄 Rotação Duplas'!C111,IF('🔄 Rotação Duplas'!H111="-",0,'🔄 Rotação Duplas'!H111),IF('⚙️ Configuração'!C30='🔄 Rotação Duplas'!D111,IF('🔄 Rotação Duplas'!I111="-",0,'🔄 Rotação Duplas'!I111),0))+IF('⚙️ Configuração'!C30='🔄 Rotação Duplas'!C112,IF('🔄 Rotação Duplas'!H112="-",0,'🔄 Rotação Duplas'!H112),IF('⚙️ Configuração'!C30='🔄 Rotação Duplas'!D112,IF('🔄 Rotação Duplas'!I112="-",0,'🔄 Rotação Duplas'!I112),0))+IF('⚙️ Configuração'!C30='🔄 Rotação Duplas'!C113,IF('🔄 Rotação Duplas'!H113="-",0,'🔄 Rotação Duplas'!H113),IF('⚙️ Configuração'!C30='🔄 Rotação Duplas'!D113,IF('🔄 Rotação Duplas'!I113="-",0,'🔄 Rotação Duplas'!I113),0))+IF('⚙️ Configuração'!C30='🔄 Rotação Duplas'!C114,IF('🔄 Rotação Duplas'!H114="-",0,'🔄 Rotação Duplas'!H114),IF('⚙️ Configuração'!C30='🔄 Rotação Duplas'!D114,IF('🔄 Rotação Duplas'!I114="-",0,'🔄 Rotação Duplas'!I114),0))+IF('⚙️ Configuração'!C30='🔄 Rotação Duplas'!C115,IF('🔄 Rotação Duplas'!H115="-",0,'🔄 Rotação Duplas'!H115),IF('⚙️ Configuração'!C30='🔄 Rotação Duplas'!D115,IF('🔄 Rotação Duplas'!I115="-",0,'🔄 Rotação Duplas'!I115),0))</f>
        <v>0</v>
      </c>
      <c r="K6" s="64">
        <f t="shared" ref="K6:K25" si="0">SUM(C6:J6)</f>
        <v>43</v>
      </c>
      <c r="L6" s="65">
        <f>SUMIF('📋 Registo Diário'!$D$7:$D$646,'⚙️ Configuração'!C30,'📋 Registo Diário'!$Q$7:$Q$646)</f>
        <v>45</v>
      </c>
      <c r="M6" s="66">
        <f t="shared" ref="M6:M25" si="1">K6+L6</f>
        <v>88</v>
      </c>
      <c r="N6" s="59"/>
      <c r="O6" s="67"/>
      <c r="P6" s="68"/>
    </row>
    <row r="7" spans="1:16" ht="21.75" customHeight="1" x14ac:dyDescent="0.2">
      <c r="A7" s="59"/>
      <c r="B7" s="4" t="str">
        <f>'⚙️ Configuração'!C31</f>
        <v>Elisabete Mendes</v>
      </c>
      <c r="C7" s="63">
        <f>IF('⚙️ Configuração'!C31='🔄 Rotação Duplas'!C8,IF('🔄 Rotação Duplas'!H8="-",0,'🔄 Rotação Duplas'!H8),IF('⚙️ Configuração'!C31='🔄 Rotação Duplas'!D8,IF('🔄 Rotação Duplas'!I8="-",0,'🔄 Rotação Duplas'!I8),0))+IF('⚙️ Configuração'!C31='🔄 Rotação Duplas'!C9,IF('🔄 Rotação Duplas'!H9="-",0,'🔄 Rotação Duplas'!H9),IF('⚙️ Configuração'!C31='🔄 Rotação Duplas'!D9,IF('🔄 Rotação Duplas'!I9="-",0,'🔄 Rotação Duplas'!I9),0))+IF('⚙️ Configuração'!C31='🔄 Rotação Duplas'!C10,IF('🔄 Rotação Duplas'!H10="-",0,'🔄 Rotação Duplas'!H10),IF('⚙️ Configuração'!C31='🔄 Rotação Duplas'!D10,IF('🔄 Rotação Duplas'!I10="-",0,'🔄 Rotação Duplas'!I10),0))+IF('⚙️ Configuração'!C31='🔄 Rotação Duplas'!C11,IF('🔄 Rotação Duplas'!H11="-",0,'🔄 Rotação Duplas'!H11),IF('⚙️ Configuração'!C31='🔄 Rotação Duplas'!D11,IF('🔄 Rotação Duplas'!I11="-",0,'🔄 Rotação Duplas'!I11),0))+IF('⚙️ Configuração'!C31='🔄 Rotação Duplas'!C12,IF('🔄 Rotação Duplas'!H12="-",0,'🔄 Rotação Duplas'!H12),IF('⚙️ Configuração'!C31='🔄 Rotação Duplas'!D12,IF('🔄 Rotação Duplas'!I12="-",0,'🔄 Rotação Duplas'!I12),0))+IF('⚙️ Configuração'!C31='🔄 Rotação Duplas'!C13,IF('🔄 Rotação Duplas'!H13="-",0,'🔄 Rotação Duplas'!H13),IF('⚙️ Configuração'!C31='🔄 Rotação Duplas'!D13,IF('🔄 Rotação Duplas'!I13="-",0,'🔄 Rotação Duplas'!I13),0))+IF('⚙️ Configuração'!C31='🔄 Rotação Duplas'!C14,IF('🔄 Rotação Duplas'!H14="-",0,'🔄 Rotação Duplas'!H14),IF('⚙️ Configuração'!C31='🔄 Rotação Duplas'!D14,IF('🔄 Rotação Duplas'!I14="-",0,'🔄 Rotação Duplas'!I14),0))+IF('⚙️ Configuração'!C31='🔄 Rotação Duplas'!C15,IF('🔄 Rotação Duplas'!H15="-",0,'🔄 Rotação Duplas'!H15),IF('⚙️ Configuração'!C31='🔄 Rotação Duplas'!D15,IF('🔄 Rotação Duplas'!I15="-",0,'🔄 Rotação Duplas'!I15),0))+IF('⚙️ Configuração'!C31='🔄 Rotação Duplas'!C16,IF('🔄 Rotação Duplas'!H16="-",0,'🔄 Rotação Duplas'!H16),IF('⚙️ Configuração'!C31='🔄 Rotação Duplas'!D16,IF('🔄 Rotação Duplas'!I16="-",0,'🔄 Rotação Duplas'!I16),0))+IF('⚙️ Configuração'!C31='🔄 Rotação Duplas'!C17,IF('🔄 Rotação Duplas'!H17="-",0,'🔄 Rotação Duplas'!H17),IF('⚙️ Configuração'!C31='🔄 Rotação Duplas'!D17,IF('🔄 Rotação Duplas'!I17="-",0,'🔄 Rotação Duplas'!I17),0))</f>
        <v>31</v>
      </c>
      <c r="D7" s="63">
        <f>IF('⚙️ Configuração'!C31='🔄 Rotação Duplas'!C22,IF('🔄 Rotação Duplas'!H22="-",0,'🔄 Rotação Duplas'!H22),IF('⚙️ Configuração'!C31='🔄 Rotação Duplas'!D22,IF('🔄 Rotação Duplas'!I22="-",0,'🔄 Rotação Duplas'!I22),0))+IF('⚙️ Configuração'!C31='🔄 Rotação Duplas'!C23,IF('🔄 Rotação Duplas'!H23="-",0,'🔄 Rotação Duplas'!H23),IF('⚙️ Configuração'!C31='🔄 Rotação Duplas'!D23,IF('🔄 Rotação Duplas'!I23="-",0,'🔄 Rotação Duplas'!I23),0))+IF('⚙️ Configuração'!C31='🔄 Rotação Duplas'!C24,IF('🔄 Rotação Duplas'!H24="-",0,'🔄 Rotação Duplas'!H24),IF('⚙️ Configuração'!C31='🔄 Rotação Duplas'!D24,IF('🔄 Rotação Duplas'!I24="-",0,'🔄 Rotação Duplas'!I24),0))+IF('⚙️ Configuração'!C31='🔄 Rotação Duplas'!C25,IF('🔄 Rotação Duplas'!H25="-",0,'🔄 Rotação Duplas'!H25),IF('⚙️ Configuração'!C31='🔄 Rotação Duplas'!D25,IF('🔄 Rotação Duplas'!I25="-",0,'🔄 Rotação Duplas'!I25),0))+IF('⚙️ Configuração'!C31='🔄 Rotação Duplas'!C26,IF('🔄 Rotação Duplas'!H26="-",0,'🔄 Rotação Duplas'!H26),IF('⚙️ Configuração'!C31='🔄 Rotação Duplas'!D26,IF('🔄 Rotação Duplas'!I26="-",0,'🔄 Rotação Duplas'!I26),0))+IF('⚙️ Configuração'!C31='🔄 Rotação Duplas'!C27,IF('🔄 Rotação Duplas'!H27="-",0,'🔄 Rotação Duplas'!H27),IF('⚙️ Configuração'!C31='🔄 Rotação Duplas'!D27,IF('🔄 Rotação Duplas'!I27="-",0,'🔄 Rotação Duplas'!I27),0))+IF('⚙️ Configuração'!C31='🔄 Rotação Duplas'!C28,IF('🔄 Rotação Duplas'!H28="-",0,'🔄 Rotação Duplas'!H28),IF('⚙️ Configuração'!C31='🔄 Rotação Duplas'!D28,IF('🔄 Rotação Duplas'!I28="-",0,'🔄 Rotação Duplas'!I28),0))+IF('⚙️ Configuração'!C31='🔄 Rotação Duplas'!C29,IF('🔄 Rotação Duplas'!H29="-",0,'🔄 Rotação Duplas'!H29),IF('⚙️ Configuração'!C31='🔄 Rotação Duplas'!D29,IF('🔄 Rotação Duplas'!I29="-",0,'🔄 Rotação Duplas'!I29),0))+IF('⚙️ Configuração'!C31='🔄 Rotação Duplas'!C30,IF('🔄 Rotação Duplas'!H30="-",0,'🔄 Rotação Duplas'!H30),IF('⚙️ Configuração'!C31='🔄 Rotação Duplas'!D30,IF('🔄 Rotação Duplas'!I30="-",0,'🔄 Rotação Duplas'!I30),0))+IF('⚙️ Configuração'!C31='🔄 Rotação Duplas'!C31,IF('🔄 Rotação Duplas'!H31="-",0,'🔄 Rotação Duplas'!H31),IF('⚙️ Configuração'!C31='🔄 Rotação Duplas'!D31,IF('🔄 Rotação Duplas'!I31="-",0,'🔄 Rotação Duplas'!I31),0))</f>
        <v>0</v>
      </c>
      <c r="E7" s="63">
        <f>IF('⚙️ Configuração'!C31='🔄 Rotação Duplas'!C36,IF('🔄 Rotação Duplas'!H36="-",0,'🔄 Rotação Duplas'!H36),IF('⚙️ Configuração'!C31='🔄 Rotação Duplas'!D36,IF('🔄 Rotação Duplas'!I36="-",0,'🔄 Rotação Duplas'!I36),0))+IF('⚙️ Configuração'!C31='🔄 Rotação Duplas'!C37,IF('🔄 Rotação Duplas'!H37="-",0,'🔄 Rotação Duplas'!H37),IF('⚙️ Configuração'!C31='🔄 Rotação Duplas'!D37,IF('🔄 Rotação Duplas'!I37="-",0,'🔄 Rotação Duplas'!I37),0))+IF('⚙️ Configuração'!C31='🔄 Rotação Duplas'!C38,IF('🔄 Rotação Duplas'!H38="-",0,'🔄 Rotação Duplas'!H38),IF('⚙️ Configuração'!C31='🔄 Rotação Duplas'!D38,IF('🔄 Rotação Duplas'!I38="-",0,'🔄 Rotação Duplas'!I38),0))+IF('⚙️ Configuração'!C31='🔄 Rotação Duplas'!C39,IF('🔄 Rotação Duplas'!H39="-",0,'🔄 Rotação Duplas'!H39),IF('⚙️ Configuração'!C31='🔄 Rotação Duplas'!D39,IF('🔄 Rotação Duplas'!I39="-",0,'🔄 Rotação Duplas'!I39),0))+IF('⚙️ Configuração'!C31='🔄 Rotação Duplas'!C40,IF('🔄 Rotação Duplas'!H40="-",0,'🔄 Rotação Duplas'!H40),IF('⚙️ Configuração'!C31='🔄 Rotação Duplas'!D40,IF('🔄 Rotação Duplas'!I40="-",0,'🔄 Rotação Duplas'!I40),0))+IF('⚙️ Configuração'!C31='🔄 Rotação Duplas'!C41,IF('🔄 Rotação Duplas'!H41="-",0,'🔄 Rotação Duplas'!H41),IF('⚙️ Configuração'!C31='🔄 Rotação Duplas'!D41,IF('🔄 Rotação Duplas'!I41="-",0,'🔄 Rotação Duplas'!I41),0))+IF('⚙️ Configuração'!C31='🔄 Rotação Duplas'!C42,IF('🔄 Rotação Duplas'!H42="-",0,'🔄 Rotação Duplas'!H42),IF('⚙️ Configuração'!C31='🔄 Rotação Duplas'!D42,IF('🔄 Rotação Duplas'!I42="-",0,'🔄 Rotação Duplas'!I42),0))+IF('⚙️ Configuração'!C31='🔄 Rotação Duplas'!C43,IF('🔄 Rotação Duplas'!H43="-",0,'🔄 Rotação Duplas'!H43),IF('⚙️ Configuração'!C31='🔄 Rotação Duplas'!D43,IF('🔄 Rotação Duplas'!I43="-",0,'🔄 Rotação Duplas'!I43),0))+IF('⚙️ Configuração'!C31='🔄 Rotação Duplas'!C44,IF('🔄 Rotação Duplas'!H44="-",0,'🔄 Rotação Duplas'!H44),IF('⚙️ Configuração'!C31='🔄 Rotação Duplas'!D44,IF('🔄 Rotação Duplas'!I44="-",0,'🔄 Rotação Duplas'!I44),0))+IF('⚙️ Configuração'!C31='🔄 Rotação Duplas'!C45,IF('🔄 Rotação Duplas'!H45="-",0,'🔄 Rotação Duplas'!H45),IF('⚙️ Configuração'!C31='🔄 Rotação Duplas'!D45,IF('🔄 Rotação Duplas'!I45="-",0,'🔄 Rotação Duplas'!I45),0))</f>
        <v>0</v>
      </c>
      <c r="F7" s="63">
        <f>IF('⚙️ Configuração'!C31='🔄 Rotação Duplas'!C50,IF('🔄 Rotação Duplas'!H50="-",0,'🔄 Rotação Duplas'!H50),IF('⚙️ Configuração'!C31='🔄 Rotação Duplas'!D50,IF('🔄 Rotação Duplas'!I50="-",0,'🔄 Rotação Duplas'!I50),0))+IF('⚙️ Configuração'!C31='🔄 Rotação Duplas'!C51,IF('🔄 Rotação Duplas'!H51="-",0,'🔄 Rotação Duplas'!H51),IF('⚙️ Configuração'!C31='🔄 Rotação Duplas'!D51,IF('🔄 Rotação Duplas'!I51="-",0,'🔄 Rotação Duplas'!I51),0))+IF('⚙️ Configuração'!C31='🔄 Rotação Duplas'!C52,IF('🔄 Rotação Duplas'!H52="-",0,'🔄 Rotação Duplas'!H52),IF('⚙️ Configuração'!C31='🔄 Rotação Duplas'!D52,IF('🔄 Rotação Duplas'!I52="-",0,'🔄 Rotação Duplas'!I52),0))+IF('⚙️ Configuração'!C31='🔄 Rotação Duplas'!C53,IF('🔄 Rotação Duplas'!H53="-",0,'🔄 Rotação Duplas'!H53),IF('⚙️ Configuração'!C31='🔄 Rotação Duplas'!D53,IF('🔄 Rotação Duplas'!I53="-",0,'🔄 Rotação Duplas'!I53),0))+IF('⚙️ Configuração'!C31='🔄 Rotação Duplas'!C54,IF('🔄 Rotação Duplas'!H54="-",0,'🔄 Rotação Duplas'!H54),IF('⚙️ Configuração'!C31='🔄 Rotação Duplas'!D54,IF('🔄 Rotação Duplas'!I54="-",0,'🔄 Rotação Duplas'!I54),0))+IF('⚙️ Configuração'!C31='🔄 Rotação Duplas'!C55,IF('🔄 Rotação Duplas'!H55="-",0,'🔄 Rotação Duplas'!H55),IF('⚙️ Configuração'!C31='🔄 Rotação Duplas'!D55,IF('🔄 Rotação Duplas'!I55="-",0,'🔄 Rotação Duplas'!I55),0))+IF('⚙️ Configuração'!C31='🔄 Rotação Duplas'!C56,IF('🔄 Rotação Duplas'!H56="-",0,'🔄 Rotação Duplas'!H56),IF('⚙️ Configuração'!C31='🔄 Rotação Duplas'!D56,IF('🔄 Rotação Duplas'!I56="-",0,'🔄 Rotação Duplas'!I56),0))+IF('⚙️ Configuração'!C31='🔄 Rotação Duplas'!C57,IF('🔄 Rotação Duplas'!H57="-",0,'🔄 Rotação Duplas'!H57),IF('⚙️ Configuração'!C31='🔄 Rotação Duplas'!D57,IF('🔄 Rotação Duplas'!I57="-",0,'🔄 Rotação Duplas'!I57),0))+IF('⚙️ Configuração'!C31='🔄 Rotação Duplas'!C58,IF('🔄 Rotação Duplas'!H58="-",0,'🔄 Rotação Duplas'!H58),IF('⚙️ Configuração'!C31='🔄 Rotação Duplas'!D58,IF('🔄 Rotação Duplas'!I58="-",0,'🔄 Rotação Duplas'!I58),0))+IF('⚙️ Configuração'!C31='🔄 Rotação Duplas'!C59,IF('🔄 Rotação Duplas'!H59="-",0,'🔄 Rotação Duplas'!H59),IF('⚙️ Configuração'!C31='🔄 Rotação Duplas'!D59,IF('🔄 Rotação Duplas'!I59="-",0,'🔄 Rotação Duplas'!I59),0))</f>
        <v>0</v>
      </c>
      <c r="G7" s="63">
        <f>IF('⚙️ Configuração'!C31='🔄 Rotação Duplas'!C64,IF('🔄 Rotação Duplas'!H64="-",0,'🔄 Rotação Duplas'!H64),IF('⚙️ Configuração'!C31='🔄 Rotação Duplas'!D64,IF('🔄 Rotação Duplas'!I64="-",0,'🔄 Rotação Duplas'!I64),0))+IF('⚙️ Configuração'!C31='🔄 Rotação Duplas'!C65,IF('🔄 Rotação Duplas'!H65="-",0,'🔄 Rotação Duplas'!H65),IF('⚙️ Configuração'!C31='🔄 Rotação Duplas'!D65,IF('🔄 Rotação Duplas'!I65="-",0,'🔄 Rotação Duplas'!I65),0))+IF('⚙️ Configuração'!C31='🔄 Rotação Duplas'!C66,IF('🔄 Rotação Duplas'!H66="-",0,'🔄 Rotação Duplas'!H66),IF('⚙️ Configuração'!C31='🔄 Rotação Duplas'!D66,IF('🔄 Rotação Duplas'!I66="-",0,'🔄 Rotação Duplas'!I66),0))+IF('⚙️ Configuração'!C31='🔄 Rotação Duplas'!C67,IF('🔄 Rotação Duplas'!H67="-",0,'🔄 Rotação Duplas'!H67),IF('⚙️ Configuração'!C31='🔄 Rotação Duplas'!D67,IF('🔄 Rotação Duplas'!I67="-",0,'🔄 Rotação Duplas'!I67),0))+IF('⚙️ Configuração'!C31='🔄 Rotação Duplas'!C68,IF('🔄 Rotação Duplas'!H68="-",0,'🔄 Rotação Duplas'!H68),IF('⚙️ Configuração'!C31='🔄 Rotação Duplas'!D68,IF('🔄 Rotação Duplas'!I68="-",0,'🔄 Rotação Duplas'!I68),0))+IF('⚙️ Configuração'!C31='🔄 Rotação Duplas'!C69,IF('🔄 Rotação Duplas'!H69="-",0,'🔄 Rotação Duplas'!H69),IF('⚙️ Configuração'!C31='🔄 Rotação Duplas'!D69,IF('🔄 Rotação Duplas'!I69="-",0,'🔄 Rotação Duplas'!I69),0))+IF('⚙️ Configuração'!C31='🔄 Rotação Duplas'!C70,IF('🔄 Rotação Duplas'!H70="-",0,'🔄 Rotação Duplas'!H70),IF('⚙️ Configuração'!C31='🔄 Rotação Duplas'!D70,IF('🔄 Rotação Duplas'!I70="-",0,'🔄 Rotação Duplas'!I70),0))+IF('⚙️ Configuração'!C31='🔄 Rotação Duplas'!C71,IF('🔄 Rotação Duplas'!H71="-",0,'🔄 Rotação Duplas'!H71),IF('⚙️ Configuração'!C31='🔄 Rotação Duplas'!D71,IF('🔄 Rotação Duplas'!I71="-",0,'🔄 Rotação Duplas'!I71),0))+IF('⚙️ Configuração'!C31='🔄 Rotação Duplas'!C72,IF('🔄 Rotação Duplas'!H72="-",0,'🔄 Rotação Duplas'!H72),IF('⚙️ Configuração'!C31='🔄 Rotação Duplas'!D72,IF('🔄 Rotação Duplas'!I72="-",0,'🔄 Rotação Duplas'!I72),0))+IF('⚙️ Configuração'!C31='🔄 Rotação Duplas'!C73,IF('🔄 Rotação Duplas'!H73="-",0,'🔄 Rotação Duplas'!H73),IF('⚙️ Configuração'!C31='🔄 Rotação Duplas'!D73,IF('🔄 Rotação Duplas'!I73="-",0,'🔄 Rotação Duplas'!I73),0))</f>
        <v>0</v>
      </c>
      <c r="H7" s="63">
        <f>IF('⚙️ Configuração'!C31='🔄 Rotação Duplas'!C78,IF('🔄 Rotação Duplas'!H78="-",0,'🔄 Rotação Duplas'!H78),IF('⚙️ Configuração'!C31='🔄 Rotação Duplas'!D78,IF('🔄 Rotação Duplas'!I78="-",0,'🔄 Rotação Duplas'!I78),0))+IF('⚙️ Configuração'!C31='🔄 Rotação Duplas'!C79,IF('🔄 Rotação Duplas'!H79="-",0,'🔄 Rotação Duplas'!H79),IF('⚙️ Configuração'!C31='🔄 Rotação Duplas'!D79,IF('🔄 Rotação Duplas'!I79="-",0,'🔄 Rotação Duplas'!I79),0))+IF('⚙️ Configuração'!C31='🔄 Rotação Duplas'!C80,IF('🔄 Rotação Duplas'!H80="-",0,'🔄 Rotação Duplas'!H80),IF('⚙️ Configuração'!C31='🔄 Rotação Duplas'!D80,IF('🔄 Rotação Duplas'!I80="-",0,'🔄 Rotação Duplas'!I80),0))+IF('⚙️ Configuração'!C31='🔄 Rotação Duplas'!C81,IF('🔄 Rotação Duplas'!H81="-",0,'🔄 Rotação Duplas'!H81),IF('⚙️ Configuração'!C31='🔄 Rotação Duplas'!D81,IF('🔄 Rotação Duplas'!I81="-",0,'🔄 Rotação Duplas'!I81),0))+IF('⚙️ Configuração'!C31='🔄 Rotação Duplas'!C82,IF('🔄 Rotação Duplas'!H82="-",0,'🔄 Rotação Duplas'!H82),IF('⚙️ Configuração'!C31='🔄 Rotação Duplas'!D82,IF('🔄 Rotação Duplas'!I82="-",0,'🔄 Rotação Duplas'!I82),0))+IF('⚙️ Configuração'!C31='🔄 Rotação Duplas'!C83,IF('🔄 Rotação Duplas'!H83="-",0,'🔄 Rotação Duplas'!H83),IF('⚙️ Configuração'!C31='🔄 Rotação Duplas'!D83,IF('🔄 Rotação Duplas'!I83="-",0,'🔄 Rotação Duplas'!I83),0))+IF('⚙️ Configuração'!C31='🔄 Rotação Duplas'!C84,IF('🔄 Rotação Duplas'!H84="-",0,'🔄 Rotação Duplas'!H84),IF('⚙️ Configuração'!C31='🔄 Rotação Duplas'!D84,IF('🔄 Rotação Duplas'!I84="-",0,'🔄 Rotação Duplas'!I84),0))+IF('⚙️ Configuração'!C31='🔄 Rotação Duplas'!C85,IF('🔄 Rotação Duplas'!H85="-",0,'🔄 Rotação Duplas'!H85),IF('⚙️ Configuração'!C31='🔄 Rotação Duplas'!D85,IF('🔄 Rotação Duplas'!I85="-",0,'🔄 Rotação Duplas'!I85),0))+IF('⚙️ Configuração'!C31='🔄 Rotação Duplas'!C86,IF('🔄 Rotação Duplas'!H86="-",0,'🔄 Rotação Duplas'!H86),IF('⚙️ Configuração'!C31='🔄 Rotação Duplas'!D86,IF('🔄 Rotação Duplas'!I86="-",0,'🔄 Rotação Duplas'!I86),0))+IF('⚙️ Configuração'!C31='🔄 Rotação Duplas'!C87,IF('🔄 Rotação Duplas'!H87="-",0,'🔄 Rotação Duplas'!H87),IF('⚙️ Configuração'!C31='🔄 Rotação Duplas'!D87,IF('🔄 Rotação Duplas'!I87="-",0,'🔄 Rotação Duplas'!I87),0))</f>
        <v>0</v>
      </c>
      <c r="I7" s="63">
        <f>IF('⚙️ Configuração'!C31='🔄 Rotação Duplas'!C92,IF('🔄 Rotação Duplas'!H92="-",0,'🔄 Rotação Duplas'!H92),IF('⚙️ Configuração'!C31='🔄 Rotação Duplas'!D92,IF('🔄 Rotação Duplas'!I92="-",0,'🔄 Rotação Duplas'!I92),0))+IF('⚙️ Configuração'!C31='🔄 Rotação Duplas'!C93,IF('🔄 Rotação Duplas'!H93="-",0,'🔄 Rotação Duplas'!H93),IF('⚙️ Configuração'!C31='🔄 Rotação Duplas'!D93,IF('🔄 Rotação Duplas'!I93="-",0,'🔄 Rotação Duplas'!I93),0))+IF('⚙️ Configuração'!C31='🔄 Rotação Duplas'!C94,IF('🔄 Rotação Duplas'!H94="-",0,'🔄 Rotação Duplas'!H94),IF('⚙️ Configuração'!C31='🔄 Rotação Duplas'!D94,IF('🔄 Rotação Duplas'!I94="-",0,'🔄 Rotação Duplas'!I94),0))+IF('⚙️ Configuração'!C31='🔄 Rotação Duplas'!C95,IF('🔄 Rotação Duplas'!H95="-",0,'🔄 Rotação Duplas'!H95),IF('⚙️ Configuração'!C31='🔄 Rotação Duplas'!D95,IF('🔄 Rotação Duplas'!I95="-",0,'🔄 Rotação Duplas'!I95),0))+IF('⚙️ Configuração'!C31='🔄 Rotação Duplas'!C96,IF('🔄 Rotação Duplas'!H96="-",0,'🔄 Rotação Duplas'!H96),IF('⚙️ Configuração'!C31='🔄 Rotação Duplas'!D96,IF('🔄 Rotação Duplas'!I96="-",0,'🔄 Rotação Duplas'!I96),0))+IF('⚙️ Configuração'!C31='🔄 Rotação Duplas'!C97,IF('🔄 Rotação Duplas'!H97="-",0,'🔄 Rotação Duplas'!H97),IF('⚙️ Configuração'!C31='🔄 Rotação Duplas'!D97,IF('🔄 Rotação Duplas'!I97="-",0,'🔄 Rotação Duplas'!I97),0))+IF('⚙️ Configuração'!C31='🔄 Rotação Duplas'!C98,IF('🔄 Rotação Duplas'!H98="-",0,'🔄 Rotação Duplas'!H98),IF('⚙️ Configuração'!C31='🔄 Rotação Duplas'!D98,IF('🔄 Rotação Duplas'!I98="-",0,'🔄 Rotação Duplas'!I98),0))+IF('⚙️ Configuração'!C31='🔄 Rotação Duplas'!C99,IF('🔄 Rotação Duplas'!H99="-",0,'🔄 Rotação Duplas'!H99),IF('⚙️ Configuração'!C31='🔄 Rotação Duplas'!D99,IF('🔄 Rotação Duplas'!I99="-",0,'🔄 Rotação Duplas'!I99),0))+IF('⚙️ Configuração'!C31='🔄 Rotação Duplas'!C100,IF('🔄 Rotação Duplas'!H100="-",0,'🔄 Rotação Duplas'!H100),IF('⚙️ Configuração'!C31='🔄 Rotação Duplas'!D100,IF('🔄 Rotação Duplas'!I100="-",0,'🔄 Rotação Duplas'!I100),0))+IF('⚙️ Configuração'!C31='🔄 Rotação Duplas'!C101,IF('🔄 Rotação Duplas'!H101="-",0,'🔄 Rotação Duplas'!H101),IF('⚙️ Configuração'!C31='🔄 Rotação Duplas'!D101,IF('🔄 Rotação Duplas'!I101="-",0,'🔄 Rotação Duplas'!I101),0))</f>
        <v>0</v>
      </c>
      <c r="J7" s="63">
        <f>IF('⚙️ Configuração'!C31='🔄 Rotação Duplas'!C106,IF('🔄 Rotação Duplas'!H106="-",0,'🔄 Rotação Duplas'!H106),IF('⚙️ Configuração'!C31='🔄 Rotação Duplas'!D106,IF('🔄 Rotação Duplas'!I106="-",0,'🔄 Rotação Duplas'!I106),0))+IF('⚙️ Configuração'!C31='🔄 Rotação Duplas'!C107,IF('🔄 Rotação Duplas'!H107="-",0,'🔄 Rotação Duplas'!H107),IF('⚙️ Configuração'!C31='🔄 Rotação Duplas'!D107,IF('🔄 Rotação Duplas'!I107="-",0,'🔄 Rotação Duplas'!I107),0))+IF('⚙️ Configuração'!C31='🔄 Rotação Duplas'!C108,IF('🔄 Rotação Duplas'!H108="-",0,'🔄 Rotação Duplas'!H108),IF('⚙️ Configuração'!C31='🔄 Rotação Duplas'!D108,IF('🔄 Rotação Duplas'!I108="-",0,'🔄 Rotação Duplas'!I108),0))+IF('⚙️ Configuração'!C31='🔄 Rotação Duplas'!C109,IF('🔄 Rotação Duplas'!H109="-",0,'🔄 Rotação Duplas'!H109),IF('⚙️ Configuração'!C31='🔄 Rotação Duplas'!D109,IF('🔄 Rotação Duplas'!I109="-",0,'🔄 Rotação Duplas'!I109),0))+IF('⚙️ Configuração'!C31='🔄 Rotação Duplas'!C110,IF('🔄 Rotação Duplas'!H110="-",0,'🔄 Rotação Duplas'!H110),IF('⚙️ Configuração'!C31='🔄 Rotação Duplas'!D110,IF('🔄 Rotação Duplas'!I110="-",0,'🔄 Rotação Duplas'!I110),0))+IF('⚙️ Configuração'!C31='🔄 Rotação Duplas'!C111,IF('🔄 Rotação Duplas'!H111="-",0,'🔄 Rotação Duplas'!H111),IF('⚙️ Configuração'!C31='🔄 Rotação Duplas'!D111,IF('🔄 Rotação Duplas'!I111="-",0,'🔄 Rotação Duplas'!I111),0))+IF('⚙️ Configuração'!C31='🔄 Rotação Duplas'!C112,IF('🔄 Rotação Duplas'!H112="-",0,'🔄 Rotação Duplas'!H112),IF('⚙️ Configuração'!C31='🔄 Rotação Duplas'!D112,IF('🔄 Rotação Duplas'!I112="-",0,'🔄 Rotação Duplas'!I112),0))+IF('⚙️ Configuração'!C31='🔄 Rotação Duplas'!C113,IF('🔄 Rotação Duplas'!H113="-",0,'🔄 Rotação Duplas'!H113),IF('⚙️ Configuração'!C31='🔄 Rotação Duplas'!D113,IF('🔄 Rotação Duplas'!I113="-",0,'🔄 Rotação Duplas'!I113),0))+IF('⚙️ Configuração'!C31='🔄 Rotação Duplas'!C114,IF('🔄 Rotação Duplas'!H114="-",0,'🔄 Rotação Duplas'!H114),IF('⚙️ Configuração'!C31='🔄 Rotação Duplas'!D114,IF('🔄 Rotação Duplas'!I114="-",0,'🔄 Rotação Duplas'!I114),0))+IF('⚙️ Configuração'!C31='🔄 Rotação Duplas'!C115,IF('🔄 Rotação Duplas'!H115="-",0,'🔄 Rotação Duplas'!H115),IF('⚙️ Configuração'!C31='🔄 Rotação Duplas'!D115,IF('🔄 Rotação Duplas'!I115="-",0,'🔄 Rotação Duplas'!I115),0))</f>
        <v>0</v>
      </c>
      <c r="K7" s="64">
        <f t="shared" si="0"/>
        <v>31</v>
      </c>
      <c r="L7" s="65">
        <f>SUMIF('📋 Registo Diário'!$D$7:$D$646,'⚙️ Configuração'!C31,'📋 Registo Diário'!$Q$7:$Q$646)</f>
        <v>23</v>
      </c>
      <c r="M7" s="66">
        <f t="shared" si="1"/>
        <v>54</v>
      </c>
      <c r="N7" s="59"/>
      <c r="O7" s="67"/>
      <c r="P7" s="68"/>
    </row>
    <row r="8" spans="1:16" ht="21.75" customHeight="1" x14ac:dyDescent="0.2">
      <c r="A8" s="59"/>
      <c r="B8" s="13" t="str">
        <f>'⚙️ Configuração'!C32</f>
        <v>Filipa Cunha</v>
      </c>
      <c r="C8" s="63">
        <f>IF('⚙️ Configuração'!C32='🔄 Rotação Duplas'!C8,IF('🔄 Rotação Duplas'!H8="-",0,'🔄 Rotação Duplas'!H8),IF('⚙️ Configuração'!C32='🔄 Rotação Duplas'!D8,IF('🔄 Rotação Duplas'!I8="-",0,'🔄 Rotação Duplas'!I8),0))+IF('⚙️ Configuração'!C32='🔄 Rotação Duplas'!C9,IF('🔄 Rotação Duplas'!H9="-",0,'🔄 Rotação Duplas'!H9),IF('⚙️ Configuração'!C32='🔄 Rotação Duplas'!D9,IF('🔄 Rotação Duplas'!I9="-",0,'🔄 Rotação Duplas'!I9),0))+IF('⚙️ Configuração'!C32='🔄 Rotação Duplas'!C10,IF('🔄 Rotação Duplas'!H10="-",0,'🔄 Rotação Duplas'!H10),IF('⚙️ Configuração'!C32='🔄 Rotação Duplas'!D10,IF('🔄 Rotação Duplas'!I10="-",0,'🔄 Rotação Duplas'!I10),0))+IF('⚙️ Configuração'!C32='🔄 Rotação Duplas'!C11,IF('🔄 Rotação Duplas'!H11="-",0,'🔄 Rotação Duplas'!H11),IF('⚙️ Configuração'!C32='🔄 Rotação Duplas'!D11,IF('🔄 Rotação Duplas'!I11="-",0,'🔄 Rotação Duplas'!I11),0))+IF('⚙️ Configuração'!C32='🔄 Rotação Duplas'!C12,IF('🔄 Rotação Duplas'!H12="-",0,'🔄 Rotação Duplas'!H12),IF('⚙️ Configuração'!C32='🔄 Rotação Duplas'!D12,IF('🔄 Rotação Duplas'!I12="-",0,'🔄 Rotação Duplas'!I12),0))+IF('⚙️ Configuração'!C32='🔄 Rotação Duplas'!C13,IF('🔄 Rotação Duplas'!H13="-",0,'🔄 Rotação Duplas'!H13),IF('⚙️ Configuração'!C32='🔄 Rotação Duplas'!D13,IF('🔄 Rotação Duplas'!I13="-",0,'🔄 Rotação Duplas'!I13),0))+IF('⚙️ Configuração'!C32='🔄 Rotação Duplas'!C14,IF('🔄 Rotação Duplas'!H14="-",0,'🔄 Rotação Duplas'!H14),IF('⚙️ Configuração'!C32='🔄 Rotação Duplas'!D14,IF('🔄 Rotação Duplas'!I14="-",0,'🔄 Rotação Duplas'!I14),0))+IF('⚙️ Configuração'!C32='🔄 Rotação Duplas'!C15,IF('🔄 Rotação Duplas'!H15="-",0,'🔄 Rotação Duplas'!H15),IF('⚙️ Configuração'!C32='🔄 Rotação Duplas'!D15,IF('🔄 Rotação Duplas'!I15="-",0,'🔄 Rotação Duplas'!I15),0))+IF('⚙️ Configuração'!C32='🔄 Rotação Duplas'!C16,IF('🔄 Rotação Duplas'!H16="-",0,'🔄 Rotação Duplas'!H16),IF('⚙️ Configuração'!C32='🔄 Rotação Duplas'!D16,IF('🔄 Rotação Duplas'!I16="-",0,'🔄 Rotação Duplas'!I16),0))+IF('⚙️ Configuração'!C32='🔄 Rotação Duplas'!C17,IF('🔄 Rotação Duplas'!H17="-",0,'🔄 Rotação Duplas'!H17),IF('⚙️ Configuração'!C32='🔄 Rotação Duplas'!D17,IF('🔄 Rotação Duplas'!I17="-",0,'🔄 Rotação Duplas'!I17),0))</f>
        <v>56</v>
      </c>
      <c r="D8" s="63">
        <f>IF('⚙️ Configuração'!C32='🔄 Rotação Duplas'!C22,IF('🔄 Rotação Duplas'!H22="-",0,'🔄 Rotação Duplas'!H22),IF('⚙️ Configuração'!C32='🔄 Rotação Duplas'!D22,IF('🔄 Rotação Duplas'!I22="-",0,'🔄 Rotação Duplas'!I22),0))+IF('⚙️ Configuração'!C32='🔄 Rotação Duplas'!C23,IF('🔄 Rotação Duplas'!H23="-",0,'🔄 Rotação Duplas'!H23),IF('⚙️ Configuração'!C32='🔄 Rotação Duplas'!D23,IF('🔄 Rotação Duplas'!I23="-",0,'🔄 Rotação Duplas'!I23),0))+IF('⚙️ Configuração'!C32='🔄 Rotação Duplas'!C24,IF('🔄 Rotação Duplas'!H24="-",0,'🔄 Rotação Duplas'!H24),IF('⚙️ Configuração'!C32='🔄 Rotação Duplas'!D24,IF('🔄 Rotação Duplas'!I24="-",0,'🔄 Rotação Duplas'!I24),0))+IF('⚙️ Configuração'!C32='🔄 Rotação Duplas'!C25,IF('🔄 Rotação Duplas'!H25="-",0,'🔄 Rotação Duplas'!H25),IF('⚙️ Configuração'!C32='🔄 Rotação Duplas'!D25,IF('🔄 Rotação Duplas'!I25="-",0,'🔄 Rotação Duplas'!I25),0))+IF('⚙️ Configuração'!C32='🔄 Rotação Duplas'!C26,IF('🔄 Rotação Duplas'!H26="-",0,'🔄 Rotação Duplas'!H26),IF('⚙️ Configuração'!C32='🔄 Rotação Duplas'!D26,IF('🔄 Rotação Duplas'!I26="-",0,'🔄 Rotação Duplas'!I26),0))+IF('⚙️ Configuração'!C32='🔄 Rotação Duplas'!C27,IF('🔄 Rotação Duplas'!H27="-",0,'🔄 Rotação Duplas'!H27),IF('⚙️ Configuração'!C32='🔄 Rotação Duplas'!D27,IF('🔄 Rotação Duplas'!I27="-",0,'🔄 Rotação Duplas'!I27),0))+IF('⚙️ Configuração'!C32='🔄 Rotação Duplas'!C28,IF('🔄 Rotação Duplas'!H28="-",0,'🔄 Rotação Duplas'!H28),IF('⚙️ Configuração'!C32='🔄 Rotação Duplas'!D28,IF('🔄 Rotação Duplas'!I28="-",0,'🔄 Rotação Duplas'!I28),0))+IF('⚙️ Configuração'!C32='🔄 Rotação Duplas'!C29,IF('🔄 Rotação Duplas'!H29="-",0,'🔄 Rotação Duplas'!H29),IF('⚙️ Configuração'!C32='🔄 Rotação Duplas'!D29,IF('🔄 Rotação Duplas'!I29="-",0,'🔄 Rotação Duplas'!I29),0))+IF('⚙️ Configuração'!C32='🔄 Rotação Duplas'!C30,IF('🔄 Rotação Duplas'!H30="-",0,'🔄 Rotação Duplas'!H30),IF('⚙️ Configuração'!C32='🔄 Rotação Duplas'!D30,IF('🔄 Rotação Duplas'!I30="-",0,'🔄 Rotação Duplas'!I30),0))+IF('⚙️ Configuração'!C32='🔄 Rotação Duplas'!C31,IF('🔄 Rotação Duplas'!H31="-",0,'🔄 Rotação Duplas'!H31),IF('⚙️ Configuração'!C32='🔄 Rotação Duplas'!D31,IF('🔄 Rotação Duplas'!I31="-",0,'🔄 Rotação Duplas'!I31),0))</f>
        <v>0</v>
      </c>
      <c r="E8" s="63">
        <f>IF('⚙️ Configuração'!C32='🔄 Rotação Duplas'!C36,IF('🔄 Rotação Duplas'!H36="-",0,'🔄 Rotação Duplas'!H36),IF('⚙️ Configuração'!C32='🔄 Rotação Duplas'!D36,IF('🔄 Rotação Duplas'!I36="-",0,'🔄 Rotação Duplas'!I36),0))+IF('⚙️ Configuração'!C32='🔄 Rotação Duplas'!C37,IF('🔄 Rotação Duplas'!H37="-",0,'🔄 Rotação Duplas'!H37),IF('⚙️ Configuração'!C32='🔄 Rotação Duplas'!D37,IF('🔄 Rotação Duplas'!I37="-",0,'🔄 Rotação Duplas'!I37),0))+IF('⚙️ Configuração'!C32='🔄 Rotação Duplas'!C38,IF('🔄 Rotação Duplas'!H38="-",0,'🔄 Rotação Duplas'!H38),IF('⚙️ Configuração'!C32='🔄 Rotação Duplas'!D38,IF('🔄 Rotação Duplas'!I38="-",0,'🔄 Rotação Duplas'!I38),0))+IF('⚙️ Configuração'!C32='🔄 Rotação Duplas'!C39,IF('🔄 Rotação Duplas'!H39="-",0,'🔄 Rotação Duplas'!H39),IF('⚙️ Configuração'!C32='🔄 Rotação Duplas'!D39,IF('🔄 Rotação Duplas'!I39="-",0,'🔄 Rotação Duplas'!I39),0))+IF('⚙️ Configuração'!C32='🔄 Rotação Duplas'!C40,IF('🔄 Rotação Duplas'!H40="-",0,'🔄 Rotação Duplas'!H40),IF('⚙️ Configuração'!C32='🔄 Rotação Duplas'!D40,IF('🔄 Rotação Duplas'!I40="-",0,'🔄 Rotação Duplas'!I40),0))+IF('⚙️ Configuração'!C32='🔄 Rotação Duplas'!C41,IF('🔄 Rotação Duplas'!H41="-",0,'🔄 Rotação Duplas'!H41),IF('⚙️ Configuração'!C32='🔄 Rotação Duplas'!D41,IF('🔄 Rotação Duplas'!I41="-",0,'🔄 Rotação Duplas'!I41),0))+IF('⚙️ Configuração'!C32='🔄 Rotação Duplas'!C42,IF('🔄 Rotação Duplas'!H42="-",0,'🔄 Rotação Duplas'!H42),IF('⚙️ Configuração'!C32='🔄 Rotação Duplas'!D42,IF('🔄 Rotação Duplas'!I42="-",0,'🔄 Rotação Duplas'!I42),0))+IF('⚙️ Configuração'!C32='🔄 Rotação Duplas'!C43,IF('🔄 Rotação Duplas'!H43="-",0,'🔄 Rotação Duplas'!H43),IF('⚙️ Configuração'!C32='🔄 Rotação Duplas'!D43,IF('🔄 Rotação Duplas'!I43="-",0,'🔄 Rotação Duplas'!I43),0))+IF('⚙️ Configuração'!C32='🔄 Rotação Duplas'!C44,IF('🔄 Rotação Duplas'!H44="-",0,'🔄 Rotação Duplas'!H44),IF('⚙️ Configuração'!C32='🔄 Rotação Duplas'!D44,IF('🔄 Rotação Duplas'!I44="-",0,'🔄 Rotação Duplas'!I44),0))+IF('⚙️ Configuração'!C32='🔄 Rotação Duplas'!C45,IF('🔄 Rotação Duplas'!H45="-",0,'🔄 Rotação Duplas'!H45),IF('⚙️ Configuração'!C32='🔄 Rotação Duplas'!D45,IF('🔄 Rotação Duplas'!I45="-",0,'🔄 Rotação Duplas'!I45),0))</f>
        <v>0</v>
      </c>
      <c r="F8" s="63">
        <f>IF('⚙️ Configuração'!C32='🔄 Rotação Duplas'!C50,IF('🔄 Rotação Duplas'!H50="-",0,'🔄 Rotação Duplas'!H50),IF('⚙️ Configuração'!C32='🔄 Rotação Duplas'!D50,IF('🔄 Rotação Duplas'!I50="-",0,'🔄 Rotação Duplas'!I50),0))+IF('⚙️ Configuração'!C32='🔄 Rotação Duplas'!C51,IF('🔄 Rotação Duplas'!H51="-",0,'🔄 Rotação Duplas'!H51),IF('⚙️ Configuração'!C32='🔄 Rotação Duplas'!D51,IF('🔄 Rotação Duplas'!I51="-",0,'🔄 Rotação Duplas'!I51),0))+IF('⚙️ Configuração'!C32='🔄 Rotação Duplas'!C52,IF('🔄 Rotação Duplas'!H52="-",0,'🔄 Rotação Duplas'!H52),IF('⚙️ Configuração'!C32='🔄 Rotação Duplas'!D52,IF('🔄 Rotação Duplas'!I52="-",0,'🔄 Rotação Duplas'!I52),0))+IF('⚙️ Configuração'!C32='🔄 Rotação Duplas'!C53,IF('🔄 Rotação Duplas'!H53="-",0,'🔄 Rotação Duplas'!H53),IF('⚙️ Configuração'!C32='🔄 Rotação Duplas'!D53,IF('🔄 Rotação Duplas'!I53="-",0,'🔄 Rotação Duplas'!I53),0))+IF('⚙️ Configuração'!C32='🔄 Rotação Duplas'!C54,IF('🔄 Rotação Duplas'!H54="-",0,'🔄 Rotação Duplas'!H54),IF('⚙️ Configuração'!C32='🔄 Rotação Duplas'!D54,IF('🔄 Rotação Duplas'!I54="-",0,'🔄 Rotação Duplas'!I54),0))+IF('⚙️ Configuração'!C32='🔄 Rotação Duplas'!C55,IF('🔄 Rotação Duplas'!H55="-",0,'🔄 Rotação Duplas'!H55),IF('⚙️ Configuração'!C32='🔄 Rotação Duplas'!D55,IF('🔄 Rotação Duplas'!I55="-",0,'🔄 Rotação Duplas'!I55),0))+IF('⚙️ Configuração'!C32='🔄 Rotação Duplas'!C56,IF('🔄 Rotação Duplas'!H56="-",0,'🔄 Rotação Duplas'!H56),IF('⚙️ Configuração'!C32='🔄 Rotação Duplas'!D56,IF('🔄 Rotação Duplas'!I56="-",0,'🔄 Rotação Duplas'!I56),0))+IF('⚙️ Configuração'!C32='🔄 Rotação Duplas'!C57,IF('🔄 Rotação Duplas'!H57="-",0,'🔄 Rotação Duplas'!H57),IF('⚙️ Configuração'!C32='🔄 Rotação Duplas'!D57,IF('🔄 Rotação Duplas'!I57="-",0,'🔄 Rotação Duplas'!I57),0))+IF('⚙️ Configuração'!C32='🔄 Rotação Duplas'!C58,IF('🔄 Rotação Duplas'!H58="-",0,'🔄 Rotação Duplas'!H58),IF('⚙️ Configuração'!C32='🔄 Rotação Duplas'!D58,IF('🔄 Rotação Duplas'!I58="-",0,'🔄 Rotação Duplas'!I58),0))+IF('⚙️ Configuração'!C32='🔄 Rotação Duplas'!C59,IF('🔄 Rotação Duplas'!H59="-",0,'🔄 Rotação Duplas'!H59),IF('⚙️ Configuração'!C32='🔄 Rotação Duplas'!D59,IF('🔄 Rotação Duplas'!I59="-",0,'🔄 Rotação Duplas'!I59),0))</f>
        <v>0</v>
      </c>
      <c r="G8" s="63">
        <f>IF('⚙️ Configuração'!C32='🔄 Rotação Duplas'!C64,IF('🔄 Rotação Duplas'!H64="-",0,'🔄 Rotação Duplas'!H64),IF('⚙️ Configuração'!C32='🔄 Rotação Duplas'!D64,IF('🔄 Rotação Duplas'!I64="-",0,'🔄 Rotação Duplas'!I64),0))+IF('⚙️ Configuração'!C32='🔄 Rotação Duplas'!C65,IF('🔄 Rotação Duplas'!H65="-",0,'🔄 Rotação Duplas'!H65),IF('⚙️ Configuração'!C32='🔄 Rotação Duplas'!D65,IF('🔄 Rotação Duplas'!I65="-",0,'🔄 Rotação Duplas'!I65),0))+IF('⚙️ Configuração'!C32='🔄 Rotação Duplas'!C66,IF('🔄 Rotação Duplas'!H66="-",0,'🔄 Rotação Duplas'!H66),IF('⚙️ Configuração'!C32='🔄 Rotação Duplas'!D66,IF('🔄 Rotação Duplas'!I66="-",0,'🔄 Rotação Duplas'!I66),0))+IF('⚙️ Configuração'!C32='🔄 Rotação Duplas'!C67,IF('🔄 Rotação Duplas'!H67="-",0,'🔄 Rotação Duplas'!H67),IF('⚙️ Configuração'!C32='🔄 Rotação Duplas'!D67,IF('🔄 Rotação Duplas'!I67="-",0,'🔄 Rotação Duplas'!I67),0))+IF('⚙️ Configuração'!C32='🔄 Rotação Duplas'!C68,IF('🔄 Rotação Duplas'!H68="-",0,'🔄 Rotação Duplas'!H68),IF('⚙️ Configuração'!C32='🔄 Rotação Duplas'!D68,IF('🔄 Rotação Duplas'!I68="-",0,'🔄 Rotação Duplas'!I68),0))+IF('⚙️ Configuração'!C32='🔄 Rotação Duplas'!C69,IF('🔄 Rotação Duplas'!H69="-",0,'🔄 Rotação Duplas'!H69),IF('⚙️ Configuração'!C32='🔄 Rotação Duplas'!D69,IF('🔄 Rotação Duplas'!I69="-",0,'🔄 Rotação Duplas'!I69),0))+IF('⚙️ Configuração'!C32='🔄 Rotação Duplas'!C70,IF('🔄 Rotação Duplas'!H70="-",0,'🔄 Rotação Duplas'!H70),IF('⚙️ Configuração'!C32='🔄 Rotação Duplas'!D70,IF('🔄 Rotação Duplas'!I70="-",0,'🔄 Rotação Duplas'!I70),0))+IF('⚙️ Configuração'!C32='🔄 Rotação Duplas'!C71,IF('🔄 Rotação Duplas'!H71="-",0,'🔄 Rotação Duplas'!H71),IF('⚙️ Configuração'!C32='🔄 Rotação Duplas'!D71,IF('🔄 Rotação Duplas'!I71="-",0,'🔄 Rotação Duplas'!I71),0))+IF('⚙️ Configuração'!C32='🔄 Rotação Duplas'!C72,IF('🔄 Rotação Duplas'!H72="-",0,'🔄 Rotação Duplas'!H72),IF('⚙️ Configuração'!C32='🔄 Rotação Duplas'!D72,IF('🔄 Rotação Duplas'!I72="-",0,'🔄 Rotação Duplas'!I72),0))+IF('⚙️ Configuração'!C32='🔄 Rotação Duplas'!C73,IF('🔄 Rotação Duplas'!H73="-",0,'🔄 Rotação Duplas'!H73),IF('⚙️ Configuração'!C32='🔄 Rotação Duplas'!D73,IF('🔄 Rotação Duplas'!I73="-",0,'🔄 Rotação Duplas'!I73),0))</f>
        <v>0</v>
      </c>
      <c r="H8" s="63">
        <f>IF('⚙️ Configuração'!C32='🔄 Rotação Duplas'!C78,IF('🔄 Rotação Duplas'!H78="-",0,'🔄 Rotação Duplas'!H78),IF('⚙️ Configuração'!C32='🔄 Rotação Duplas'!D78,IF('🔄 Rotação Duplas'!I78="-",0,'🔄 Rotação Duplas'!I78),0))+IF('⚙️ Configuração'!C32='🔄 Rotação Duplas'!C79,IF('🔄 Rotação Duplas'!H79="-",0,'🔄 Rotação Duplas'!H79),IF('⚙️ Configuração'!C32='🔄 Rotação Duplas'!D79,IF('🔄 Rotação Duplas'!I79="-",0,'🔄 Rotação Duplas'!I79),0))+IF('⚙️ Configuração'!C32='🔄 Rotação Duplas'!C80,IF('🔄 Rotação Duplas'!H80="-",0,'🔄 Rotação Duplas'!H80),IF('⚙️ Configuração'!C32='🔄 Rotação Duplas'!D80,IF('🔄 Rotação Duplas'!I80="-",0,'🔄 Rotação Duplas'!I80),0))+IF('⚙️ Configuração'!C32='🔄 Rotação Duplas'!C81,IF('🔄 Rotação Duplas'!H81="-",0,'🔄 Rotação Duplas'!H81),IF('⚙️ Configuração'!C32='🔄 Rotação Duplas'!D81,IF('🔄 Rotação Duplas'!I81="-",0,'🔄 Rotação Duplas'!I81),0))+IF('⚙️ Configuração'!C32='🔄 Rotação Duplas'!C82,IF('🔄 Rotação Duplas'!H82="-",0,'🔄 Rotação Duplas'!H82),IF('⚙️ Configuração'!C32='🔄 Rotação Duplas'!D82,IF('🔄 Rotação Duplas'!I82="-",0,'🔄 Rotação Duplas'!I82),0))+IF('⚙️ Configuração'!C32='🔄 Rotação Duplas'!C83,IF('🔄 Rotação Duplas'!H83="-",0,'🔄 Rotação Duplas'!H83),IF('⚙️ Configuração'!C32='🔄 Rotação Duplas'!D83,IF('🔄 Rotação Duplas'!I83="-",0,'🔄 Rotação Duplas'!I83),0))+IF('⚙️ Configuração'!C32='🔄 Rotação Duplas'!C84,IF('🔄 Rotação Duplas'!H84="-",0,'🔄 Rotação Duplas'!H84),IF('⚙️ Configuração'!C32='🔄 Rotação Duplas'!D84,IF('🔄 Rotação Duplas'!I84="-",0,'🔄 Rotação Duplas'!I84),0))+IF('⚙️ Configuração'!C32='🔄 Rotação Duplas'!C85,IF('🔄 Rotação Duplas'!H85="-",0,'🔄 Rotação Duplas'!H85),IF('⚙️ Configuração'!C32='🔄 Rotação Duplas'!D85,IF('🔄 Rotação Duplas'!I85="-",0,'🔄 Rotação Duplas'!I85),0))+IF('⚙️ Configuração'!C32='🔄 Rotação Duplas'!C86,IF('🔄 Rotação Duplas'!H86="-",0,'🔄 Rotação Duplas'!H86),IF('⚙️ Configuração'!C32='🔄 Rotação Duplas'!D86,IF('🔄 Rotação Duplas'!I86="-",0,'🔄 Rotação Duplas'!I86),0))+IF('⚙️ Configuração'!C32='🔄 Rotação Duplas'!C87,IF('🔄 Rotação Duplas'!H87="-",0,'🔄 Rotação Duplas'!H87),IF('⚙️ Configuração'!C32='🔄 Rotação Duplas'!D87,IF('🔄 Rotação Duplas'!I87="-",0,'🔄 Rotação Duplas'!I87),0))</f>
        <v>0</v>
      </c>
      <c r="I8" s="63">
        <f>IF('⚙️ Configuração'!C32='🔄 Rotação Duplas'!C92,IF('🔄 Rotação Duplas'!H92="-",0,'🔄 Rotação Duplas'!H92),IF('⚙️ Configuração'!C32='🔄 Rotação Duplas'!D92,IF('🔄 Rotação Duplas'!I92="-",0,'🔄 Rotação Duplas'!I92),0))+IF('⚙️ Configuração'!C32='🔄 Rotação Duplas'!C93,IF('🔄 Rotação Duplas'!H93="-",0,'🔄 Rotação Duplas'!H93),IF('⚙️ Configuração'!C32='🔄 Rotação Duplas'!D93,IF('🔄 Rotação Duplas'!I93="-",0,'🔄 Rotação Duplas'!I93),0))+IF('⚙️ Configuração'!C32='🔄 Rotação Duplas'!C94,IF('🔄 Rotação Duplas'!H94="-",0,'🔄 Rotação Duplas'!H94),IF('⚙️ Configuração'!C32='🔄 Rotação Duplas'!D94,IF('🔄 Rotação Duplas'!I94="-",0,'🔄 Rotação Duplas'!I94),0))+IF('⚙️ Configuração'!C32='🔄 Rotação Duplas'!C95,IF('🔄 Rotação Duplas'!H95="-",0,'🔄 Rotação Duplas'!H95),IF('⚙️ Configuração'!C32='🔄 Rotação Duplas'!D95,IF('🔄 Rotação Duplas'!I95="-",0,'🔄 Rotação Duplas'!I95),0))+IF('⚙️ Configuração'!C32='🔄 Rotação Duplas'!C96,IF('🔄 Rotação Duplas'!H96="-",0,'🔄 Rotação Duplas'!H96),IF('⚙️ Configuração'!C32='🔄 Rotação Duplas'!D96,IF('🔄 Rotação Duplas'!I96="-",0,'🔄 Rotação Duplas'!I96),0))+IF('⚙️ Configuração'!C32='🔄 Rotação Duplas'!C97,IF('🔄 Rotação Duplas'!H97="-",0,'🔄 Rotação Duplas'!H97),IF('⚙️ Configuração'!C32='🔄 Rotação Duplas'!D97,IF('🔄 Rotação Duplas'!I97="-",0,'🔄 Rotação Duplas'!I97),0))+IF('⚙️ Configuração'!C32='🔄 Rotação Duplas'!C98,IF('🔄 Rotação Duplas'!H98="-",0,'🔄 Rotação Duplas'!H98),IF('⚙️ Configuração'!C32='🔄 Rotação Duplas'!D98,IF('🔄 Rotação Duplas'!I98="-",0,'🔄 Rotação Duplas'!I98),0))+IF('⚙️ Configuração'!C32='🔄 Rotação Duplas'!C99,IF('🔄 Rotação Duplas'!H99="-",0,'🔄 Rotação Duplas'!H99),IF('⚙️ Configuração'!C32='🔄 Rotação Duplas'!D99,IF('🔄 Rotação Duplas'!I99="-",0,'🔄 Rotação Duplas'!I99),0))+IF('⚙️ Configuração'!C32='🔄 Rotação Duplas'!C100,IF('🔄 Rotação Duplas'!H100="-",0,'🔄 Rotação Duplas'!H100),IF('⚙️ Configuração'!C32='🔄 Rotação Duplas'!D100,IF('🔄 Rotação Duplas'!I100="-",0,'🔄 Rotação Duplas'!I100),0))+IF('⚙️ Configuração'!C32='🔄 Rotação Duplas'!C101,IF('🔄 Rotação Duplas'!H101="-",0,'🔄 Rotação Duplas'!H101),IF('⚙️ Configuração'!C32='🔄 Rotação Duplas'!D101,IF('🔄 Rotação Duplas'!I101="-",0,'🔄 Rotação Duplas'!I101),0))</f>
        <v>0</v>
      </c>
      <c r="J8" s="63">
        <f>IF('⚙️ Configuração'!C32='🔄 Rotação Duplas'!C106,IF('🔄 Rotação Duplas'!H106="-",0,'🔄 Rotação Duplas'!H106),IF('⚙️ Configuração'!C32='🔄 Rotação Duplas'!D106,IF('🔄 Rotação Duplas'!I106="-",0,'🔄 Rotação Duplas'!I106),0))+IF('⚙️ Configuração'!C32='🔄 Rotação Duplas'!C107,IF('🔄 Rotação Duplas'!H107="-",0,'🔄 Rotação Duplas'!H107),IF('⚙️ Configuração'!C32='🔄 Rotação Duplas'!D107,IF('🔄 Rotação Duplas'!I107="-",0,'🔄 Rotação Duplas'!I107),0))+IF('⚙️ Configuração'!C32='🔄 Rotação Duplas'!C108,IF('🔄 Rotação Duplas'!H108="-",0,'🔄 Rotação Duplas'!H108),IF('⚙️ Configuração'!C32='🔄 Rotação Duplas'!D108,IF('🔄 Rotação Duplas'!I108="-",0,'🔄 Rotação Duplas'!I108),0))+IF('⚙️ Configuração'!C32='🔄 Rotação Duplas'!C109,IF('🔄 Rotação Duplas'!H109="-",0,'🔄 Rotação Duplas'!H109),IF('⚙️ Configuração'!C32='🔄 Rotação Duplas'!D109,IF('🔄 Rotação Duplas'!I109="-",0,'🔄 Rotação Duplas'!I109),0))+IF('⚙️ Configuração'!C32='🔄 Rotação Duplas'!C110,IF('🔄 Rotação Duplas'!H110="-",0,'🔄 Rotação Duplas'!H110),IF('⚙️ Configuração'!C32='🔄 Rotação Duplas'!D110,IF('🔄 Rotação Duplas'!I110="-",0,'🔄 Rotação Duplas'!I110),0))+IF('⚙️ Configuração'!C32='🔄 Rotação Duplas'!C111,IF('🔄 Rotação Duplas'!H111="-",0,'🔄 Rotação Duplas'!H111),IF('⚙️ Configuração'!C32='🔄 Rotação Duplas'!D111,IF('🔄 Rotação Duplas'!I111="-",0,'🔄 Rotação Duplas'!I111),0))+IF('⚙️ Configuração'!C32='🔄 Rotação Duplas'!C112,IF('🔄 Rotação Duplas'!H112="-",0,'🔄 Rotação Duplas'!H112),IF('⚙️ Configuração'!C32='🔄 Rotação Duplas'!D112,IF('🔄 Rotação Duplas'!I112="-",0,'🔄 Rotação Duplas'!I112),0))+IF('⚙️ Configuração'!C32='🔄 Rotação Duplas'!C113,IF('🔄 Rotação Duplas'!H113="-",0,'🔄 Rotação Duplas'!H113),IF('⚙️ Configuração'!C32='🔄 Rotação Duplas'!D113,IF('🔄 Rotação Duplas'!I113="-",0,'🔄 Rotação Duplas'!I113),0))+IF('⚙️ Configuração'!C32='🔄 Rotação Duplas'!C114,IF('🔄 Rotação Duplas'!H114="-",0,'🔄 Rotação Duplas'!H114),IF('⚙️ Configuração'!C32='🔄 Rotação Duplas'!D114,IF('🔄 Rotação Duplas'!I114="-",0,'🔄 Rotação Duplas'!I114),0))+IF('⚙️ Configuração'!C32='🔄 Rotação Duplas'!C115,IF('🔄 Rotação Duplas'!H115="-",0,'🔄 Rotação Duplas'!H115),IF('⚙️ Configuração'!C32='🔄 Rotação Duplas'!D115,IF('🔄 Rotação Duplas'!I115="-",0,'🔄 Rotação Duplas'!I115),0))</f>
        <v>0</v>
      </c>
      <c r="K8" s="64">
        <f t="shared" si="0"/>
        <v>56</v>
      </c>
      <c r="L8" s="65">
        <f>SUMIF('📋 Registo Diário'!$D$7:$D$646,'⚙️ Configuração'!C32,'📋 Registo Diário'!$Q$7:$Q$646)</f>
        <v>74</v>
      </c>
      <c r="M8" s="66">
        <f t="shared" si="1"/>
        <v>130</v>
      </c>
      <c r="N8" s="59"/>
      <c r="O8" s="67"/>
      <c r="P8" s="68"/>
    </row>
    <row r="9" spans="1:16" ht="21.75" customHeight="1" x14ac:dyDescent="0.2">
      <c r="A9" s="59"/>
      <c r="B9" s="4" t="str">
        <f>'⚙️ Configuração'!C33</f>
        <v>Helena Rocha</v>
      </c>
      <c r="C9" s="63">
        <f>IF('⚙️ Configuração'!C33='🔄 Rotação Duplas'!C8,IF('🔄 Rotação Duplas'!H8="-",0,'🔄 Rotação Duplas'!H8),IF('⚙️ Configuração'!C33='🔄 Rotação Duplas'!D8,IF('🔄 Rotação Duplas'!I8="-",0,'🔄 Rotação Duplas'!I8),0))+IF('⚙️ Configuração'!C33='🔄 Rotação Duplas'!C9,IF('🔄 Rotação Duplas'!H9="-",0,'🔄 Rotação Duplas'!H9),IF('⚙️ Configuração'!C33='🔄 Rotação Duplas'!D9,IF('🔄 Rotação Duplas'!I9="-",0,'🔄 Rotação Duplas'!I9),0))+IF('⚙️ Configuração'!C33='🔄 Rotação Duplas'!C10,IF('🔄 Rotação Duplas'!H10="-",0,'🔄 Rotação Duplas'!H10),IF('⚙️ Configuração'!C33='🔄 Rotação Duplas'!D10,IF('🔄 Rotação Duplas'!I10="-",0,'🔄 Rotação Duplas'!I10),0))+IF('⚙️ Configuração'!C33='🔄 Rotação Duplas'!C11,IF('🔄 Rotação Duplas'!H11="-",0,'🔄 Rotação Duplas'!H11),IF('⚙️ Configuração'!C33='🔄 Rotação Duplas'!D11,IF('🔄 Rotação Duplas'!I11="-",0,'🔄 Rotação Duplas'!I11),0))+IF('⚙️ Configuração'!C33='🔄 Rotação Duplas'!C12,IF('🔄 Rotação Duplas'!H12="-",0,'🔄 Rotação Duplas'!H12),IF('⚙️ Configuração'!C33='🔄 Rotação Duplas'!D12,IF('🔄 Rotação Duplas'!I12="-",0,'🔄 Rotação Duplas'!I12),0))+IF('⚙️ Configuração'!C33='🔄 Rotação Duplas'!C13,IF('🔄 Rotação Duplas'!H13="-",0,'🔄 Rotação Duplas'!H13),IF('⚙️ Configuração'!C33='🔄 Rotação Duplas'!D13,IF('🔄 Rotação Duplas'!I13="-",0,'🔄 Rotação Duplas'!I13),0))+IF('⚙️ Configuração'!C33='🔄 Rotação Duplas'!C14,IF('🔄 Rotação Duplas'!H14="-",0,'🔄 Rotação Duplas'!H14),IF('⚙️ Configuração'!C33='🔄 Rotação Duplas'!D14,IF('🔄 Rotação Duplas'!I14="-",0,'🔄 Rotação Duplas'!I14),0))+IF('⚙️ Configuração'!C33='🔄 Rotação Duplas'!C15,IF('🔄 Rotação Duplas'!H15="-",0,'🔄 Rotação Duplas'!H15),IF('⚙️ Configuração'!C33='🔄 Rotação Duplas'!D15,IF('🔄 Rotação Duplas'!I15="-",0,'🔄 Rotação Duplas'!I15),0))+IF('⚙️ Configuração'!C33='🔄 Rotação Duplas'!C16,IF('🔄 Rotação Duplas'!H16="-",0,'🔄 Rotação Duplas'!H16),IF('⚙️ Configuração'!C33='🔄 Rotação Duplas'!D16,IF('🔄 Rotação Duplas'!I16="-",0,'🔄 Rotação Duplas'!I16),0))+IF('⚙️ Configuração'!C33='🔄 Rotação Duplas'!C17,IF('🔄 Rotação Duplas'!H17="-",0,'🔄 Rotação Duplas'!H17),IF('⚙️ Configuração'!C33='🔄 Rotação Duplas'!D17,IF('🔄 Rotação Duplas'!I17="-",0,'🔄 Rotação Duplas'!I17),0))</f>
        <v>32</v>
      </c>
      <c r="D9" s="63">
        <f>IF('⚙️ Configuração'!C33='🔄 Rotação Duplas'!C22,IF('🔄 Rotação Duplas'!H22="-",0,'🔄 Rotação Duplas'!H22),IF('⚙️ Configuração'!C33='🔄 Rotação Duplas'!D22,IF('🔄 Rotação Duplas'!I22="-",0,'🔄 Rotação Duplas'!I22),0))+IF('⚙️ Configuração'!C33='🔄 Rotação Duplas'!C23,IF('🔄 Rotação Duplas'!H23="-",0,'🔄 Rotação Duplas'!H23),IF('⚙️ Configuração'!C33='🔄 Rotação Duplas'!D23,IF('🔄 Rotação Duplas'!I23="-",0,'🔄 Rotação Duplas'!I23),0))+IF('⚙️ Configuração'!C33='🔄 Rotação Duplas'!C24,IF('🔄 Rotação Duplas'!H24="-",0,'🔄 Rotação Duplas'!H24),IF('⚙️ Configuração'!C33='🔄 Rotação Duplas'!D24,IF('🔄 Rotação Duplas'!I24="-",0,'🔄 Rotação Duplas'!I24),0))+IF('⚙️ Configuração'!C33='🔄 Rotação Duplas'!C25,IF('🔄 Rotação Duplas'!H25="-",0,'🔄 Rotação Duplas'!H25),IF('⚙️ Configuração'!C33='🔄 Rotação Duplas'!D25,IF('🔄 Rotação Duplas'!I25="-",0,'🔄 Rotação Duplas'!I25),0))+IF('⚙️ Configuração'!C33='🔄 Rotação Duplas'!C26,IF('🔄 Rotação Duplas'!H26="-",0,'🔄 Rotação Duplas'!H26),IF('⚙️ Configuração'!C33='🔄 Rotação Duplas'!D26,IF('🔄 Rotação Duplas'!I26="-",0,'🔄 Rotação Duplas'!I26),0))+IF('⚙️ Configuração'!C33='🔄 Rotação Duplas'!C27,IF('🔄 Rotação Duplas'!H27="-",0,'🔄 Rotação Duplas'!H27),IF('⚙️ Configuração'!C33='🔄 Rotação Duplas'!D27,IF('🔄 Rotação Duplas'!I27="-",0,'🔄 Rotação Duplas'!I27),0))+IF('⚙️ Configuração'!C33='🔄 Rotação Duplas'!C28,IF('🔄 Rotação Duplas'!H28="-",0,'🔄 Rotação Duplas'!H28),IF('⚙️ Configuração'!C33='🔄 Rotação Duplas'!D28,IF('🔄 Rotação Duplas'!I28="-",0,'🔄 Rotação Duplas'!I28),0))+IF('⚙️ Configuração'!C33='🔄 Rotação Duplas'!C29,IF('🔄 Rotação Duplas'!H29="-",0,'🔄 Rotação Duplas'!H29),IF('⚙️ Configuração'!C33='🔄 Rotação Duplas'!D29,IF('🔄 Rotação Duplas'!I29="-",0,'🔄 Rotação Duplas'!I29),0))+IF('⚙️ Configuração'!C33='🔄 Rotação Duplas'!C30,IF('🔄 Rotação Duplas'!H30="-",0,'🔄 Rotação Duplas'!H30),IF('⚙️ Configuração'!C33='🔄 Rotação Duplas'!D30,IF('🔄 Rotação Duplas'!I30="-",0,'🔄 Rotação Duplas'!I30),0))+IF('⚙️ Configuração'!C33='🔄 Rotação Duplas'!C31,IF('🔄 Rotação Duplas'!H31="-",0,'🔄 Rotação Duplas'!H31),IF('⚙️ Configuração'!C33='🔄 Rotação Duplas'!D31,IF('🔄 Rotação Duplas'!I31="-",0,'🔄 Rotação Duplas'!I31),0))</f>
        <v>0</v>
      </c>
      <c r="E9" s="63">
        <f>IF('⚙️ Configuração'!C33='🔄 Rotação Duplas'!C36,IF('🔄 Rotação Duplas'!H36="-",0,'🔄 Rotação Duplas'!H36),IF('⚙️ Configuração'!C33='🔄 Rotação Duplas'!D36,IF('🔄 Rotação Duplas'!I36="-",0,'🔄 Rotação Duplas'!I36),0))+IF('⚙️ Configuração'!C33='🔄 Rotação Duplas'!C37,IF('🔄 Rotação Duplas'!H37="-",0,'🔄 Rotação Duplas'!H37),IF('⚙️ Configuração'!C33='🔄 Rotação Duplas'!D37,IF('🔄 Rotação Duplas'!I37="-",0,'🔄 Rotação Duplas'!I37),0))+IF('⚙️ Configuração'!C33='🔄 Rotação Duplas'!C38,IF('🔄 Rotação Duplas'!H38="-",0,'🔄 Rotação Duplas'!H38),IF('⚙️ Configuração'!C33='🔄 Rotação Duplas'!D38,IF('🔄 Rotação Duplas'!I38="-",0,'🔄 Rotação Duplas'!I38),0))+IF('⚙️ Configuração'!C33='🔄 Rotação Duplas'!C39,IF('🔄 Rotação Duplas'!H39="-",0,'🔄 Rotação Duplas'!H39),IF('⚙️ Configuração'!C33='🔄 Rotação Duplas'!D39,IF('🔄 Rotação Duplas'!I39="-",0,'🔄 Rotação Duplas'!I39),0))+IF('⚙️ Configuração'!C33='🔄 Rotação Duplas'!C40,IF('🔄 Rotação Duplas'!H40="-",0,'🔄 Rotação Duplas'!H40),IF('⚙️ Configuração'!C33='🔄 Rotação Duplas'!D40,IF('🔄 Rotação Duplas'!I40="-",0,'🔄 Rotação Duplas'!I40),0))+IF('⚙️ Configuração'!C33='🔄 Rotação Duplas'!C41,IF('🔄 Rotação Duplas'!H41="-",0,'🔄 Rotação Duplas'!H41),IF('⚙️ Configuração'!C33='🔄 Rotação Duplas'!D41,IF('🔄 Rotação Duplas'!I41="-",0,'🔄 Rotação Duplas'!I41),0))+IF('⚙️ Configuração'!C33='🔄 Rotação Duplas'!C42,IF('🔄 Rotação Duplas'!H42="-",0,'🔄 Rotação Duplas'!H42),IF('⚙️ Configuração'!C33='🔄 Rotação Duplas'!D42,IF('🔄 Rotação Duplas'!I42="-",0,'🔄 Rotação Duplas'!I42),0))+IF('⚙️ Configuração'!C33='🔄 Rotação Duplas'!C43,IF('🔄 Rotação Duplas'!H43="-",0,'🔄 Rotação Duplas'!H43),IF('⚙️ Configuração'!C33='🔄 Rotação Duplas'!D43,IF('🔄 Rotação Duplas'!I43="-",0,'🔄 Rotação Duplas'!I43),0))+IF('⚙️ Configuração'!C33='🔄 Rotação Duplas'!C44,IF('🔄 Rotação Duplas'!H44="-",0,'🔄 Rotação Duplas'!H44),IF('⚙️ Configuração'!C33='🔄 Rotação Duplas'!D44,IF('🔄 Rotação Duplas'!I44="-",0,'🔄 Rotação Duplas'!I44),0))+IF('⚙️ Configuração'!C33='🔄 Rotação Duplas'!C45,IF('🔄 Rotação Duplas'!H45="-",0,'🔄 Rotação Duplas'!H45),IF('⚙️ Configuração'!C33='🔄 Rotação Duplas'!D45,IF('🔄 Rotação Duplas'!I45="-",0,'🔄 Rotação Duplas'!I45),0))</f>
        <v>0</v>
      </c>
      <c r="F9" s="63">
        <f>IF('⚙️ Configuração'!C33='🔄 Rotação Duplas'!C50,IF('🔄 Rotação Duplas'!H50="-",0,'🔄 Rotação Duplas'!H50),IF('⚙️ Configuração'!C33='🔄 Rotação Duplas'!D50,IF('🔄 Rotação Duplas'!I50="-",0,'🔄 Rotação Duplas'!I50),0))+IF('⚙️ Configuração'!C33='🔄 Rotação Duplas'!C51,IF('🔄 Rotação Duplas'!H51="-",0,'🔄 Rotação Duplas'!H51),IF('⚙️ Configuração'!C33='🔄 Rotação Duplas'!D51,IF('🔄 Rotação Duplas'!I51="-",0,'🔄 Rotação Duplas'!I51),0))+IF('⚙️ Configuração'!C33='🔄 Rotação Duplas'!C52,IF('🔄 Rotação Duplas'!H52="-",0,'🔄 Rotação Duplas'!H52),IF('⚙️ Configuração'!C33='🔄 Rotação Duplas'!D52,IF('🔄 Rotação Duplas'!I52="-",0,'🔄 Rotação Duplas'!I52),0))+IF('⚙️ Configuração'!C33='🔄 Rotação Duplas'!C53,IF('🔄 Rotação Duplas'!H53="-",0,'🔄 Rotação Duplas'!H53),IF('⚙️ Configuração'!C33='🔄 Rotação Duplas'!D53,IF('🔄 Rotação Duplas'!I53="-",0,'🔄 Rotação Duplas'!I53),0))+IF('⚙️ Configuração'!C33='🔄 Rotação Duplas'!C54,IF('🔄 Rotação Duplas'!H54="-",0,'🔄 Rotação Duplas'!H54),IF('⚙️ Configuração'!C33='🔄 Rotação Duplas'!D54,IF('🔄 Rotação Duplas'!I54="-",0,'🔄 Rotação Duplas'!I54),0))+IF('⚙️ Configuração'!C33='🔄 Rotação Duplas'!C55,IF('🔄 Rotação Duplas'!H55="-",0,'🔄 Rotação Duplas'!H55),IF('⚙️ Configuração'!C33='🔄 Rotação Duplas'!D55,IF('🔄 Rotação Duplas'!I55="-",0,'🔄 Rotação Duplas'!I55),0))+IF('⚙️ Configuração'!C33='🔄 Rotação Duplas'!C56,IF('🔄 Rotação Duplas'!H56="-",0,'🔄 Rotação Duplas'!H56),IF('⚙️ Configuração'!C33='🔄 Rotação Duplas'!D56,IF('🔄 Rotação Duplas'!I56="-",0,'🔄 Rotação Duplas'!I56),0))+IF('⚙️ Configuração'!C33='🔄 Rotação Duplas'!C57,IF('🔄 Rotação Duplas'!H57="-",0,'🔄 Rotação Duplas'!H57),IF('⚙️ Configuração'!C33='🔄 Rotação Duplas'!D57,IF('🔄 Rotação Duplas'!I57="-",0,'🔄 Rotação Duplas'!I57),0))+IF('⚙️ Configuração'!C33='🔄 Rotação Duplas'!C58,IF('🔄 Rotação Duplas'!H58="-",0,'🔄 Rotação Duplas'!H58),IF('⚙️ Configuração'!C33='🔄 Rotação Duplas'!D58,IF('🔄 Rotação Duplas'!I58="-",0,'🔄 Rotação Duplas'!I58),0))+IF('⚙️ Configuração'!C33='🔄 Rotação Duplas'!C59,IF('🔄 Rotação Duplas'!H59="-",0,'🔄 Rotação Duplas'!H59),IF('⚙️ Configuração'!C33='🔄 Rotação Duplas'!D59,IF('🔄 Rotação Duplas'!I59="-",0,'🔄 Rotação Duplas'!I59),0))</f>
        <v>0</v>
      </c>
      <c r="G9" s="63">
        <f>IF('⚙️ Configuração'!C33='🔄 Rotação Duplas'!C64,IF('🔄 Rotação Duplas'!H64="-",0,'🔄 Rotação Duplas'!H64),IF('⚙️ Configuração'!C33='🔄 Rotação Duplas'!D64,IF('🔄 Rotação Duplas'!I64="-",0,'🔄 Rotação Duplas'!I64),0))+IF('⚙️ Configuração'!C33='🔄 Rotação Duplas'!C65,IF('🔄 Rotação Duplas'!H65="-",0,'🔄 Rotação Duplas'!H65),IF('⚙️ Configuração'!C33='🔄 Rotação Duplas'!D65,IF('🔄 Rotação Duplas'!I65="-",0,'🔄 Rotação Duplas'!I65),0))+IF('⚙️ Configuração'!C33='🔄 Rotação Duplas'!C66,IF('🔄 Rotação Duplas'!H66="-",0,'🔄 Rotação Duplas'!H66),IF('⚙️ Configuração'!C33='🔄 Rotação Duplas'!D66,IF('🔄 Rotação Duplas'!I66="-",0,'🔄 Rotação Duplas'!I66),0))+IF('⚙️ Configuração'!C33='🔄 Rotação Duplas'!C67,IF('🔄 Rotação Duplas'!H67="-",0,'🔄 Rotação Duplas'!H67),IF('⚙️ Configuração'!C33='🔄 Rotação Duplas'!D67,IF('🔄 Rotação Duplas'!I67="-",0,'🔄 Rotação Duplas'!I67),0))+IF('⚙️ Configuração'!C33='🔄 Rotação Duplas'!C68,IF('🔄 Rotação Duplas'!H68="-",0,'🔄 Rotação Duplas'!H68),IF('⚙️ Configuração'!C33='🔄 Rotação Duplas'!D68,IF('🔄 Rotação Duplas'!I68="-",0,'🔄 Rotação Duplas'!I68),0))+IF('⚙️ Configuração'!C33='🔄 Rotação Duplas'!C69,IF('🔄 Rotação Duplas'!H69="-",0,'🔄 Rotação Duplas'!H69),IF('⚙️ Configuração'!C33='🔄 Rotação Duplas'!D69,IF('🔄 Rotação Duplas'!I69="-",0,'🔄 Rotação Duplas'!I69),0))+IF('⚙️ Configuração'!C33='🔄 Rotação Duplas'!C70,IF('🔄 Rotação Duplas'!H70="-",0,'🔄 Rotação Duplas'!H70),IF('⚙️ Configuração'!C33='🔄 Rotação Duplas'!D70,IF('🔄 Rotação Duplas'!I70="-",0,'🔄 Rotação Duplas'!I70),0))+IF('⚙️ Configuração'!C33='🔄 Rotação Duplas'!C71,IF('🔄 Rotação Duplas'!H71="-",0,'🔄 Rotação Duplas'!H71),IF('⚙️ Configuração'!C33='🔄 Rotação Duplas'!D71,IF('🔄 Rotação Duplas'!I71="-",0,'🔄 Rotação Duplas'!I71),0))+IF('⚙️ Configuração'!C33='🔄 Rotação Duplas'!C72,IF('🔄 Rotação Duplas'!H72="-",0,'🔄 Rotação Duplas'!H72),IF('⚙️ Configuração'!C33='🔄 Rotação Duplas'!D72,IF('🔄 Rotação Duplas'!I72="-",0,'🔄 Rotação Duplas'!I72),0))+IF('⚙️ Configuração'!C33='🔄 Rotação Duplas'!C73,IF('🔄 Rotação Duplas'!H73="-",0,'🔄 Rotação Duplas'!H73),IF('⚙️ Configuração'!C33='🔄 Rotação Duplas'!D73,IF('🔄 Rotação Duplas'!I73="-",0,'🔄 Rotação Duplas'!I73),0))</f>
        <v>0</v>
      </c>
      <c r="H9" s="63">
        <f>IF('⚙️ Configuração'!C33='🔄 Rotação Duplas'!C78,IF('🔄 Rotação Duplas'!H78="-",0,'🔄 Rotação Duplas'!H78),IF('⚙️ Configuração'!C33='🔄 Rotação Duplas'!D78,IF('🔄 Rotação Duplas'!I78="-",0,'🔄 Rotação Duplas'!I78),0))+IF('⚙️ Configuração'!C33='🔄 Rotação Duplas'!C79,IF('🔄 Rotação Duplas'!H79="-",0,'🔄 Rotação Duplas'!H79),IF('⚙️ Configuração'!C33='🔄 Rotação Duplas'!D79,IF('🔄 Rotação Duplas'!I79="-",0,'🔄 Rotação Duplas'!I79),0))+IF('⚙️ Configuração'!C33='🔄 Rotação Duplas'!C80,IF('🔄 Rotação Duplas'!H80="-",0,'🔄 Rotação Duplas'!H80),IF('⚙️ Configuração'!C33='🔄 Rotação Duplas'!D80,IF('🔄 Rotação Duplas'!I80="-",0,'🔄 Rotação Duplas'!I80),0))+IF('⚙️ Configuração'!C33='🔄 Rotação Duplas'!C81,IF('🔄 Rotação Duplas'!H81="-",0,'🔄 Rotação Duplas'!H81),IF('⚙️ Configuração'!C33='🔄 Rotação Duplas'!D81,IF('🔄 Rotação Duplas'!I81="-",0,'🔄 Rotação Duplas'!I81),0))+IF('⚙️ Configuração'!C33='🔄 Rotação Duplas'!C82,IF('🔄 Rotação Duplas'!H82="-",0,'🔄 Rotação Duplas'!H82),IF('⚙️ Configuração'!C33='🔄 Rotação Duplas'!D82,IF('🔄 Rotação Duplas'!I82="-",0,'🔄 Rotação Duplas'!I82),0))+IF('⚙️ Configuração'!C33='🔄 Rotação Duplas'!C83,IF('🔄 Rotação Duplas'!H83="-",0,'🔄 Rotação Duplas'!H83),IF('⚙️ Configuração'!C33='🔄 Rotação Duplas'!D83,IF('🔄 Rotação Duplas'!I83="-",0,'🔄 Rotação Duplas'!I83),0))+IF('⚙️ Configuração'!C33='🔄 Rotação Duplas'!C84,IF('🔄 Rotação Duplas'!H84="-",0,'🔄 Rotação Duplas'!H84),IF('⚙️ Configuração'!C33='🔄 Rotação Duplas'!D84,IF('🔄 Rotação Duplas'!I84="-",0,'🔄 Rotação Duplas'!I84),0))+IF('⚙️ Configuração'!C33='🔄 Rotação Duplas'!C85,IF('🔄 Rotação Duplas'!H85="-",0,'🔄 Rotação Duplas'!H85),IF('⚙️ Configuração'!C33='🔄 Rotação Duplas'!D85,IF('🔄 Rotação Duplas'!I85="-",0,'🔄 Rotação Duplas'!I85),0))+IF('⚙️ Configuração'!C33='🔄 Rotação Duplas'!C86,IF('🔄 Rotação Duplas'!H86="-",0,'🔄 Rotação Duplas'!H86),IF('⚙️ Configuração'!C33='🔄 Rotação Duplas'!D86,IF('🔄 Rotação Duplas'!I86="-",0,'🔄 Rotação Duplas'!I86),0))+IF('⚙️ Configuração'!C33='🔄 Rotação Duplas'!C87,IF('🔄 Rotação Duplas'!H87="-",0,'🔄 Rotação Duplas'!H87),IF('⚙️ Configuração'!C33='🔄 Rotação Duplas'!D87,IF('🔄 Rotação Duplas'!I87="-",0,'🔄 Rotação Duplas'!I87),0))</f>
        <v>0</v>
      </c>
      <c r="I9" s="63">
        <f>IF('⚙️ Configuração'!C33='🔄 Rotação Duplas'!C92,IF('🔄 Rotação Duplas'!H92="-",0,'🔄 Rotação Duplas'!H92),IF('⚙️ Configuração'!C33='🔄 Rotação Duplas'!D92,IF('🔄 Rotação Duplas'!I92="-",0,'🔄 Rotação Duplas'!I92),0))+IF('⚙️ Configuração'!C33='🔄 Rotação Duplas'!C93,IF('🔄 Rotação Duplas'!H93="-",0,'🔄 Rotação Duplas'!H93),IF('⚙️ Configuração'!C33='🔄 Rotação Duplas'!D93,IF('🔄 Rotação Duplas'!I93="-",0,'🔄 Rotação Duplas'!I93),0))+IF('⚙️ Configuração'!C33='🔄 Rotação Duplas'!C94,IF('🔄 Rotação Duplas'!H94="-",0,'🔄 Rotação Duplas'!H94),IF('⚙️ Configuração'!C33='🔄 Rotação Duplas'!D94,IF('🔄 Rotação Duplas'!I94="-",0,'🔄 Rotação Duplas'!I94),0))+IF('⚙️ Configuração'!C33='🔄 Rotação Duplas'!C95,IF('🔄 Rotação Duplas'!H95="-",0,'🔄 Rotação Duplas'!H95),IF('⚙️ Configuração'!C33='🔄 Rotação Duplas'!D95,IF('🔄 Rotação Duplas'!I95="-",0,'🔄 Rotação Duplas'!I95),0))+IF('⚙️ Configuração'!C33='🔄 Rotação Duplas'!C96,IF('🔄 Rotação Duplas'!H96="-",0,'🔄 Rotação Duplas'!H96),IF('⚙️ Configuração'!C33='🔄 Rotação Duplas'!D96,IF('🔄 Rotação Duplas'!I96="-",0,'🔄 Rotação Duplas'!I96),0))+IF('⚙️ Configuração'!C33='🔄 Rotação Duplas'!C97,IF('🔄 Rotação Duplas'!H97="-",0,'🔄 Rotação Duplas'!H97),IF('⚙️ Configuração'!C33='🔄 Rotação Duplas'!D97,IF('🔄 Rotação Duplas'!I97="-",0,'🔄 Rotação Duplas'!I97),0))+IF('⚙️ Configuração'!C33='🔄 Rotação Duplas'!C98,IF('🔄 Rotação Duplas'!H98="-",0,'🔄 Rotação Duplas'!H98),IF('⚙️ Configuração'!C33='🔄 Rotação Duplas'!D98,IF('🔄 Rotação Duplas'!I98="-",0,'🔄 Rotação Duplas'!I98),0))+IF('⚙️ Configuração'!C33='🔄 Rotação Duplas'!C99,IF('🔄 Rotação Duplas'!H99="-",0,'🔄 Rotação Duplas'!H99),IF('⚙️ Configuração'!C33='🔄 Rotação Duplas'!D99,IF('🔄 Rotação Duplas'!I99="-",0,'🔄 Rotação Duplas'!I99),0))+IF('⚙️ Configuração'!C33='🔄 Rotação Duplas'!C100,IF('🔄 Rotação Duplas'!H100="-",0,'🔄 Rotação Duplas'!H100),IF('⚙️ Configuração'!C33='🔄 Rotação Duplas'!D100,IF('🔄 Rotação Duplas'!I100="-",0,'🔄 Rotação Duplas'!I100),0))+IF('⚙️ Configuração'!C33='🔄 Rotação Duplas'!C101,IF('🔄 Rotação Duplas'!H101="-",0,'🔄 Rotação Duplas'!H101),IF('⚙️ Configuração'!C33='🔄 Rotação Duplas'!D101,IF('🔄 Rotação Duplas'!I101="-",0,'🔄 Rotação Duplas'!I101),0))</f>
        <v>0</v>
      </c>
      <c r="J9" s="63">
        <f>IF('⚙️ Configuração'!C33='🔄 Rotação Duplas'!C106,IF('🔄 Rotação Duplas'!H106="-",0,'🔄 Rotação Duplas'!H106),IF('⚙️ Configuração'!C33='🔄 Rotação Duplas'!D106,IF('🔄 Rotação Duplas'!I106="-",0,'🔄 Rotação Duplas'!I106),0))+IF('⚙️ Configuração'!C33='🔄 Rotação Duplas'!C107,IF('🔄 Rotação Duplas'!H107="-",0,'🔄 Rotação Duplas'!H107),IF('⚙️ Configuração'!C33='🔄 Rotação Duplas'!D107,IF('🔄 Rotação Duplas'!I107="-",0,'🔄 Rotação Duplas'!I107),0))+IF('⚙️ Configuração'!C33='🔄 Rotação Duplas'!C108,IF('🔄 Rotação Duplas'!H108="-",0,'🔄 Rotação Duplas'!H108),IF('⚙️ Configuração'!C33='🔄 Rotação Duplas'!D108,IF('🔄 Rotação Duplas'!I108="-",0,'🔄 Rotação Duplas'!I108),0))+IF('⚙️ Configuração'!C33='🔄 Rotação Duplas'!C109,IF('🔄 Rotação Duplas'!H109="-",0,'🔄 Rotação Duplas'!H109),IF('⚙️ Configuração'!C33='🔄 Rotação Duplas'!D109,IF('🔄 Rotação Duplas'!I109="-",0,'🔄 Rotação Duplas'!I109),0))+IF('⚙️ Configuração'!C33='🔄 Rotação Duplas'!C110,IF('🔄 Rotação Duplas'!H110="-",0,'🔄 Rotação Duplas'!H110),IF('⚙️ Configuração'!C33='🔄 Rotação Duplas'!D110,IF('🔄 Rotação Duplas'!I110="-",0,'🔄 Rotação Duplas'!I110),0))+IF('⚙️ Configuração'!C33='🔄 Rotação Duplas'!C111,IF('🔄 Rotação Duplas'!H111="-",0,'🔄 Rotação Duplas'!H111),IF('⚙️ Configuração'!C33='🔄 Rotação Duplas'!D111,IF('🔄 Rotação Duplas'!I111="-",0,'🔄 Rotação Duplas'!I111),0))+IF('⚙️ Configuração'!C33='🔄 Rotação Duplas'!C112,IF('🔄 Rotação Duplas'!H112="-",0,'🔄 Rotação Duplas'!H112),IF('⚙️ Configuração'!C33='🔄 Rotação Duplas'!D112,IF('🔄 Rotação Duplas'!I112="-",0,'🔄 Rotação Duplas'!I112),0))+IF('⚙️ Configuração'!C33='🔄 Rotação Duplas'!C113,IF('🔄 Rotação Duplas'!H113="-",0,'🔄 Rotação Duplas'!H113),IF('⚙️ Configuração'!C33='🔄 Rotação Duplas'!D113,IF('🔄 Rotação Duplas'!I113="-",0,'🔄 Rotação Duplas'!I113),0))+IF('⚙️ Configuração'!C33='🔄 Rotação Duplas'!C114,IF('🔄 Rotação Duplas'!H114="-",0,'🔄 Rotação Duplas'!H114),IF('⚙️ Configuração'!C33='🔄 Rotação Duplas'!D114,IF('🔄 Rotação Duplas'!I114="-",0,'🔄 Rotação Duplas'!I114),0))+IF('⚙️ Configuração'!C33='🔄 Rotação Duplas'!C115,IF('🔄 Rotação Duplas'!H115="-",0,'🔄 Rotação Duplas'!H115),IF('⚙️ Configuração'!C33='🔄 Rotação Duplas'!D115,IF('🔄 Rotação Duplas'!I115="-",0,'🔄 Rotação Duplas'!I115),0))</f>
        <v>0</v>
      </c>
      <c r="K9" s="64">
        <f t="shared" si="0"/>
        <v>32</v>
      </c>
      <c r="L9" s="65">
        <f>SUMIF('📋 Registo Diário'!$D$7:$D$646,'⚙️ Configuração'!C33,'📋 Registo Diário'!$Q$7:$Q$646)</f>
        <v>40</v>
      </c>
      <c r="M9" s="66">
        <f t="shared" si="1"/>
        <v>72</v>
      </c>
      <c r="N9" s="59"/>
      <c r="O9" s="67"/>
      <c r="P9" s="68"/>
    </row>
    <row r="10" spans="1:16" ht="21.75" customHeight="1" x14ac:dyDescent="0.2">
      <c r="A10" s="59"/>
      <c r="B10" s="13" t="str">
        <f>'⚙️ Configuração'!C34</f>
        <v>João Xavier</v>
      </c>
      <c r="C10" s="63">
        <f>IF('⚙️ Configuração'!C34='🔄 Rotação Duplas'!C8,IF('🔄 Rotação Duplas'!H8="-",0,'🔄 Rotação Duplas'!H8),IF('⚙️ Configuração'!C34='🔄 Rotação Duplas'!D8,IF('🔄 Rotação Duplas'!I8="-",0,'🔄 Rotação Duplas'!I8),0))+IF('⚙️ Configuração'!C34='🔄 Rotação Duplas'!C9,IF('🔄 Rotação Duplas'!H9="-",0,'🔄 Rotação Duplas'!H9),IF('⚙️ Configuração'!C34='🔄 Rotação Duplas'!D9,IF('🔄 Rotação Duplas'!I9="-",0,'🔄 Rotação Duplas'!I9),0))+IF('⚙️ Configuração'!C34='🔄 Rotação Duplas'!C10,IF('🔄 Rotação Duplas'!H10="-",0,'🔄 Rotação Duplas'!H10),IF('⚙️ Configuração'!C34='🔄 Rotação Duplas'!D10,IF('🔄 Rotação Duplas'!I10="-",0,'🔄 Rotação Duplas'!I10),0))+IF('⚙️ Configuração'!C34='🔄 Rotação Duplas'!C11,IF('🔄 Rotação Duplas'!H11="-",0,'🔄 Rotação Duplas'!H11),IF('⚙️ Configuração'!C34='🔄 Rotação Duplas'!D11,IF('🔄 Rotação Duplas'!I11="-",0,'🔄 Rotação Duplas'!I11),0))+IF('⚙️ Configuração'!C34='🔄 Rotação Duplas'!C12,IF('🔄 Rotação Duplas'!H12="-",0,'🔄 Rotação Duplas'!H12),IF('⚙️ Configuração'!C34='🔄 Rotação Duplas'!D12,IF('🔄 Rotação Duplas'!I12="-",0,'🔄 Rotação Duplas'!I12),0))+IF('⚙️ Configuração'!C34='🔄 Rotação Duplas'!C13,IF('🔄 Rotação Duplas'!H13="-",0,'🔄 Rotação Duplas'!H13),IF('⚙️ Configuração'!C34='🔄 Rotação Duplas'!D13,IF('🔄 Rotação Duplas'!I13="-",0,'🔄 Rotação Duplas'!I13),0))+IF('⚙️ Configuração'!C34='🔄 Rotação Duplas'!C14,IF('🔄 Rotação Duplas'!H14="-",0,'🔄 Rotação Duplas'!H14),IF('⚙️ Configuração'!C34='🔄 Rotação Duplas'!D14,IF('🔄 Rotação Duplas'!I14="-",0,'🔄 Rotação Duplas'!I14),0))+IF('⚙️ Configuração'!C34='🔄 Rotação Duplas'!C15,IF('🔄 Rotação Duplas'!H15="-",0,'🔄 Rotação Duplas'!H15),IF('⚙️ Configuração'!C34='🔄 Rotação Duplas'!D15,IF('🔄 Rotação Duplas'!I15="-",0,'🔄 Rotação Duplas'!I15),0))+IF('⚙️ Configuração'!C34='🔄 Rotação Duplas'!C16,IF('🔄 Rotação Duplas'!H16="-",0,'🔄 Rotação Duplas'!H16),IF('⚙️ Configuração'!C34='🔄 Rotação Duplas'!D16,IF('🔄 Rotação Duplas'!I16="-",0,'🔄 Rotação Duplas'!I16),0))+IF('⚙️ Configuração'!C34='🔄 Rotação Duplas'!C17,IF('🔄 Rotação Duplas'!H17="-",0,'🔄 Rotação Duplas'!H17),IF('⚙️ Configuração'!C34='🔄 Rotação Duplas'!D17,IF('🔄 Rotação Duplas'!I17="-",0,'🔄 Rotação Duplas'!I17),0))</f>
        <v>68</v>
      </c>
      <c r="D10" s="63">
        <f>IF('⚙️ Configuração'!C34='🔄 Rotação Duplas'!C22,IF('🔄 Rotação Duplas'!H22="-",0,'🔄 Rotação Duplas'!H22),IF('⚙️ Configuração'!C34='🔄 Rotação Duplas'!D22,IF('🔄 Rotação Duplas'!I22="-",0,'🔄 Rotação Duplas'!I22),0))+IF('⚙️ Configuração'!C34='🔄 Rotação Duplas'!C23,IF('🔄 Rotação Duplas'!H23="-",0,'🔄 Rotação Duplas'!H23),IF('⚙️ Configuração'!C34='🔄 Rotação Duplas'!D23,IF('🔄 Rotação Duplas'!I23="-",0,'🔄 Rotação Duplas'!I23),0))+IF('⚙️ Configuração'!C34='🔄 Rotação Duplas'!C24,IF('🔄 Rotação Duplas'!H24="-",0,'🔄 Rotação Duplas'!H24),IF('⚙️ Configuração'!C34='🔄 Rotação Duplas'!D24,IF('🔄 Rotação Duplas'!I24="-",0,'🔄 Rotação Duplas'!I24),0))+IF('⚙️ Configuração'!C34='🔄 Rotação Duplas'!C25,IF('🔄 Rotação Duplas'!H25="-",0,'🔄 Rotação Duplas'!H25),IF('⚙️ Configuração'!C34='🔄 Rotação Duplas'!D25,IF('🔄 Rotação Duplas'!I25="-",0,'🔄 Rotação Duplas'!I25),0))+IF('⚙️ Configuração'!C34='🔄 Rotação Duplas'!C26,IF('🔄 Rotação Duplas'!H26="-",0,'🔄 Rotação Duplas'!H26),IF('⚙️ Configuração'!C34='🔄 Rotação Duplas'!D26,IF('🔄 Rotação Duplas'!I26="-",0,'🔄 Rotação Duplas'!I26),0))+IF('⚙️ Configuração'!C34='🔄 Rotação Duplas'!C27,IF('🔄 Rotação Duplas'!H27="-",0,'🔄 Rotação Duplas'!H27),IF('⚙️ Configuração'!C34='🔄 Rotação Duplas'!D27,IF('🔄 Rotação Duplas'!I27="-",0,'🔄 Rotação Duplas'!I27),0))+IF('⚙️ Configuração'!C34='🔄 Rotação Duplas'!C28,IF('🔄 Rotação Duplas'!H28="-",0,'🔄 Rotação Duplas'!H28),IF('⚙️ Configuração'!C34='🔄 Rotação Duplas'!D28,IF('🔄 Rotação Duplas'!I28="-",0,'🔄 Rotação Duplas'!I28),0))+IF('⚙️ Configuração'!C34='🔄 Rotação Duplas'!C29,IF('🔄 Rotação Duplas'!H29="-",0,'🔄 Rotação Duplas'!H29),IF('⚙️ Configuração'!C34='🔄 Rotação Duplas'!D29,IF('🔄 Rotação Duplas'!I29="-",0,'🔄 Rotação Duplas'!I29),0))+IF('⚙️ Configuração'!C34='🔄 Rotação Duplas'!C30,IF('🔄 Rotação Duplas'!H30="-",0,'🔄 Rotação Duplas'!H30),IF('⚙️ Configuração'!C34='🔄 Rotação Duplas'!D30,IF('🔄 Rotação Duplas'!I30="-",0,'🔄 Rotação Duplas'!I30),0))+IF('⚙️ Configuração'!C34='🔄 Rotação Duplas'!C31,IF('🔄 Rotação Duplas'!H31="-",0,'🔄 Rotação Duplas'!H31),IF('⚙️ Configuração'!C34='🔄 Rotação Duplas'!D31,IF('🔄 Rotação Duplas'!I31="-",0,'🔄 Rotação Duplas'!I31),0))</f>
        <v>0</v>
      </c>
      <c r="E10" s="63">
        <f>IF('⚙️ Configuração'!C34='🔄 Rotação Duplas'!C36,IF('🔄 Rotação Duplas'!H36="-",0,'🔄 Rotação Duplas'!H36),IF('⚙️ Configuração'!C34='🔄 Rotação Duplas'!D36,IF('🔄 Rotação Duplas'!I36="-",0,'🔄 Rotação Duplas'!I36),0))+IF('⚙️ Configuração'!C34='🔄 Rotação Duplas'!C37,IF('🔄 Rotação Duplas'!H37="-",0,'🔄 Rotação Duplas'!H37),IF('⚙️ Configuração'!C34='🔄 Rotação Duplas'!D37,IF('🔄 Rotação Duplas'!I37="-",0,'🔄 Rotação Duplas'!I37),0))+IF('⚙️ Configuração'!C34='🔄 Rotação Duplas'!C38,IF('🔄 Rotação Duplas'!H38="-",0,'🔄 Rotação Duplas'!H38),IF('⚙️ Configuração'!C34='🔄 Rotação Duplas'!D38,IF('🔄 Rotação Duplas'!I38="-",0,'🔄 Rotação Duplas'!I38),0))+IF('⚙️ Configuração'!C34='🔄 Rotação Duplas'!C39,IF('🔄 Rotação Duplas'!H39="-",0,'🔄 Rotação Duplas'!H39),IF('⚙️ Configuração'!C34='🔄 Rotação Duplas'!D39,IF('🔄 Rotação Duplas'!I39="-",0,'🔄 Rotação Duplas'!I39),0))+IF('⚙️ Configuração'!C34='🔄 Rotação Duplas'!C40,IF('🔄 Rotação Duplas'!H40="-",0,'🔄 Rotação Duplas'!H40),IF('⚙️ Configuração'!C34='🔄 Rotação Duplas'!D40,IF('🔄 Rotação Duplas'!I40="-",0,'🔄 Rotação Duplas'!I40),0))+IF('⚙️ Configuração'!C34='🔄 Rotação Duplas'!C41,IF('🔄 Rotação Duplas'!H41="-",0,'🔄 Rotação Duplas'!H41),IF('⚙️ Configuração'!C34='🔄 Rotação Duplas'!D41,IF('🔄 Rotação Duplas'!I41="-",0,'🔄 Rotação Duplas'!I41),0))+IF('⚙️ Configuração'!C34='🔄 Rotação Duplas'!C42,IF('🔄 Rotação Duplas'!H42="-",0,'🔄 Rotação Duplas'!H42),IF('⚙️ Configuração'!C34='🔄 Rotação Duplas'!D42,IF('🔄 Rotação Duplas'!I42="-",0,'🔄 Rotação Duplas'!I42),0))+IF('⚙️ Configuração'!C34='🔄 Rotação Duplas'!C43,IF('🔄 Rotação Duplas'!H43="-",0,'🔄 Rotação Duplas'!H43),IF('⚙️ Configuração'!C34='🔄 Rotação Duplas'!D43,IF('🔄 Rotação Duplas'!I43="-",0,'🔄 Rotação Duplas'!I43),0))+IF('⚙️ Configuração'!C34='🔄 Rotação Duplas'!C44,IF('🔄 Rotação Duplas'!H44="-",0,'🔄 Rotação Duplas'!H44),IF('⚙️ Configuração'!C34='🔄 Rotação Duplas'!D44,IF('🔄 Rotação Duplas'!I44="-",0,'🔄 Rotação Duplas'!I44),0))+IF('⚙️ Configuração'!C34='🔄 Rotação Duplas'!C45,IF('🔄 Rotação Duplas'!H45="-",0,'🔄 Rotação Duplas'!H45),IF('⚙️ Configuração'!C34='🔄 Rotação Duplas'!D45,IF('🔄 Rotação Duplas'!I45="-",0,'🔄 Rotação Duplas'!I45),0))</f>
        <v>0</v>
      </c>
      <c r="F10" s="63">
        <f>IF('⚙️ Configuração'!C34='🔄 Rotação Duplas'!C50,IF('🔄 Rotação Duplas'!H50="-",0,'🔄 Rotação Duplas'!H50),IF('⚙️ Configuração'!C34='🔄 Rotação Duplas'!D50,IF('🔄 Rotação Duplas'!I50="-",0,'🔄 Rotação Duplas'!I50),0))+IF('⚙️ Configuração'!C34='🔄 Rotação Duplas'!C51,IF('🔄 Rotação Duplas'!H51="-",0,'🔄 Rotação Duplas'!H51),IF('⚙️ Configuração'!C34='🔄 Rotação Duplas'!D51,IF('🔄 Rotação Duplas'!I51="-",0,'🔄 Rotação Duplas'!I51),0))+IF('⚙️ Configuração'!C34='🔄 Rotação Duplas'!C52,IF('🔄 Rotação Duplas'!H52="-",0,'🔄 Rotação Duplas'!H52),IF('⚙️ Configuração'!C34='🔄 Rotação Duplas'!D52,IF('🔄 Rotação Duplas'!I52="-",0,'🔄 Rotação Duplas'!I52),0))+IF('⚙️ Configuração'!C34='🔄 Rotação Duplas'!C53,IF('🔄 Rotação Duplas'!H53="-",0,'🔄 Rotação Duplas'!H53),IF('⚙️ Configuração'!C34='🔄 Rotação Duplas'!D53,IF('🔄 Rotação Duplas'!I53="-",0,'🔄 Rotação Duplas'!I53),0))+IF('⚙️ Configuração'!C34='🔄 Rotação Duplas'!C54,IF('🔄 Rotação Duplas'!H54="-",0,'🔄 Rotação Duplas'!H54),IF('⚙️ Configuração'!C34='🔄 Rotação Duplas'!D54,IF('🔄 Rotação Duplas'!I54="-",0,'🔄 Rotação Duplas'!I54),0))+IF('⚙️ Configuração'!C34='🔄 Rotação Duplas'!C55,IF('🔄 Rotação Duplas'!H55="-",0,'🔄 Rotação Duplas'!H55),IF('⚙️ Configuração'!C34='🔄 Rotação Duplas'!D55,IF('🔄 Rotação Duplas'!I55="-",0,'🔄 Rotação Duplas'!I55),0))+IF('⚙️ Configuração'!C34='🔄 Rotação Duplas'!C56,IF('🔄 Rotação Duplas'!H56="-",0,'🔄 Rotação Duplas'!H56),IF('⚙️ Configuração'!C34='🔄 Rotação Duplas'!D56,IF('🔄 Rotação Duplas'!I56="-",0,'🔄 Rotação Duplas'!I56),0))+IF('⚙️ Configuração'!C34='🔄 Rotação Duplas'!C57,IF('🔄 Rotação Duplas'!H57="-",0,'🔄 Rotação Duplas'!H57),IF('⚙️ Configuração'!C34='🔄 Rotação Duplas'!D57,IF('🔄 Rotação Duplas'!I57="-",0,'🔄 Rotação Duplas'!I57),0))+IF('⚙️ Configuração'!C34='🔄 Rotação Duplas'!C58,IF('🔄 Rotação Duplas'!H58="-",0,'🔄 Rotação Duplas'!H58),IF('⚙️ Configuração'!C34='🔄 Rotação Duplas'!D58,IF('🔄 Rotação Duplas'!I58="-",0,'🔄 Rotação Duplas'!I58),0))+IF('⚙️ Configuração'!C34='🔄 Rotação Duplas'!C59,IF('🔄 Rotação Duplas'!H59="-",0,'🔄 Rotação Duplas'!H59),IF('⚙️ Configuração'!C34='🔄 Rotação Duplas'!D59,IF('🔄 Rotação Duplas'!I59="-",0,'🔄 Rotação Duplas'!I59),0))</f>
        <v>0</v>
      </c>
      <c r="G10" s="63">
        <f>IF('⚙️ Configuração'!C34='🔄 Rotação Duplas'!C64,IF('🔄 Rotação Duplas'!H64="-",0,'🔄 Rotação Duplas'!H64),IF('⚙️ Configuração'!C34='🔄 Rotação Duplas'!D64,IF('🔄 Rotação Duplas'!I64="-",0,'🔄 Rotação Duplas'!I64),0))+IF('⚙️ Configuração'!C34='🔄 Rotação Duplas'!C65,IF('🔄 Rotação Duplas'!H65="-",0,'🔄 Rotação Duplas'!H65),IF('⚙️ Configuração'!C34='🔄 Rotação Duplas'!D65,IF('🔄 Rotação Duplas'!I65="-",0,'🔄 Rotação Duplas'!I65),0))+IF('⚙️ Configuração'!C34='🔄 Rotação Duplas'!C66,IF('🔄 Rotação Duplas'!H66="-",0,'🔄 Rotação Duplas'!H66),IF('⚙️ Configuração'!C34='🔄 Rotação Duplas'!D66,IF('🔄 Rotação Duplas'!I66="-",0,'🔄 Rotação Duplas'!I66),0))+IF('⚙️ Configuração'!C34='🔄 Rotação Duplas'!C67,IF('🔄 Rotação Duplas'!H67="-",0,'🔄 Rotação Duplas'!H67),IF('⚙️ Configuração'!C34='🔄 Rotação Duplas'!D67,IF('🔄 Rotação Duplas'!I67="-",0,'🔄 Rotação Duplas'!I67),0))+IF('⚙️ Configuração'!C34='🔄 Rotação Duplas'!C68,IF('🔄 Rotação Duplas'!H68="-",0,'🔄 Rotação Duplas'!H68),IF('⚙️ Configuração'!C34='🔄 Rotação Duplas'!D68,IF('🔄 Rotação Duplas'!I68="-",0,'🔄 Rotação Duplas'!I68),0))+IF('⚙️ Configuração'!C34='🔄 Rotação Duplas'!C69,IF('🔄 Rotação Duplas'!H69="-",0,'🔄 Rotação Duplas'!H69),IF('⚙️ Configuração'!C34='🔄 Rotação Duplas'!D69,IF('🔄 Rotação Duplas'!I69="-",0,'🔄 Rotação Duplas'!I69),0))+IF('⚙️ Configuração'!C34='🔄 Rotação Duplas'!C70,IF('🔄 Rotação Duplas'!H70="-",0,'🔄 Rotação Duplas'!H70),IF('⚙️ Configuração'!C34='🔄 Rotação Duplas'!D70,IF('🔄 Rotação Duplas'!I70="-",0,'🔄 Rotação Duplas'!I70),0))+IF('⚙️ Configuração'!C34='🔄 Rotação Duplas'!C71,IF('🔄 Rotação Duplas'!H71="-",0,'🔄 Rotação Duplas'!H71),IF('⚙️ Configuração'!C34='🔄 Rotação Duplas'!D71,IF('🔄 Rotação Duplas'!I71="-",0,'🔄 Rotação Duplas'!I71),0))+IF('⚙️ Configuração'!C34='🔄 Rotação Duplas'!C72,IF('🔄 Rotação Duplas'!H72="-",0,'🔄 Rotação Duplas'!H72),IF('⚙️ Configuração'!C34='🔄 Rotação Duplas'!D72,IF('🔄 Rotação Duplas'!I72="-",0,'🔄 Rotação Duplas'!I72),0))+IF('⚙️ Configuração'!C34='🔄 Rotação Duplas'!C73,IF('🔄 Rotação Duplas'!H73="-",0,'🔄 Rotação Duplas'!H73),IF('⚙️ Configuração'!C34='🔄 Rotação Duplas'!D73,IF('🔄 Rotação Duplas'!I73="-",0,'🔄 Rotação Duplas'!I73),0))</f>
        <v>0</v>
      </c>
      <c r="H10" s="63">
        <f>IF('⚙️ Configuração'!C34='🔄 Rotação Duplas'!C78,IF('🔄 Rotação Duplas'!H78="-",0,'🔄 Rotação Duplas'!H78),IF('⚙️ Configuração'!C34='🔄 Rotação Duplas'!D78,IF('🔄 Rotação Duplas'!I78="-",0,'🔄 Rotação Duplas'!I78),0))+IF('⚙️ Configuração'!C34='🔄 Rotação Duplas'!C79,IF('🔄 Rotação Duplas'!H79="-",0,'🔄 Rotação Duplas'!H79),IF('⚙️ Configuração'!C34='🔄 Rotação Duplas'!D79,IF('🔄 Rotação Duplas'!I79="-",0,'🔄 Rotação Duplas'!I79),0))+IF('⚙️ Configuração'!C34='🔄 Rotação Duplas'!C80,IF('🔄 Rotação Duplas'!H80="-",0,'🔄 Rotação Duplas'!H80),IF('⚙️ Configuração'!C34='🔄 Rotação Duplas'!D80,IF('🔄 Rotação Duplas'!I80="-",0,'🔄 Rotação Duplas'!I80),0))+IF('⚙️ Configuração'!C34='🔄 Rotação Duplas'!C81,IF('🔄 Rotação Duplas'!H81="-",0,'🔄 Rotação Duplas'!H81),IF('⚙️ Configuração'!C34='🔄 Rotação Duplas'!D81,IF('🔄 Rotação Duplas'!I81="-",0,'🔄 Rotação Duplas'!I81),0))+IF('⚙️ Configuração'!C34='🔄 Rotação Duplas'!C82,IF('🔄 Rotação Duplas'!H82="-",0,'🔄 Rotação Duplas'!H82),IF('⚙️ Configuração'!C34='🔄 Rotação Duplas'!D82,IF('🔄 Rotação Duplas'!I82="-",0,'🔄 Rotação Duplas'!I82),0))+IF('⚙️ Configuração'!C34='🔄 Rotação Duplas'!C83,IF('🔄 Rotação Duplas'!H83="-",0,'🔄 Rotação Duplas'!H83),IF('⚙️ Configuração'!C34='🔄 Rotação Duplas'!D83,IF('🔄 Rotação Duplas'!I83="-",0,'🔄 Rotação Duplas'!I83),0))+IF('⚙️ Configuração'!C34='🔄 Rotação Duplas'!C84,IF('🔄 Rotação Duplas'!H84="-",0,'🔄 Rotação Duplas'!H84),IF('⚙️ Configuração'!C34='🔄 Rotação Duplas'!D84,IF('🔄 Rotação Duplas'!I84="-",0,'🔄 Rotação Duplas'!I84),0))+IF('⚙️ Configuração'!C34='🔄 Rotação Duplas'!C85,IF('🔄 Rotação Duplas'!H85="-",0,'🔄 Rotação Duplas'!H85),IF('⚙️ Configuração'!C34='🔄 Rotação Duplas'!D85,IF('🔄 Rotação Duplas'!I85="-",0,'🔄 Rotação Duplas'!I85),0))+IF('⚙️ Configuração'!C34='🔄 Rotação Duplas'!C86,IF('🔄 Rotação Duplas'!H86="-",0,'🔄 Rotação Duplas'!H86),IF('⚙️ Configuração'!C34='🔄 Rotação Duplas'!D86,IF('🔄 Rotação Duplas'!I86="-",0,'🔄 Rotação Duplas'!I86),0))+IF('⚙️ Configuração'!C34='🔄 Rotação Duplas'!C87,IF('🔄 Rotação Duplas'!H87="-",0,'🔄 Rotação Duplas'!H87),IF('⚙️ Configuração'!C34='🔄 Rotação Duplas'!D87,IF('🔄 Rotação Duplas'!I87="-",0,'🔄 Rotação Duplas'!I87),0))</f>
        <v>0</v>
      </c>
      <c r="I10" s="63">
        <f>IF('⚙️ Configuração'!C34='🔄 Rotação Duplas'!C92,IF('🔄 Rotação Duplas'!H92="-",0,'🔄 Rotação Duplas'!H92),IF('⚙️ Configuração'!C34='🔄 Rotação Duplas'!D92,IF('🔄 Rotação Duplas'!I92="-",0,'🔄 Rotação Duplas'!I92),0))+IF('⚙️ Configuração'!C34='🔄 Rotação Duplas'!C93,IF('🔄 Rotação Duplas'!H93="-",0,'🔄 Rotação Duplas'!H93),IF('⚙️ Configuração'!C34='🔄 Rotação Duplas'!D93,IF('🔄 Rotação Duplas'!I93="-",0,'🔄 Rotação Duplas'!I93),0))+IF('⚙️ Configuração'!C34='🔄 Rotação Duplas'!C94,IF('🔄 Rotação Duplas'!H94="-",0,'🔄 Rotação Duplas'!H94),IF('⚙️ Configuração'!C34='🔄 Rotação Duplas'!D94,IF('🔄 Rotação Duplas'!I94="-",0,'🔄 Rotação Duplas'!I94),0))+IF('⚙️ Configuração'!C34='🔄 Rotação Duplas'!C95,IF('🔄 Rotação Duplas'!H95="-",0,'🔄 Rotação Duplas'!H95),IF('⚙️ Configuração'!C34='🔄 Rotação Duplas'!D95,IF('🔄 Rotação Duplas'!I95="-",0,'🔄 Rotação Duplas'!I95),0))+IF('⚙️ Configuração'!C34='🔄 Rotação Duplas'!C96,IF('🔄 Rotação Duplas'!H96="-",0,'🔄 Rotação Duplas'!H96),IF('⚙️ Configuração'!C34='🔄 Rotação Duplas'!D96,IF('🔄 Rotação Duplas'!I96="-",0,'🔄 Rotação Duplas'!I96),0))+IF('⚙️ Configuração'!C34='🔄 Rotação Duplas'!C97,IF('🔄 Rotação Duplas'!H97="-",0,'🔄 Rotação Duplas'!H97),IF('⚙️ Configuração'!C34='🔄 Rotação Duplas'!D97,IF('🔄 Rotação Duplas'!I97="-",0,'🔄 Rotação Duplas'!I97),0))+IF('⚙️ Configuração'!C34='🔄 Rotação Duplas'!C98,IF('🔄 Rotação Duplas'!H98="-",0,'🔄 Rotação Duplas'!H98),IF('⚙️ Configuração'!C34='🔄 Rotação Duplas'!D98,IF('🔄 Rotação Duplas'!I98="-",0,'🔄 Rotação Duplas'!I98),0))+IF('⚙️ Configuração'!C34='🔄 Rotação Duplas'!C99,IF('🔄 Rotação Duplas'!H99="-",0,'🔄 Rotação Duplas'!H99),IF('⚙️ Configuração'!C34='🔄 Rotação Duplas'!D99,IF('🔄 Rotação Duplas'!I99="-",0,'🔄 Rotação Duplas'!I99),0))+IF('⚙️ Configuração'!C34='🔄 Rotação Duplas'!C100,IF('🔄 Rotação Duplas'!H100="-",0,'🔄 Rotação Duplas'!H100),IF('⚙️ Configuração'!C34='🔄 Rotação Duplas'!D100,IF('🔄 Rotação Duplas'!I100="-",0,'🔄 Rotação Duplas'!I100),0))+IF('⚙️ Configuração'!C34='🔄 Rotação Duplas'!C101,IF('🔄 Rotação Duplas'!H101="-",0,'🔄 Rotação Duplas'!H101),IF('⚙️ Configuração'!C34='🔄 Rotação Duplas'!D101,IF('🔄 Rotação Duplas'!I101="-",0,'🔄 Rotação Duplas'!I101),0))</f>
        <v>0</v>
      </c>
      <c r="J10" s="63">
        <f>IF('⚙️ Configuração'!C34='🔄 Rotação Duplas'!C106,IF('🔄 Rotação Duplas'!H106="-",0,'🔄 Rotação Duplas'!H106),IF('⚙️ Configuração'!C34='🔄 Rotação Duplas'!D106,IF('🔄 Rotação Duplas'!I106="-",0,'🔄 Rotação Duplas'!I106),0))+IF('⚙️ Configuração'!C34='🔄 Rotação Duplas'!C107,IF('🔄 Rotação Duplas'!H107="-",0,'🔄 Rotação Duplas'!H107),IF('⚙️ Configuração'!C34='🔄 Rotação Duplas'!D107,IF('🔄 Rotação Duplas'!I107="-",0,'🔄 Rotação Duplas'!I107),0))+IF('⚙️ Configuração'!C34='🔄 Rotação Duplas'!C108,IF('🔄 Rotação Duplas'!H108="-",0,'🔄 Rotação Duplas'!H108),IF('⚙️ Configuração'!C34='🔄 Rotação Duplas'!D108,IF('🔄 Rotação Duplas'!I108="-",0,'🔄 Rotação Duplas'!I108),0))+IF('⚙️ Configuração'!C34='🔄 Rotação Duplas'!C109,IF('🔄 Rotação Duplas'!H109="-",0,'🔄 Rotação Duplas'!H109),IF('⚙️ Configuração'!C34='🔄 Rotação Duplas'!D109,IF('🔄 Rotação Duplas'!I109="-",0,'🔄 Rotação Duplas'!I109),0))+IF('⚙️ Configuração'!C34='🔄 Rotação Duplas'!C110,IF('🔄 Rotação Duplas'!H110="-",0,'🔄 Rotação Duplas'!H110),IF('⚙️ Configuração'!C34='🔄 Rotação Duplas'!D110,IF('🔄 Rotação Duplas'!I110="-",0,'🔄 Rotação Duplas'!I110),0))+IF('⚙️ Configuração'!C34='🔄 Rotação Duplas'!C111,IF('🔄 Rotação Duplas'!H111="-",0,'🔄 Rotação Duplas'!H111),IF('⚙️ Configuração'!C34='🔄 Rotação Duplas'!D111,IF('🔄 Rotação Duplas'!I111="-",0,'🔄 Rotação Duplas'!I111),0))+IF('⚙️ Configuração'!C34='🔄 Rotação Duplas'!C112,IF('🔄 Rotação Duplas'!H112="-",0,'🔄 Rotação Duplas'!H112),IF('⚙️ Configuração'!C34='🔄 Rotação Duplas'!D112,IF('🔄 Rotação Duplas'!I112="-",0,'🔄 Rotação Duplas'!I112),0))+IF('⚙️ Configuração'!C34='🔄 Rotação Duplas'!C113,IF('🔄 Rotação Duplas'!H113="-",0,'🔄 Rotação Duplas'!H113),IF('⚙️ Configuração'!C34='🔄 Rotação Duplas'!D113,IF('🔄 Rotação Duplas'!I113="-",0,'🔄 Rotação Duplas'!I113),0))+IF('⚙️ Configuração'!C34='🔄 Rotação Duplas'!C114,IF('🔄 Rotação Duplas'!H114="-",0,'🔄 Rotação Duplas'!H114),IF('⚙️ Configuração'!C34='🔄 Rotação Duplas'!D114,IF('🔄 Rotação Duplas'!I114="-",0,'🔄 Rotação Duplas'!I114),0))+IF('⚙️ Configuração'!C34='🔄 Rotação Duplas'!C115,IF('🔄 Rotação Duplas'!H115="-",0,'🔄 Rotação Duplas'!H115),IF('⚙️ Configuração'!C34='🔄 Rotação Duplas'!D115,IF('🔄 Rotação Duplas'!I115="-",0,'🔄 Rotação Duplas'!I115),0))</f>
        <v>0</v>
      </c>
      <c r="K10" s="64">
        <f t="shared" si="0"/>
        <v>68</v>
      </c>
      <c r="L10" s="65">
        <f>SUMIF('📋 Registo Diário'!$D$7:$D$646,'⚙️ Configuração'!C34,'📋 Registo Diário'!$Q$7:$Q$646)</f>
        <v>83</v>
      </c>
      <c r="M10" s="66">
        <f t="shared" si="1"/>
        <v>151</v>
      </c>
      <c r="N10" s="59"/>
      <c r="O10" s="67"/>
      <c r="P10" s="68"/>
    </row>
    <row r="11" spans="1:16" ht="21.75" customHeight="1" x14ac:dyDescent="0.2">
      <c r="A11" s="59"/>
      <c r="B11" s="4" t="str">
        <f>'⚙️ Configuração'!C35</f>
        <v>Tomás Carlos</v>
      </c>
      <c r="C11" s="63">
        <f>IF('⚙️ Configuração'!C35='🔄 Rotação Duplas'!C8,IF('🔄 Rotação Duplas'!H8="-",0,'🔄 Rotação Duplas'!H8),IF('⚙️ Configuração'!C35='🔄 Rotação Duplas'!D8,IF('🔄 Rotação Duplas'!I8="-",0,'🔄 Rotação Duplas'!I8),0))+IF('⚙️ Configuração'!C35='🔄 Rotação Duplas'!C9,IF('🔄 Rotação Duplas'!H9="-",0,'🔄 Rotação Duplas'!H9),IF('⚙️ Configuração'!C35='🔄 Rotação Duplas'!D9,IF('🔄 Rotação Duplas'!I9="-",0,'🔄 Rotação Duplas'!I9),0))+IF('⚙️ Configuração'!C35='🔄 Rotação Duplas'!C10,IF('🔄 Rotação Duplas'!H10="-",0,'🔄 Rotação Duplas'!H10),IF('⚙️ Configuração'!C35='🔄 Rotação Duplas'!D10,IF('🔄 Rotação Duplas'!I10="-",0,'🔄 Rotação Duplas'!I10),0))+IF('⚙️ Configuração'!C35='🔄 Rotação Duplas'!C11,IF('🔄 Rotação Duplas'!H11="-",0,'🔄 Rotação Duplas'!H11),IF('⚙️ Configuração'!C35='🔄 Rotação Duplas'!D11,IF('🔄 Rotação Duplas'!I11="-",0,'🔄 Rotação Duplas'!I11),0))+IF('⚙️ Configuração'!C35='🔄 Rotação Duplas'!C12,IF('🔄 Rotação Duplas'!H12="-",0,'🔄 Rotação Duplas'!H12),IF('⚙️ Configuração'!C35='🔄 Rotação Duplas'!D12,IF('🔄 Rotação Duplas'!I12="-",0,'🔄 Rotação Duplas'!I12),0))+IF('⚙️ Configuração'!C35='🔄 Rotação Duplas'!C13,IF('🔄 Rotação Duplas'!H13="-",0,'🔄 Rotação Duplas'!H13),IF('⚙️ Configuração'!C35='🔄 Rotação Duplas'!D13,IF('🔄 Rotação Duplas'!I13="-",0,'🔄 Rotação Duplas'!I13),0))+IF('⚙️ Configuração'!C35='🔄 Rotação Duplas'!C14,IF('🔄 Rotação Duplas'!H14="-",0,'🔄 Rotação Duplas'!H14),IF('⚙️ Configuração'!C35='🔄 Rotação Duplas'!D14,IF('🔄 Rotação Duplas'!I14="-",0,'🔄 Rotação Duplas'!I14),0))+IF('⚙️ Configuração'!C35='🔄 Rotação Duplas'!C15,IF('🔄 Rotação Duplas'!H15="-",0,'🔄 Rotação Duplas'!H15),IF('⚙️ Configuração'!C35='🔄 Rotação Duplas'!D15,IF('🔄 Rotação Duplas'!I15="-",0,'🔄 Rotação Duplas'!I15),0))+IF('⚙️ Configuração'!C35='🔄 Rotação Duplas'!C16,IF('🔄 Rotação Duplas'!H16="-",0,'🔄 Rotação Duplas'!H16),IF('⚙️ Configuração'!C35='🔄 Rotação Duplas'!D16,IF('🔄 Rotação Duplas'!I16="-",0,'🔄 Rotação Duplas'!I16),0))+IF('⚙️ Configuração'!C35='🔄 Rotação Duplas'!C17,IF('🔄 Rotação Duplas'!H17="-",0,'🔄 Rotação Duplas'!H17),IF('⚙️ Configuração'!C35='🔄 Rotação Duplas'!D17,IF('🔄 Rotação Duplas'!I17="-",0,'🔄 Rotação Duplas'!I17),0))</f>
        <v>46</v>
      </c>
      <c r="D11" s="63">
        <f>IF('⚙️ Configuração'!C35='🔄 Rotação Duplas'!C22,IF('🔄 Rotação Duplas'!H22="-",0,'🔄 Rotação Duplas'!H22),IF('⚙️ Configuração'!C35='🔄 Rotação Duplas'!D22,IF('🔄 Rotação Duplas'!I22="-",0,'🔄 Rotação Duplas'!I22),0))+IF('⚙️ Configuração'!C35='🔄 Rotação Duplas'!C23,IF('🔄 Rotação Duplas'!H23="-",0,'🔄 Rotação Duplas'!H23),IF('⚙️ Configuração'!C35='🔄 Rotação Duplas'!D23,IF('🔄 Rotação Duplas'!I23="-",0,'🔄 Rotação Duplas'!I23),0))+IF('⚙️ Configuração'!C35='🔄 Rotação Duplas'!C24,IF('🔄 Rotação Duplas'!H24="-",0,'🔄 Rotação Duplas'!H24),IF('⚙️ Configuração'!C35='🔄 Rotação Duplas'!D24,IF('🔄 Rotação Duplas'!I24="-",0,'🔄 Rotação Duplas'!I24),0))+IF('⚙️ Configuração'!C35='🔄 Rotação Duplas'!C25,IF('🔄 Rotação Duplas'!H25="-",0,'🔄 Rotação Duplas'!H25),IF('⚙️ Configuração'!C35='🔄 Rotação Duplas'!D25,IF('🔄 Rotação Duplas'!I25="-",0,'🔄 Rotação Duplas'!I25),0))+IF('⚙️ Configuração'!C35='🔄 Rotação Duplas'!C26,IF('🔄 Rotação Duplas'!H26="-",0,'🔄 Rotação Duplas'!H26),IF('⚙️ Configuração'!C35='🔄 Rotação Duplas'!D26,IF('🔄 Rotação Duplas'!I26="-",0,'🔄 Rotação Duplas'!I26),0))+IF('⚙️ Configuração'!C35='🔄 Rotação Duplas'!C27,IF('🔄 Rotação Duplas'!H27="-",0,'🔄 Rotação Duplas'!H27),IF('⚙️ Configuração'!C35='🔄 Rotação Duplas'!D27,IF('🔄 Rotação Duplas'!I27="-",0,'🔄 Rotação Duplas'!I27),0))+IF('⚙️ Configuração'!C35='🔄 Rotação Duplas'!C28,IF('🔄 Rotação Duplas'!H28="-",0,'🔄 Rotação Duplas'!H28),IF('⚙️ Configuração'!C35='🔄 Rotação Duplas'!D28,IF('🔄 Rotação Duplas'!I28="-",0,'🔄 Rotação Duplas'!I28),0))+IF('⚙️ Configuração'!C35='🔄 Rotação Duplas'!C29,IF('🔄 Rotação Duplas'!H29="-",0,'🔄 Rotação Duplas'!H29),IF('⚙️ Configuração'!C35='🔄 Rotação Duplas'!D29,IF('🔄 Rotação Duplas'!I29="-",0,'🔄 Rotação Duplas'!I29),0))+IF('⚙️ Configuração'!C35='🔄 Rotação Duplas'!C30,IF('🔄 Rotação Duplas'!H30="-",0,'🔄 Rotação Duplas'!H30),IF('⚙️ Configuração'!C35='🔄 Rotação Duplas'!D30,IF('🔄 Rotação Duplas'!I30="-",0,'🔄 Rotação Duplas'!I30),0))+IF('⚙️ Configuração'!C35='🔄 Rotação Duplas'!C31,IF('🔄 Rotação Duplas'!H31="-",0,'🔄 Rotação Duplas'!H31),IF('⚙️ Configuração'!C35='🔄 Rotação Duplas'!D31,IF('🔄 Rotação Duplas'!I31="-",0,'🔄 Rotação Duplas'!I31),0))</f>
        <v>0</v>
      </c>
      <c r="E11" s="63">
        <f>IF('⚙️ Configuração'!C35='🔄 Rotação Duplas'!C36,IF('🔄 Rotação Duplas'!H36="-",0,'🔄 Rotação Duplas'!H36),IF('⚙️ Configuração'!C35='🔄 Rotação Duplas'!D36,IF('🔄 Rotação Duplas'!I36="-",0,'🔄 Rotação Duplas'!I36),0))+IF('⚙️ Configuração'!C35='🔄 Rotação Duplas'!C37,IF('🔄 Rotação Duplas'!H37="-",0,'🔄 Rotação Duplas'!H37),IF('⚙️ Configuração'!C35='🔄 Rotação Duplas'!D37,IF('🔄 Rotação Duplas'!I37="-",0,'🔄 Rotação Duplas'!I37),0))+IF('⚙️ Configuração'!C35='🔄 Rotação Duplas'!C38,IF('🔄 Rotação Duplas'!H38="-",0,'🔄 Rotação Duplas'!H38),IF('⚙️ Configuração'!C35='🔄 Rotação Duplas'!D38,IF('🔄 Rotação Duplas'!I38="-",0,'🔄 Rotação Duplas'!I38),0))+IF('⚙️ Configuração'!C35='🔄 Rotação Duplas'!C39,IF('🔄 Rotação Duplas'!H39="-",0,'🔄 Rotação Duplas'!H39),IF('⚙️ Configuração'!C35='🔄 Rotação Duplas'!D39,IF('🔄 Rotação Duplas'!I39="-",0,'🔄 Rotação Duplas'!I39),0))+IF('⚙️ Configuração'!C35='🔄 Rotação Duplas'!C40,IF('🔄 Rotação Duplas'!H40="-",0,'🔄 Rotação Duplas'!H40),IF('⚙️ Configuração'!C35='🔄 Rotação Duplas'!D40,IF('🔄 Rotação Duplas'!I40="-",0,'🔄 Rotação Duplas'!I40),0))+IF('⚙️ Configuração'!C35='🔄 Rotação Duplas'!C41,IF('🔄 Rotação Duplas'!H41="-",0,'🔄 Rotação Duplas'!H41),IF('⚙️ Configuração'!C35='🔄 Rotação Duplas'!D41,IF('🔄 Rotação Duplas'!I41="-",0,'🔄 Rotação Duplas'!I41),0))+IF('⚙️ Configuração'!C35='🔄 Rotação Duplas'!C42,IF('🔄 Rotação Duplas'!H42="-",0,'🔄 Rotação Duplas'!H42),IF('⚙️ Configuração'!C35='🔄 Rotação Duplas'!D42,IF('🔄 Rotação Duplas'!I42="-",0,'🔄 Rotação Duplas'!I42),0))+IF('⚙️ Configuração'!C35='🔄 Rotação Duplas'!C43,IF('🔄 Rotação Duplas'!H43="-",0,'🔄 Rotação Duplas'!H43),IF('⚙️ Configuração'!C35='🔄 Rotação Duplas'!D43,IF('🔄 Rotação Duplas'!I43="-",0,'🔄 Rotação Duplas'!I43),0))+IF('⚙️ Configuração'!C35='🔄 Rotação Duplas'!C44,IF('🔄 Rotação Duplas'!H44="-",0,'🔄 Rotação Duplas'!H44),IF('⚙️ Configuração'!C35='🔄 Rotação Duplas'!D44,IF('🔄 Rotação Duplas'!I44="-",0,'🔄 Rotação Duplas'!I44),0))+IF('⚙️ Configuração'!C35='🔄 Rotação Duplas'!C45,IF('🔄 Rotação Duplas'!H45="-",0,'🔄 Rotação Duplas'!H45),IF('⚙️ Configuração'!C35='🔄 Rotação Duplas'!D45,IF('🔄 Rotação Duplas'!I45="-",0,'🔄 Rotação Duplas'!I45),0))</f>
        <v>0</v>
      </c>
      <c r="F11" s="63">
        <f>IF('⚙️ Configuração'!C35='🔄 Rotação Duplas'!C50,IF('🔄 Rotação Duplas'!H50="-",0,'🔄 Rotação Duplas'!H50),IF('⚙️ Configuração'!C35='🔄 Rotação Duplas'!D50,IF('🔄 Rotação Duplas'!I50="-",0,'🔄 Rotação Duplas'!I50),0))+IF('⚙️ Configuração'!C35='🔄 Rotação Duplas'!C51,IF('🔄 Rotação Duplas'!H51="-",0,'🔄 Rotação Duplas'!H51),IF('⚙️ Configuração'!C35='🔄 Rotação Duplas'!D51,IF('🔄 Rotação Duplas'!I51="-",0,'🔄 Rotação Duplas'!I51),0))+IF('⚙️ Configuração'!C35='🔄 Rotação Duplas'!C52,IF('🔄 Rotação Duplas'!H52="-",0,'🔄 Rotação Duplas'!H52),IF('⚙️ Configuração'!C35='🔄 Rotação Duplas'!D52,IF('🔄 Rotação Duplas'!I52="-",0,'🔄 Rotação Duplas'!I52),0))+IF('⚙️ Configuração'!C35='🔄 Rotação Duplas'!C53,IF('🔄 Rotação Duplas'!H53="-",0,'🔄 Rotação Duplas'!H53),IF('⚙️ Configuração'!C35='🔄 Rotação Duplas'!D53,IF('🔄 Rotação Duplas'!I53="-",0,'🔄 Rotação Duplas'!I53),0))+IF('⚙️ Configuração'!C35='🔄 Rotação Duplas'!C54,IF('🔄 Rotação Duplas'!H54="-",0,'🔄 Rotação Duplas'!H54),IF('⚙️ Configuração'!C35='🔄 Rotação Duplas'!D54,IF('🔄 Rotação Duplas'!I54="-",0,'🔄 Rotação Duplas'!I54),0))+IF('⚙️ Configuração'!C35='🔄 Rotação Duplas'!C55,IF('🔄 Rotação Duplas'!H55="-",0,'🔄 Rotação Duplas'!H55),IF('⚙️ Configuração'!C35='🔄 Rotação Duplas'!D55,IF('🔄 Rotação Duplas'!I55="-",0,'🔄 Rotação Duplas'!I55),0))+IF('⚙️ Configuração'!C35='🔄 Rotação Duplas'!C56,IF('🔄 Rotação Duplas'!H56="-",0,'🔄 Rotação Duplas'!H56),IF('⚙️ Configuração'!C35='🔄 Rotação Duplas'!D56,IF('🔄 Rotação Duplas'!I56="-",0,'🔄 Rotação Duplas'!I56),0))+IF('⚙️ Configuração'!C35='🔄 Rotação Duplas'!C57,IF('🔄 Rotação Duplas'!H57="-",0,'🔄 Rotação Duplas'!H57),IF('⚙️ Configuração'!C35='🔄 Rotação Duplas'!D57,IF('🔄 Rotação Duplas'!I57="-",0,'🔄 Rotação Duplas'!I57),0))+IF('⚙️ Configuração'!C35='🔄 Rotação Duplas'!C58,IF('🔄 Rotação Duplas'!H58="-",0,'🔄 Rotação Duplas'!H58),IF('⚙️ Configuração'!C35='🔄 Rotação Duplas'!D58,IF('🔄 Rotação Duplas'!I58="-",0,'🔄 Rotação Duplas'!I58),0))+IF('⚙️ Configuração'!C35='🔄 Rotação Duplas'!C59,IF('🔄 Rotação Duplas'!H59="-",0,'🔄 Rotação Duplas'!H59),IF('⚙️ Configuração'!C35='🔄 Rotação Duplas'!D59,IF('🔄 Rotação Duplas'!I59="-",0,'🔄 Rotação Duplas'!I59),0))</f>
        <v>0</v>
      </c>
      <c r="G11" s="63">
        <f>IF('⚙️ Configuração'!C35='🔄 Rotação Duplas'!C64,IF('🔄 Rotação Duplas'!H64="-",0,'🔄 Rotação Duplas'!H64),IF('⚙️ Configuração'!C35='🔄 Rotação Duplas'!D64,IF('🔄 Rotação Duplas'!I64="-",0,'🔄 Rotação Duplas'!I64),0))+IF('⚙️ Configuração'!C35='🔄 Rotação Duplas'!C65,IF('🔄 Rotação Duplas'!H65="-",0,'🔄 Rotação Duplas'!H65),IF('⚙️ Configuração'!C35='🔄 Rotação Duplas'!D65,IF('🔄 Rotação Duplas'!I65="-",0,'🔄 Rotação Duplas'!I65),0))+IF('⚙️ Configuração'!C35='🔄 Rotação Duplas'!C66,IF('🔄 Rotação Duplas'!H66="-",0,'🔄 Rotação Duplas'!H66),IF('⚙️ Configuração'!C35='🔄 Rotação Duplas'!D66,IF('🔄 Rotação Duplas'!I66="-",0,'🔄 Rotação Duplas'!I66),0))+IF('⚙️ Configuração'!C35='🔄 Rotação Duplas'!C67,IF('🔄 Rotação Duplas'!H67="-",0,'🔄 Rotação Duplas'!H67),IF('⚙️ Configuração'!C35='🔄 Rotação Duplas'!D67,IF('🔄 Rotação Duplas'!I67="-",0,'🔄 Rotação Duplas'!I67),0))+IF('⚙️ Configuração'!C35='🔄 Rotação Duplas'!C68,IF('🔄 Rotação Duplas'!H68="-",0,'🔄 Rotação Duplas'!H68),IF('⚙️ Configuração'!C35='🔄 Rotação Duplas'!D68,IF('🔄 Rotação Duplas'!I68="-",0,'🔄 Rotação Duplas'!I68),0))+IF('⚙️ Configuração'!C35='🔄 Rotação Duplas'!C69,IF('🔄 Rotação Duplas'!H69="-",0,'🔄 Rotação Duplas'!H69),IF('⚙️ Configuração'!C35='🔄 Rotação Duplas'!D69,IF('🔄 Rotação Duplas'!I69="-",0,'🔄 Rotação Duplas'!I69),0))+IF('⚙️ Configuração'!C35='🔄 Rotação Duplas'!C70,IF('🔄 Rotação Duplas'!H70="-",0,'🔄 Rotação Duplas'!H70),IF('⚙️ Configuração'!C35='🔄 Rotação Duplas'!D70,IF('🔄 Rotação Duplas'!I70="-",0,'🔄 Rotação Duplas'!I70),0))+IF('⚙️ Configuração'!C35='🔄 Rotação Duplas'!C71,IF('🔄 Rotação Duplas'!H71="-",0,'🔄 Rotação Duplas'!H71),IF('⚙️ Configuração'!C35='🔄 Rotação Duplas'!D71,IF('🔄 Rotação Duplas'!I71="-",0,'🔄 Rotação Duplas'!I71),0))+IF('⚙️ Configuração'!C35='🔄 Rotação Duplas'!C72,IF('🔄 Rotação Duplas'!H72="-",0,'🔄 Rotação Duplas'!H72),IF('⚙️ Configuração'!C35='🔄 Rotação Duplas'!D72,IF('🔄 Rotação Duplas'!I72="-",0,'🔄 Rotação Duplas'!I72),0))+IF('⚙️ Configuração'!C35='🔄 Rotação Duplas'!C73,IF('🔄 Rotação Duplas'!H73="-",0,'🔄 Rotação Duplas'!H73),IF('⚙️ Configuração'!C35='🔄 Rotação Duplas'!D73,IF('🔄 Rotação Duplas'!I73="-",0,'🔄 Rotação Duplas'!I73),0))</f>
        <v>0</v>
      </c>
      <c r="H11" s="63">
        <f>IF('⚙️ Configuração'!C35='🔄 Rotação Duplas'!C78,IF('🔄 Rotação Duplas'!H78="-",0,'🔄 Rotação Duplas'!H78),IF('⚙️ Configuração'!C35='🔄 Rotação Duplas'!D78,IF('🔄 Rotação Duplas'!I78="-",0,'🔄 Rotação Duplas'!I78),0))+IF('⚙️ Configuração'!C35='🔄 Rotação Duplas'!C79,IF('🔄 Rotação Duplas'!H79="-",0,'🔄 Rotação Duplas'!H79),IF('⚙️ Configuração'!C35='🔄 Rotação Duplas'!D79,IF('🔄 Rotação Duplas'!I79="-",0,'🔄 Rotação Duplas'!I79),0))+IF('⚙️ Configuração'!C35='🔄 Rotação Duplas'!C80,IF('🔄 Rotação Duplas'!H80="-",0,'🔄 Rotação Duplas'!H80),IF('⚙️ Configuração'!C35='🔄 Rotação Duplas'!D80,IF('🔄 Rotação Duplas'!I80="-",0,'🔄 Rotação Duplas'!I80),0))+IF('⚙️ Configuração'!C35='🔄 Rotação Duplas'!C81,IF('🔄 Rotação Duplas'!H81="-",0,'🔄 Rotação Duplas'!H81),IF('⚙️ Configuração'!C35='🔄 Rotação Duplas'!D81,IF('🔄 Rotação Duplas'!I81="-",0,'🔄 Rotação Duplas'!I81),0))+IF('⚙️ Configuração'!C35='🔄 Rotação Duplas'!C82,IF('🔄 Rotação Duplas'!H82="-",0,'🔄 Rotação Duplas'!H82),IF('⚙️ Configuração'!C35='🔄 Rotação Duplas'!D82,IF('🔄 Rotação Duplas'!I82="-",0,'🔄 Rotação Duplas'!I82),0))+IF('⚙️ Configuração'!C35='🔄 Rotação Duplas'!C83,IF('🔄 Rotação Duplas'!H83="-",0,'🔄 Rotação Duplas'!H83),IF('⚙️ Configuração'!C35='🔄 Rotação Duplas'!D83,IF('🔄 Rotação Duplas'!I83="-",0,'🔄 Rotação Duplas'!I83),0))+IF('⚙️ Configuração'!C35='🔄 Rotação Duplas'!C84,IF('🔄 Rotação Duplas'!H84="-",0,'🔄 Rotação Duplas'!H84),IF('⚙️ Configuração'!C35='🔄 Rotação Duplas'!D84,IF('🔄 Rotação Duplas'!I84="-",0,'🔄 Rotação Duplas'!I84),0))+IF('⚙️ Configuração'!C35='🔄 Rotação Duplas'!C85,IF('🔄 Rotação Duplas'!H85="-",0,'🔄 Rotação Duplas'!H85),IF('⚙️ Configuração'!C35='🔄 Rotação Duplas'!D85,IF('🔄 Rotação Duplas'!I85="-",0,'🔄 Rotação Duplas'!I85),0))+IF('⚙️ Configuração'!C35='🔄 Rotação Duplas'!C86,IF('🔄 Rotação Duplas'!H86="-",0,'🔄 Rotação Duplas'!H86),IF('⚙️ Configuração'!C35='🔄 Rotação Duplas'!D86,IF('🔄 Rotação Duplas'!I86="-",0,'🔄 Rotação Duplas'!I86),0))+IF('⚙️ Configuração'!C35='🔄 Rotação Duplas'!C87,IF('🔄 Rotação Duplas'!H87="-",0,'🔄 Rotação Duplas'!H87),IF('⚙️ Configuração'!C35='🔄 Rotação Duplas'!D87,IF('🔄 Rotação Duplas'!I87="-",0,'🔄 Rotação Duplas'!I87),0))</f>
        <v>0</v>
      </c>
      <c r="I11" s="63">
        <f>IF('⚙️ Configuração'!C35='🔄 Rotação Duplas'!C92,IF('🔄 Rotação Duplas'!H92="-",0,'🔄 Rotação Duplas'!H92),IF('⚙️ Configuração'!C35='🔄 Rotação Duplas'!D92,IF('🔄 Rotação Duplas'!I92="-",0,'🔄 Rotação Duplas'!I92),0))+IF('⚙️ Configuração'!C35='🔄 Rotação Duplas'!C93,IF('🔄 Rotação Duplas'!H93="-",0,'🔄 Rotação Duplas'!H93),IF('⚙️ Configuração'!C35='🔄 Rotação Duplas'!D93,IF('🔄 Rotação Duplas'!I93="-",0,'🔄 Rotação Duplas'!I93),0))+IF('⚙️ Configuração'!C35='🔄 Rotação Duplas'!C94,IF('🔄 Rotação Duplas'!H94="-",0,'🔄 Rotação Duplas'!H94),IF('⚙️ Configuração'!C35='🔄 Rotação Duplas'!D94,IF('🔄 Rotação Duplas'!I94="-",0,'🔄 Rotação Duplas'!I94),0))+IF('⚙️ Configuração'!C35='🔄 Rotação Duplas'!C95,IF('🔄 Rotação Duplas'!H95="-",0,'🔄 Rotação Duplas'!H95),IF('⚙️ Configuração'!C35='🔄 Rotação Duplas'!D95,IF('🔄 Rotação Duplas'!I95="-",0,'🔄 Rotação Duplas'!I95),0))+IF('⚙️ Configuração'!C35='🔄 Rotação Duplas'!C96,IF('🔄 Rotação Duplas'!H96="-",0,'🔄 Rotação Duplas'!H96),IF('⚙️ Configuração'!C35='🔄 Rotação Duplas'!D96,IF('🔄 Rotação Duplas'!I96="-",0,'🔄 Rotação Duplas'!I96),0))+IF('⚙️ Configuração'!C35='🔄 Rotação Duplas'!C97,IF('🔄 Rotação Duplas'!H97="-",0,'🔄 Rotação Duplas'!H97),IF('⚙️ Configuração'!C35='🔄 Rotação Duplas'!D97,IF('🔄 Rotação Duplas'!I97="-",0,'🔄 Rotação Duplas'!I97),0))+IF('⚙️ Configuração'!C35='🔄 Rotação Duplas'!C98,IF('🔄 Rotação Duplas'!H98="-",0,'🔄 Rotação Duplas'!H98),IF('⚙️ Configuração'!C35='🔄 Rotação Duplas'!D98,IF('🔄 Rotação Duplas'!I98="-",0,'🔄 Rotação Duplas'!I98),0))+IF('⚙️ Configuração'!C35='🔄 Rotação Duplas'!C99,IF('🔄 Rotação Duplas'!H99="-",0,'🔄 Rotação Duplas'!H99),IF('⚙️ Configuração'!C35='🔄 Rotação Duplas'!D99,IF('🔄 Rotação Duplas'!I99="-",0,'🔄 Rotação Duplas'!I99),0))+IF('⚙️ Configuração'!C35='🔄 Rotação Duplas'!C100,IF('🔄 Rotação Duplas'!H100="-",0,'🔄 Rotação Duplas'!H100),IF('⚙️ Configuração'!C35='🔄 Rotação Duplas'!D100,IF('🔄 Rotação Duplas'!I100="-",0,'🔄 Rotação Duplas'!I100),0))+IF('⚙️ Configuração'!C35='🔄 Rotação Duplas'!C101,IF('🔄 Rotação Duplas'!H101="-",0,'🔄 Rotação Duplas'!H101),IF('⚙️ Configuração'!C35='🔄 Rotação Duplas'!D101,IF('🔄 Rotação Duplas'!I101="-",0,'🔄 Rotação Duplas'!I101),0))</f>
        <v>0</v>
      </c>
      <c r="J11" s="63">
        <f>IF('⚙️ Configuração'!C35='🔄 Rotação Duplas'!C106,IF('🔄 Rotação Duplas'!H106="-",0,'🔄 Rotação Duplas'!H106),IF('⚙️ Configuração'!C35='🔄 Rotação Duplas'!D106,IF('🔄 Rotação Duplas'!I106="-",0,'🔄 Rotação Duplas'!I106),0))+IF('⚙️ Configuração'!C35='🔄 Rotação Duplas'!C107,IF('🔄 Rotação Duplas'!H107="-",0,'🔄 Rotação Duplas'!H107),IF('⚙️ Configuração'!C35='🔄 Rotação Duplas'!D107,IF('🔄 Rotação Duplas'!I107="-",0,'🔄 Rotação Duplas'!I107),0))+IF('⚙️ Configuração'!C35='🔄 Rotação Duplas'!C108,IF('🔄 Rotação Duplas'!H108="-",0,'🔄 Rotação Duplas'!H108),IF('⚙️ Configuração'!C35='🔄 Rotação Duplas'!D108,IF('🔄 Rotação Duplas'!I108="-",0,'🔄 Rotação Duplas'!I108),0))+IF('⚙️ Configuração'!C35='🔄 Rotação Duplas'!C109,IF('🔄 Rotação Duplas'!H109="-",0,'🔄 Rotação Duplas'!H109),IF('⚙️ Configuração'!C35='🔄 Rotação Duplas'!D109,IF('🔄 Rotação Duplas'!I109="-",0,'🔄 Rotação Duplas'!I109),0))+IF('⚙️ Configuração'!C35='🔄 Rotação Duplas'!C110,IF('🔄 Rotação Duplas'!H110="-",0,'🔄 Rotação Duplas'!H110),IF('⚙️ Configuração'!C35='🔄 Rotação Duplas'!D110,IF('🔄 Rotação Duplas'!I110="-",0,'🔄 Rotação Duplas'!I110),0))+IF('⚙️ Configuração'!C35='🔄 Rotação Duplas'!C111,IF('🔄 Rotação Duplas'!H111="-",0,'🔄 Rotação Duplas'!H111),IF('⚙️ Configuração'!C35='🔄 Rotação Duplas'!D111,IF('🔄 Rotação Duplas'!I111="-",0,'🔄 Rotação Duplas'!I111),0))+IF('⚙️ Configuração'!C35='🔄 Rotação Duplas'!C112,IF('🔄 Rotação Duplas'!H112="-",0,'🔄 Rotação Duplas'!H112),IF('⚙️ Configuração'!C35='🔄 Rotação Duplas'!D112,IF('🔄 Rotação Duplas'!I112="-",0,'🔄 Rotação Duplas'!I112),0))+IF('⚙️ Configuração'!C35='🔄 Rotação Duplas'!C113,IF('🔄 Rotação Duplas'!H113="-",0,'🔄 Rotação Duplas'!H113),IF('⚙️ Configuração'!C35='🔄 Rotação Duplas'!D113,IF('🔄 Rotação Duplas'!I113="-",0,'🔄 Rotação Duplas'!I113),0))+IF('⚙️ Configuração'!C35='🔄 Rotação Duplas'!C114,IF('🔄 Rotação Duplas'!H114="-",0,'🔄 Rotação Duplas'!H114),IF('⚙️ Configuração'!C35='🔄 Rotação Duplas'!D114,IF('🔄 Rotação Duplas'!I114="-",0,'🔄 Rotação Duplas'!I114),0))+IF('⚙️ Configuração'!C35='🔄 Rotação Duplas'!C115,IF('🔄 Rotação Duplas'!H115="-",0,'🔄 Rotação Duplas'!H115),IF('⚙️ Configuração'!C35='🔄 Rotação Duplas'!D115,IF('🔄 Rotação Duplas'!I115="-",0,'🔄 Rotação Duplas'!I115),0))</f>
        <v>0</v>
      </c>
      <c r="K11" s="64">
        <f t="shared" si="0"/>
        <v>46</v>
      </c>
      <c r="L11" s="65">
        <f>SUMIF('📋 Registo Diário'!$D$7:$D$646,'⚙️ Configuração'!C35,'📋 Registo Diário'!$Q$7:$Q$646)</f>
        <v>50</v>
      </c>
      <c r="M11" s="66">
        <f t="shared" si="1"/>
        <v>96</v>
      </c>
      <c r="N11" s="59"/>
      <c r="O11" s="67"/>
      <c r="P11" s="68"/>
    </row>
    <row r="12" spans="1:16" ht="21.75" customHeight="1" x14ac:dyDescent="0.2">
      <c r="A12" s="59"/>
      <c r="B12" s="13" t="str">
        <f>'⚙️ Configuração'!C36</f>
        <v>Alexandra Correia</v>
      </c>
      <c r="C12" s="63">
        <f>IF('⚙️ Configuração'!C36='🔄 Rotação Duplas'!C8,IF('🔄 Rotação Duplas'!H8="-",0,'🔄 Rotação Duplas'!H8),IF('⚙️ Configuração'!C36='🔄 Rotação Duplas'!D8,IF('🔄 Rotação Duplas'!I8="-",0,'🔄 Rotação Duplas'!I8),0))+IF('⚙️ Configuração'!C36='🔄 Rotação Duplas'!C9,IF('🔄 Rotação Duplas'!H9="-",0,'🔄 Rotação Duplas'!H9),IF('⚙️ Configuração'!C36='🔄 Rotação Duplas'!D9,IF('🔄 Rotação Duplas'!I9="-",0,'🔄 Rotação Duplas'!I9),0))+IF('⚙️ Configuração'!C36='🔄 Rotação Duplas'!C10,IF('🔄 Rotação Duplas'!H10="-",0,'🔄 Rotação Duplas'!H10),IF('⚙️ Configuração'!C36='🔄 Rotação Duplas'!D10,IF('🔄 Rotação Duplas'!I10="-",0,'🔄 Rotação Duplas'!I10),0))+IF('⚙️ Configuração'!C36='🔄 Rotação Duplas'!C11,IF('🔄 Rotação Duplas'!H11="-",0,'🔄 Rotação Duplas'!H11),IF('⚙️ Configuração'!C36='🔄 Rotação Duplas'!D11,IF('🔄 Rotação Duplas'!I11="-",0,'🔄 Rotação Duplas'!I11),0))+IF('⚙️ Configuração'!C36='🔄 Rotação Duplas'!C12,IF('🔄 Rotação Duplas'!H12="-",0,'🔄 Rotação Duplas'!H12),IF('⚙️ Configuração'!C36='🔄 Rotação Duplas'!D12,IF('🔄 Rotação Duplas'!I12="-",0,'🔄 Rotação Duplas'!I12),0))+IF('⚙️ Configuração'!C36='🔄 Rotação Duplas'!C13,IF('🔄 Rotação Duplas'!H13="-",0,'🔄 Rotação Duplas'!H13),IF('⚙️ Configuração'!C36='🔄 Rotação Duplas'!D13,IF('🔄 Rotação Duplas'!I13="-",0,'🔄 Rotação Duplas'!I13),0))+IF('⚙️ Configuração'!C36='🔄 Rotação Duplas'!C14,IF('🔄 Rotação Duplas'!H14="-",0,'🔄 Rotação Duplas'!H14),IF('⚙️ Configuração'!C36='🔄 Rotação Duplas'!D14,IF('🔄 Rotação Duplas'!I14="-",0,'🔄 Rotação Duplas'!I14),0))+IF('⚙️ Configuração'!C36='🔄 Rotação Duplas'!C15,IF('🔄 Rotação Duplas'!H15="-",0,'🔄 Rotação Duplas'!H15),IF('⚙️ Configuração'!C36='🔄 Rotação Duplas'!D15,IF('🔄 Rotação Duplas'!I15="-",0,'🔄 Rotação Duplas'!I15),0))+IF('⚙️ Configuração'!C36='🔄 Rotação Duplas'!C16,IF('🔄 Rotação Duplas'!H16="-",0,'🔄 Rotação Duplas'!H16),IF('⚙️ Configuração'!C36='🔄 Rotação Duplas'!D16,IF('🔄 Rotação Duplas'!I16="-",0,'🔄 Rotação Duplas'!I16),0))+IF('⚙️ Configuração'!C36='🔄 Rotação Duplas'!C17,IF('🔄 Rotação Duplas'!H17="-",0,'🔄 Rotação Duplas'!H17),IF('⚙️ Configuração'!C36='🔄 Rotação Duplas'!D17,IF('🔄 Rotação Duplas'!I17="-",0,'🔄 Rotação Duplas'!I17),0))</f>
        <v>55</v>
      </c>
      <c r="D12" s="63">
        <f>IF('⚙️ Configuração'!C36='🔄 Rotação Duplas'!C22,IF('🔄 Rotação Duplas'!H22="-",0,'🔄 Rotação Duplas'!H22),IF('⚙️ Configuração'!C36='🔄 Rotação Duplas'!D22,IF('🔄 Rotação Duplas'!I22="-",0,'🔄 Rotação Duplas'!I22),0))+IF('⚙️ Configuração'!C36='🔄 Rotação Duplas'!C23,IF('🔄 Rotação Duplas'!H23="-",0,'🔄 Rotação Duplas'!H23),IF('⚙️ Configuração'!C36='🔄 Rotação Duplas'!D23,IF('🔄 Rotação Duplas'!I23="-",0,'🔄 Rotação Duplas'!I23),0))+IF('⚙️ Configuração'!C36='🔄 Rotação Duplas'!C24,IF('🔄 Rotação Duplas'!H24="-",0,'🔄 Rotação Duplas'!H24),IF('⚙️ Configuração'!C36='🔄 Rotação Duplas'!D24,IF('🔄 Rotação Duplas'!I24="-",0,'🔄 Rotação Duplas'!I24),0))+IF('⚙️ Configuração'!C36='🔄 Rotação Duplas'!C25,IF('🔄 Rotação Duplas'!H25="-",0,'🔄 Rotação Duplas'!H25),IF('⚙️ Configuração'!C36='🔄 Rotação Duplas'!D25,IF('🔄 Rotação Duplas'!I25="-",0,'🔄 Rotação Duplas'!I25),0))+IF('⚙️ Configuração'!C36='🔄 Rotação Duplas'!C26,IF('🔄 Rotação Duplas'!H26="-",0,'🔄 Rotação Duplas'!H26),IF('⚙️ Configuração'!C36='🔄 Rotação Duplas'!D26,IF('🔄 Rotação Duplas'!I26="-",0,'🔄 Rotação Duplas'!I26),0))+IF('⚙️ Configuração'!C36='🔄 Rotação Duplas'!C27,IF('🔄 Rotação Duplas'!H27="-",0,'🔄 Rotação Duplas'!H27),IF('⚙️ Configuração'!C36='🔄 Rotação Duplas'!D27,IF('🔄 Rotação Duplas'!I27="-",0,'🔄 Rotação Duplas'!I27),0))+IF('⚙️ Configuração'!C36='🔄 Rotação Duplas'!C28,IF('🔄 Rotação Duplas'!H28="-",0,'🔄 Rotação Duplas'!H28),IF('⚙️ Configuração'!C36='🔄 Rotação Duplas'!D28,IF('🔄 Rotação Duplas'!I28="-",0,'🔄 Rotação Duplas'!I28),0))+IF('⚙️ Configuração'!C36='🔄 Rotação Duplas'!C29,IF('🔄 Rotação Duplas'!H29="-",0,'🔄 Rotação Duplas'!H29),IF('⚙️ Configuração'!C36='🔄 Rotação Duplas'!D29,IF('🔄 Rotação Duplas'!I29="-",0,'🔄 Rotação Duplas'!I29),0))+IF('⚙️ Configuração'!C36='🔄 Rotação Duplas'!C30,IF('🔄 Rotação Duplas'!H30="-",0,'🔄 Rotação Duplas'!H30),IF('⚙️ Configuração'!C36='🔄 Rotação Duplas'!D30,IF('🔄 Rotação Duplas'!I30="-",0,'🔄 Rotação Duplas'!I30),0))+IF('⚙️ Configuração'!C36='🔄 Rotação Duplas'!C31,IF('🔄 Rotação Duplas'!H31="-",0,'🔄 Rotação Duplas'!H31),IF('⚙️ Configuração'!C36='🔄 Rotação Duplas'!D31,IF('🔄 Rotação Duplas'!I31="-",0,'🔄 Rotação Duplas'!I31),0))</f>
        <v>0</v>
      </c>
      <c r="E12" s="63">
        <f>IF('⚙️ Configuração'!C36='🔄 Rotação Duplas'!C36,IF('🔄 Rotação Duplas'!H36="-",0,'🔄 Rotação Duplas'!H36),IF('⚙️ Configuração'!C36='🔄 Rotação Duplas'!D36,IF('🔄 Rotação Duplas'!I36="-",0,'🔄 Rotação Duplas'!I36),0))+IF('⚙️ Configuração'!C36='🔄 Rotação Duplas'!C37,IF('🔄 Rotação Duplas'!H37="-",0,'🔄 Rotação Duplas'!H37),IF('⚙️ Configuração'!C36='🔄 Rotação Duplas'!D37,IF('🔄 Rotação Duplas'!I37="-",0,'🔄 Rotação Duplas'!I37),0))+IF('⚙️ Configuração'!C36='🔄 Rotação Duplas'!C38,IF('🔄 Rotação Duplas'!H38="-",0,'🔄 Rotação Duplas'!H38),IF('⚙️ Configuração'!C36='🔄 Rotação Duplas'!D38,IF('🔄 Rotação Duplas'!I38="-",0,'🔄 Rotação Duplas'!I38),0))+IF('⚙️ Configuração'!C36='🔄 Rotação Duplas'!C39,IF('🔄 Rotação Duplas'!H39="-",0,'🔄 Rotação Duplas'!H39),IF('⚙️ Configuração'!C36='🔄 Rotação Duplas'!D39,IF('🔄 Rotação Duplas'!I39="-",0,'🔄 Rotação Duplas'!I39),0))+IF('⚙️ Configuração'!C36='🔄 Rotação Duplas'!C40,IF('🔄 Rotação Duplas'!H40="-",0,'🔄 Rotação Duplas'!H40),IF('⚙️ Configuração'!C36='🔄 Rotação Duplas'!D40,IF('🔄 Rotação Duplas'!I40="-",0,'🔄 Rotação Duplas'!I40),0))+IF('⚙️ Configuração'!C36='🔄 Rotação Duplas'!C41,IF('🔄 Rotação Duplas'!H41="-",0,'🔄 Rotação Duplas'!H41),IF('⚙️ Configuração'!C36='🔄 Rotação Duplas'!D41,IF('🔄 Rotação Duplas'!I41="-",0,'🔄 Rotação Duplas'!I41),0))+IF('⚙️ Configuração'!C36='🔄 Rotação Duplas'!C42,IF('🔄 Rotação Duplas'!H42="-",0,'🔄 Rotação Duplas'!H42),IF('⚙️ Configuração'!C36='🔄 Rotação Duplas'!D42,IF('🔄 Rotação Duplas'!I42="-",0,'🔄 Rotação Duplas'!I42),0))+IF('⚙️ Configuração'!C36='🔄 Rotação Duplas'!C43,IF('🔄 Rotação Duplas'!H43="-",0,'🔄 Rotação Duplas'!H43),IF('⚙️ Configuração'!C36='🔄 Rotação Duplas'!D43,IF('🔄 Rotação Duplas'!I43="-",0,'🔄 Rotação Duplas'!I43),0))+IF('⚙️ Configuração'!C36='🔄 Rotação Duplas'!C44,IF('🔄 Rotação Duplas'!H44="-",0,'🔄 Rotação Duplas'!H44),IF('⚙️ Configuração'!C36='🔄 Rotação Duplas'!D44,IF('🔄 Rotação Duplas'!I44="-",0,'🔄 Rotação Duplas'!I44),0))+IF('⚙️ Configuração'!C36='🔄 Rotação Duplas'!C45,IF('🔄 Rotação Duplas'!H45="-",0,'🔄 Rotação Duplas'!H45),IF('⚙️ Configuração'!C36='🔄 Rotação Duplas'!D45,IF('🔄 Rotação Duplas'!I45="-",0,'🔄 Rotação Duplas'!I45),0))</f>
        <v>0</v>
      </c>
      <c r="F12" s="63">
        <f>IF('⚙️ Configuração'!C36='🔄 Rotação Duplas'!C50,IF('🔄 Rotação Duplas'!H50="-",0,'🔄 Rotação Duplas'!H50),IF('⚙️ Configuração'!C36='🔄 Rotação Duplas'!D50,IF('🔄 Rotação Duplas'!I50="-",0,'🔄 Rotação Duplas'!I50),0))+IF('⚙️ Configuração'!C36='🔄 Rotação Duplas'!C51,IF('🔄 Rotação Duplas'!H51="-",0,'🔄 Rotação Duplas'!H51),IF('⚙️ Configuração'!C36='🔄 Rotação Duplas'!D51,IF('🔄 Rotação Duplas'!I51="-",0,'🔄 Rotação Duplas'!I51),0))+IF('⚙️ Configuração'!C36='🔄 Rotação Duplas'!C52,IF('🔄 Rotação Duplas'!H52="-",0,'🔄 Rotação Duplas'!H52),IF('⚙️ Configuração'!C36='🔄 Rotação Duplas'!D52,IF('🔄 Rotação Duplas'!I52="-",0,'🔄 Rotação Duplas'!I52),0))+IF('⚙️ Configuração'!C36='🔄 Rotação Duplas'!C53,IF('🔄 Rotação Duplas'!H53="-",0,'🔄 Rotação Duplas'!H53),IF('⚙️ Configuração'!C36='🔄 Rotação Duplas'!D53,IF('🔄 Rotação Duplas'!I53="-",0,'🔄 Rotação Duplas'!I53),0))+IF('⚙️ Configuração'!C36='🔄 Rotação Duplas'!C54,IF('🔄 Rotação Duplas'!H54="-",0,'🔄 Rotação Duplas'!H54),IF('⚙️ Configuração'!C36='🔄 Rotação Duplas'!D54,IF('🔄 Rotação Duplas'!I54="-",0,'🔄 Rotação Duplas'!I54),0))+IF('⚙️ Configuração'!C36='🔄 Rotação Duplas'!C55,IF('🔄 Rotação Duplas'!H55="-",0,'🔄 Rotação Duplas'!H55),IF('⚙️ Configuração'!C36='🔄 Rotação Duplas'!D55,IF('🔄 Rotação Duplas'!I55="-",0,'🔄 Rotação Duplas'!I55),0))+IF('⚙️ Configuração'!C36='🔄 Rotação Duplas'!C56,IF('🔄 Rotação Duplas'!H56="-",0,'🔄 Rotação Duplas'!H56),IF('⚙️ Configuração'!C36='🔄 Rotação Duplas'!D56,IF('🔄 Rotação Duplas'!I56="-",0,'🔄 Rotação Duplas'!I56),0))+IF('⚙️ Configuração'!C36='🔄 Rotação Duplas'!C57,IF('🔄 Rotação Duplas'!H57="-",0,'🔄 Rotação Duplas'!H57),IF('⚙️ Configuração'!C36='🔄 Rotação Duplas'!D57,IF('🔄 Rotação Duplas'!I57="-",0,'🔄 Rotação Duplas'!I57),0))+IF('⚙️ Configuração'!C36='🔄 Rotação Duplas'!C58,IF('🔄 Rotação Duplas'!H58="-",0,'🔄 Rotação Duplas'!H58),IF('⚙️ Configuração'!C36='🔄 Rotação Duplas'!D58,IF('🔄 Rotação Duplas'!I58="-",0,'🔄 Rotação Duplas'!I58),0))+IF('⚙️ Configuração'!C36='🔄 Rotação Duplas'!C59,IF('🔄 Rotação Duplas'!H59="-",0,'🔄 Rotação Duplas'!H59),IF('⚙️ Configuração'!C36='🔄 Rotação Duplas'!D59,IF('🔄 Rotação Duplas'!I59="-",0,'🔄 Rotação Duplas'!I59),0))</f>
        <v>0</v>
      </c>
      <c r="G12" s="63">
        <f>IF('⚙️ Configuração'!C36='🔄 Rotação Duplas'!C64,IF('🔄 Rotação Duplas'!H64="-",0,'🔄 Rotação Duplas'!H64),IF('⚙️ Configuração'!C36='🔄 Rotação Duplas'!D64,IF('🔄 Rotação Duplas'!I64="-",0,'🔄 Rotação Duplas'!I64),0))+IF('⚙️ Configuração'!C36='🔄 Rotação Duplas'!C65,IF('🔄 Rotação Duplas'!H65="-",0,'🔄 Rotação Duplas'!H65),IF('⚙️ Configuração'!C36='🔄 Rotação Duplas'!D65,IF('🔄 Rotação Duplas'!I65="-",0,'🔄 Rotação Duplas'!I65),0))+IF('⚙️ Configuração'!C36='🔄 Rotação Duplas'!C66,IF('🔄 Rotação Duplas'!H66="-",0,'🔄 Rotação Duplas'!H66),IF('⚙️ Configuração'!C36='🔄 Rotação Duplas'!D66,IF('🔄 Rotação Duplas'!I66="-",0,'🔄 Rotação Duplas'!I66),0))+IF('⚙️ Configuração'!C36='🔄 Rotação Duplas'!C67,IF('🔄 Rotação Duplas'!H67="-",0,'🔄 Rotação Duplas'!H67),IF('⚙️ Configuração'!C36='🔄 Rotação Duplas'!D67,IF('🔄 Rotação Duplas'!I67="-",0,'🔄 Rotação Duplas'!I67),0))+IF('⚙️ Configuração'!C36='🔄 Rotação Duplas'!C68,IF('🔄 Rotação Duplas'!H68="-",0,'🔄 Rotação Duplas'!H68),IF('⚙️ Configuração'!C36='🔄 Rotação Duplas'!D68,IF('🔄 Rotação Duplas'!I68="-",0,'🔄 Rotação Duplas'!I68),0))+IF('⚙️ Configuração'!C36='🔄 Rotação Duplas'!C69,IF('🔄 Rotação Duplas'!H69="-",0,'🔄 Rotação Duplas'!H69),IF('⚙️ Configuração'!C36='🔄 Rotação Duplas'!D69,IF('🔄 Rotação Duplas'!I69="-",0,'🔄 Rotação Duplas'!I69),0))+IF('⚙️ Configuração'!C36='🔄 Rotação Duplas'!C70,IF('🔄 Rotação Duplas'!H70="-",0,'🔄 Rotação Duplas'!H70),IF('⚙️ Configuração'!C36='🔄 Rotação Duplas'!D70,IF('🔄 Rotação Duplas'!I70="-",0,'🔄 Rotação Duplas'!I70),0))+IF('⚙️ Configuração'!C36='🔄 Rotação Duplas'!C71,IF('🔄 Rotação Duplas'!H71="-",0,'🔄 Rotação Duplas'!H71),IF('⚙️ Configuração'!C36='🔄 Rotação Duplas'!D71,IF('🔄 Rotação Duplas'!I71="-",0,'🔄 Rotação Duplas'!I71),0))+IF('⚙️ Configuração'!C36='🔄 Rotação Duplas'!C72,IF('🔄 Rotação Duplas'!H72="-",0,'🔄 Rotação Duplas'!H72),IF('⚙️ Configuração'!C36='🔄 Rotação Duplas'!D72,IF('🔄 Rotação Duplas'!I72="-",0,'🔄 Rotação Duplas'!I72),0))+IF('⚙️ Configuração'!C36='🔄 Rotação Duplas'!C73,IF('🔄 Rotação Duplas'!H73="-",0,'🔄 Rotação Duplas'!H73),IF('⚙️ Configuração'!C36='🔄 Rotação Duplas'!D73,IF('🔄 Rotação Duplas'!I73="-",0,'🔄 Rotação Duplas'!I73),0))</f>
        <v>0</v>
      </c>
      <c r="H12" s="63">
        <f>IF('⚙️ Configuração'!C36='🔄 Rotação Duplas'!C78,IF('🔄 Rotação Duplas'!H78="-",0,'🔄 Rotação Duplas'!H78),IF('⚙️ Configuração'!C36='🔄 Rotação Duplas'!D78,IF('🔄 Rotação Duplas'!I78="-",0,'🔄 Rotação Duplas'!I78),0))+IF('⚙️ Configuração'!C36='🔄 Rotação Duplas'!C79,IF('🔄 Rotação Duplas'!H79="-",0,'🔄 Rotação Duplas'!H79),IF('⚙️ Configuração'!C36='🔄 Rotação Duplas'!D79,IF('🔄 Rotação Duplas'!I79="-",0,'🔄 Rotação Duplas'!I79),0))+IF('⚙️ Configuração'!C36='🔄 Rotação Duplas'!C80,IF('🔄 Rotação Duplas'!H80="-",0,'🔄 Rotação Duplas'!H80),IF('⚙️ Configuração'!C36='🔄 Rotação Duplas'!D80,IF('🔄 Rotação Duplas'!I80="-",0,'🔄 Rotação Duplas'!I80),0))+IF('⚙️ Configuração'!C36='🔄 Rotação Duplas'!C81,IF('🔄 Rotação Duplas'!H81="-",0,'🔄 Rotação Duplas'!H81),IF('⚙️ Configuração'!C36='🔄 Rotação Duplas'!D81,IF('🔄 Rotação Duplas'!I81="-",0,'🔄 Rotação Duplas'!I81),0))+IF('⚙️ Configuração'!C36='🔄 Rotação Duplas'!C82,IF('🔄 Rotação Duplas'!H82="-",0,'🔄 Rotação Duplas'!H82),IF('⚙️ Configuração'!C36='🔄 Rotação Duplas'!D82,IF('🔄 Rotação Duplas'!I82="-",0,'🔄 Rotação Duplas'!I82),0))+IF('⚙️ Configuração'!C36='🔄 Rotação Duplas'!C83,IF('🔄 Rotação Duplas'!H83="-",0,'🔄 Rotação Duplas'!H83),IF('⚙️ Configuração'!C36='🔄 Rotação Duplas'!D83,IF('🔄 Rotação Duplas'!I83="-",0,'🔄 Rotação Duplas'!I83),0))+IF('⚙️ Configuração'!C36='🔄 Rotação Duplas'!C84,IF('🔄 Rotação Duplas'!H84="-",0,'🔄 Rotação Duplas'!H84),IF('⚙️ Configuração'!C36='🔄 Rotação Duplas'!D84,IF('🔄 Rotação Duplas'!I84="-",0,'🔄 Rotação Duplas'!I84),0))+IF('⚙️ Configuração'!C36='🔄 Rotação Duplas'!C85,IF('🔄 Rotação Duplas'!H85="-",0,'🔄 Rotação Duplas'!H85),IF('⚙️ Configuração'!C36='🔄 Rotação Duplas'!D85,IF('🔄 Rotação Duplas'!I85="-",0,'🔄 Rotação Duplas'!I85),0))+IF('⚙️ Configuração'!C36='🔄 Rotação Duplas'!C86,IF('🔄 Rotação Duplas'!H86="-",0,'🔄 Rotação Duplas'!H86),IF('⚙️ Configuração'!C36='🔄 Rotação Duplas'!D86,IF('🔄 Rotação Duplas'!I86="-",0,'🔄 Rotação Duplas'!I86),0))+IF('⚙️ Configuração'!C36='🔄 Rotação Duplas'!C87,IF('🔄 Rotação Duplas'!H87="-",0,'🔄 Rotação Duplas'!H87),IF('⚙️ Configuração'!C36='🔄 Rotação Duplas'!D87,IF('🔄 Rotação Duplas'!I87="-",0,'🔄 Rotação Duplas'!I87),0))</f>
        <v>0</v>
      </c>
      <c r="I12" s="63">
        <f>IF('⚙️ Configuração'!C36='🔄 Rotação Duplas'!C92,IF('🔄 Rotação Duplas'!H92="-",0,'🔄 Rotação Duplas'!H92),IF('⚙️ Configuração'!C36='🔄 Rotação Duplas'!D92,IF('🔄 Rotação Duplas'!I92="-",0,'🔄 Rotação Duplas'!I92),0))+IF('⚙️ Configuração'!C36='🔄 Rotação Duplas'!C93,IF('🔄 Rotação Duplas'!H93="-",0,'🔄 Rotação Duplas'!H93),IF('⚙️ Configuração'!C36='🔄 Rotação Duplas'!D93,IF('🔄 Rotação Duplas'!I93="-",0,'🔄 Rotação Duplas'!I93),0))+IF('⚙️ Configuração'!C36='🔄 Rotação Duplas'!C94,IF('🔄 Rotação Duplas'!H94="-",0,'🔄 Rotação Duplas'!H94),IF('⚙️ Configuração'!C36='🔄 Rotação Duplas'!D94,IF('🔄 Rotação Duplas'!I94="-",0,'🔄 Rotação Duplas'!I94),0))+IF('⚙️ Configuração'!C36='🔄 Rotação Duplas'!C95,IF('🔄 Rotação Duplas'!H95="-",0,'🔄 Rotação Duplas'!H95),IF('⚙️ Configuração'!C36='🔄 Rotação Duplas'!D95,IF('🔄 Rotação Duplas'!I95="-",0,'🔄 Rotação Duplas'!I95),0))+IF('⚙️ Configuração'!C36='🔄 Rotação Duplas'!C96,IF('🔄 Rotação Duplas'!H96="-",0,'🔄 Rotação Duplas'!H96),IF('⚙️ Configuração'!C36='🔄 Rotação Duplas'!D96,IF('🔄 Rotação Duplas'!I96="-",0,'🔄 Rotação Duplas'!I96),0))+IF('⚙️ Configuração'!C36='🔄 Rotação Duplas'!C97,IF('🔄 Rotação Duplas'!H97="-",0,'🔄 Rotação Duplas'!H97),IF('⚙️ Configuração'!C36='🔄 Rotação Duplas'!D97,IF('🔄 Rotação Duplas'!I97="-",0,'🔄 Rotação Duplas'!I97),0))+IF('⚙️ Configuração'!C36='🔄 Rotação Duplas'!C98,IF('🔄 Rotação Duplas'!H98="-",0,'🔄 Rotação Duplas'!H98),IF('⚙️ Configuração'!C36='🔄 Rotação Duplas'!D98,IF('🔄 Rotação Duplas'!I98="-",0,'🔄 Rotação Duplas'!I98),0))+IF('⚙️ Configuração'!C36='🔄 Rotação Duplas'!C99,IF('🔄 Rotação Duplas'!H99="-",0,'🔄 Rotação Duplas'!H99),IF('⚙️ Configuração'!C36='🔄 Rotação Duplas'!D99,IF('🔄 Rotação Duplas'!I99="-",0,'🔄 Rotação Duplas'!I99),0))+IF('⚙️ Configuração'!C36='🔄 Rotação Duplas'!C100,IF('🔄 Rotação Duplas'!H100="-",0,'🔄 Rotação Duplas'!H100),IF('⚙️ Configuração'!C36='🔄 Rotação Duplas'!D100,IF('🔄 Rotação Duplas'!I100="-",0,'🔄 Rotação Duplas'!I100),0))+IF('⚙️ Configuração'!C36='🔄 Rotação Duplas'!C101,IF('🔄 Rotação Duplas'!H101="-",0,'🔄 Rotação Duplas'!H101),IF('⚙️ Configuração'!C36='🔄 Rotação Duplas'!D101,IF('🔄 Rotação Duplas'!I101="-",0,'🔄 Rotação Duplas'!I101),0))</f>
        <v>0</v>
      </c>
      <c r="J12" s="63">
        <f>IF('⚙️ Configuração'!C36='🔄 Rotação Duplas'!C106,IF('🔄 Rotação Duplas'!H106="-",0,'🔄 Rotação Duplas'!H106),IF('⚙️ Configuração'!C36='🔄 Rotação Duplas'!D106,IF('🔄 Rotação Duplas'!I106="-",0,'🔄 Rotação Duplas'!I106),0))+IF('⚙️ Configuração'!C36='🔄 Rotação Duplas'!C107,IF('🔄 Rotação Duplas'!H107="-",0,'🔄 Rotação Duplas'!H107),IF('⚙️ Configuração'!C36='🔄 Rotação Duplas'!D107,IF('🔄 Rotação Duplas'!I107="-",0,'🔄 Rotação Duplas'!I107),0))+IF('⚙️ Configuração'!C36='🔄 Rotação Duplas'!C108,IF('🔄 Rotação Duplas'!H108="-",0,'🔄 Rotação Duplas'!H108),IF('⚙️ Configuração'!C36='🔄 Rotação Duplas'!D108,IF('🔄 Rotação Duplas'!I108="-",0,'🔄 Rotação Duplas'!I108),0))+IF('⚙️ Configuração'!C36='🔄 Rotação Duplas'!C109,IF('🔄 Rotação Duplas'!H109="-",0,'🔄 Rotação Duplas'!H109),IF('⚙️ Configuração'!C36='🔄 Rotação Duplas'!D109,IF('🔄 Rotação Duplas'!I109="-",0,'🔄 Rotação Duplas'!I109),0))+IF('⚙️ Configuração'!C36='🔄 Rotação Duplas'!C110,IF('🔄 Rotação Duplas'!H110="-",0,'🔄 Rotação Duplas'!H110),IF('⚙️ Configuração'!C36='🔄 Rotação Duplas'!D110,IF('🔄 Rotação Duplas'!I110="-",0,'🔄 Rotação Duplas'!I110),0))+IF('⚙️ Configuração'!C36='🔄 Rotação Duplas'!C111,IF('🔄 Rotação Duplas'!H111="-",0,'🔄 Rotação Duplas'!H111),IF('⚙️ Configuração'!C36='🔄 Rotação Duplas'!D111,IF('🔄 Rotação Duplas'!I111="-",0,'🔄 Rotação Duplas'!I111),0))+IF('⚙️ Configuração'!C36='🔄 Rotação Duplas'!C112,IF('🔄 Rotação Duplas'!H112="-",0,'🔄 Rotação Duplas'!H112),IF('⚙️ Configuração'!C36='🔄 Rotação Duplas'!D112,IF('🔄 Rotação Duplas'!I112="-",0,'🔄 Rotação Duplas'!I112),0))+IF('⚙️ Configuração'!C36='🔄 Rotação Duplas'!C113,IF('🔄 Rotação Duplas'!H113="-",0,'🔄 Rotação Duplas'!H113),IF('⚙️ Configuração'!C36='🔄 Rotação Duplas'!D113,IF('🔄 Rotação Duplas'!I113="-",0,'🔄 Rotação Duplas'!I113),0))+IF('⚙️ Configuração'!C36='🔄 Rotação Duplas'!C114,IF('🔄 Rotação Duplas'!H114="-",0,'🔄 Rotação Duplas'!H114),IF('⚙️ Configuração'!C36='🔄 Rotação Duplas'!D114,IF('🔄 Rotação Duplas'!I114="-",0,'🔄 Rotação Duplas'!I114),0))+IF('⚙️ Configuração'!C36='🔄 Rotação Duplas'!C115,IF('🔄 Rotação Duplas'!H115="-",0,'🔄 Rotação Duplas'!H115),IF('⚙️ Configuração'!C36='🔄 Rotação Duplas'!D115,IF('🔄 Rotação Duplas'!I115="-",0,'🔄 Rotação Duplas'!I115),0))</f>
        <v>0</v>
      </c>
      <c r="K12" s="64">
        <f t="shared" si="0"/>
        <v>55</v>
      </c>
      <c r="L12" s="65">
        <f>SUMIF('📋 Registo Diário'!$D$7:$D$646,'⚙️ Configuração'!C36,'📋 Registo Diário'!$Q$7:$Q$646)</f>
        <v>47</v>
      </c>
      <c r="M12" s="66">
        <f t="shared" si="1"/>
        <v>102</v>
      </c>
      <c r="N12" s="59"/>
      <c r="O12" s="67"/>
      <c r="P12" s="68"/>
    </row>
    <row r="13" spans="1:16" ht="21.75" customHeight="1" x14ac:dyDescent="0.2">
      <c r="A13" s="59"/>
      <c r="B13" s="4" t="str">
        <f>'⚙️ Configuração'!C37</f>
        <v>Carla Barata</v>
      </c>
      <c r="C13" s="63">
        <f>IF('⚙️ Configuração'!C37='🔄 Rotação Duplas'!C8,IF('🔄 Rotação Duplas'!H8="-",0,'🔄 Rotação Duplas'!H8),IF('⚙️ Configuração'!C37='🔄 Rotação Duplas'!D8,IF('🔄 Rotação Duplas'!I8="-",0,'🔄 Rotação Duplas'!I8),0))+IF('⚙️ Configuração'!C37='🔄 Rotação Duplas'!C9,IF('🔄 Rotação Duplas'!H9="-",0,'🔄 Rotação Duplas'!H9),IF('⚙️ Configuração'!C37='🔄 Rotação Duplas'!D9,IF('🔄 Rotação Duplas'!I9="-",0,'🔄 Rotação Duplas'!I9),0))+IF('⚙️ Configuração'!C37='🔄 Rotação Duplas'!C10,IF('🔄 Rotação Duplas'!H10="-",0,'🔄 Rotação Duplas'!H10),IF('⚙️ Configuração'!C37='🔄 Rotação Duplas'!D10,IF('🔄 Rotação Duplas'!I10="-",0,'🔄 Rotação Duplas'!I10),0))+IF('⚙️ Configuração'!C37='🔄 Rotação Duplas'!C11,IF('🔄 Rotação Duplas'!H11="-",0,'🔄 Rotação Duplas'!H11),IF('⚙️ Configuração'!C37='🔄 Rotação Duplas'!D11,IF('🔄 Rotação Duplas'!I11="-",0,'🔄 Rotação Duplas'!I11),0))+IF('⚙️ Configuração'!C37='🔄 Rotação Duplas'!C12,IF('🔄 Rotação Duplas'!H12="-",0,'🔄 Rotação Duplas'!H12),IF('⚙️ Configuração'!C37='🔄 Rotação Duplas'!D12,IF('🔄 Rotação Duplas'!I12="-",0,'🔄 Rotação Duplas'!I12),0))+IF('⚙️ Configuração'!C37='🔄 Rotação Duplas'!C13,IF('🔄 Rotação Duplas'!H13="-",0,'🔄 Rotação Duplas'!H13),IF('⚙️ Configuração'!C37='🔄 Rotação Duplas'!D13,IF('🔄 Rotação Duplas'!I13="-",0,'🔄 Rotação Duplas'!I13),0))+IF('⚙️ Configuração'!C37='🔄 Rotação Duplas'!C14,IF('🔄 Rotação Duplas'!H14="-",0,'🔄 Rotação Duplas'!H14),IF('⚙️ Configuração'!C37='🔄 Rotação Duplas'!D14,IF('🔄 Rotação Duplas'!I14="-",0,'🔄 Rotação Duplas'!I14),0))+IF('⚙️ Configuração'!C37='🔄 Rotação Duplas'!C15,IF('🔄 Rotação Duplas'!H15="-",0,'🔄 Rotação Duplas'!H15),IF('⚙️ Configuração'!C37='🔄 Rotação Duplas'!D15,IF('🔄 Rotação Duplas'!I15="-",0,'🔄 Rotação Duplas'!I15),0))+IF('⚙️ Configuração'!C37='🔄 Rotação Duplas'!C16,IF('🔄 Rotação Duplas'!H16="-",0,'🔄 Rotação Duplas'!H16),IF('⚙️ Configuração'!C37='🔄 Rotação Duplas'!D16,IF('🔄 Rotação Duplas'!I16="-",0,'🔄 Rotação Duplas'!I16),0))+IF('⚙️ Configuração'!C37='🔄 Rotação Duplas'!C17,IF('🔄 Rotação Duplas'!H17="-",0,'🔄 Rotação Duplas'!H17),IF('⚙️ Configuração'!C37='🔄 Rotação Duplas'!D17,IF('🔄 Rotação Duplas'!I17="-",0,'🔄 Rotação Duplas'!I17),0))</f>
        <v>21</v>
      </c>
      <c r="D13" s="63">
        <f>IF('⚙️ Configuração'!C37='🔄 Rotação Duplas'!C22,IF('🔄 Rotação Duplas'!H22="-",0,'🔄 Rotação Duplas'!H22),IF('⚙️ Configuração'!C37='🔄 Rotação Duplas'!D22,IF('🔄 Rotação Duplas'!I22="-",0,'🔄 Rotação Duplas'!I22),0))+IF('⚙️ Configuração'!C37='🔄 Rotação Duplas'!C23,IF('🔄 Rotação Duplas'!H23="-",0,'🔄 Rotação Duplas'!H23),IF('⚙️ Configuração'!C37='🔄 Rotação Duplas'!D23,IF('🔄 Rotação Duplas'!I23="-",0,'🔄 Rotação Duplas'!I23),0))+IF('⚙️ Configuração'!C37='🔄 Rotação Duplas'!C24,IF('🔄 Rotação Duplas'!H24="-",0,'🔄 Rotação Duplas'!H24),IF('⚙️ Configuração'!C37='🔄 Rotação Duplas'!D24,IF('🔄 Rotação Duplas'!I24="-",0,'🔄 Rotação Duplas'!I24),0))+IF('⚙️ Configuração'!C37='🔄 Rotação Duplas'!C25,IF('🔄 Rotação Duplas'!H25="-",0,'🔄 Rotação Duplas'!H25),IF('⚙️ Configuração'!C37='🔄 Rotação Duplas'!D25,IF('🔄 Rotação Duplas'!I25="-",0,'🔄 Rotação Duplas'!I25),0))+IF('⚙️ Configuração'!C37='🔄 Rotação Duplas'!C26,IF('🔄 Rotação Duplas'!H26="-",0,'🔄 Rotação Duplas'!H26),IF('⚙️ Configuração'!C37='🔄 Rotação Duplas'!D26,IF('🔄 Rotação Duplas'!I26="-",0,'🔄 Rotação Duplas'!I26),0))+IF('⚙️ Configuração'!C37='🔄 Rotação Duplas'!C27,IF('🔄 Rotação Duplas'!H27="-",0,'🔄 Rotação Duplas'!H27),IF('⚙️ Configuração'!C37='🔄 Rotação Duplas'!D27,IF('🔄 Rotação Duplas'!I27="-",0,'🔄 Rotação Duplas'!I27),0))+IF('⚙️ Configuração'!C37='🔄 Rotação Duplas'!C28,IF('🔄 Rotação Duplas'!H28="-",0,'🔄 Rotação Duplas'!H28),IF('⚙️ Configuração'!C37='🔄 Rotação Duplas'!D28,IF('🔄 Rotação Duplas'!I28="-",0,'🔄 Rotação Duplas'!I28),0))+IF('⚙️ Configuração'!C37='🔄 Rotação Duplas'!C29,IF('🔄 Rotação Duplas'!H29="-",0,'🔄 Rotação Duplas'!H29),IF('⚙️ Configuração'!C37='🔄 Rotação Duplas'!D29,IF('🔄 Rotação Duplas'!I29="-",0,'🔄 Rotação Duplas'!I29),0))+IF('⚙️ Configuração'!C37='🔄 Rotação Duplas'!C30,IF('🔄 Rotação Duplas'!H30="-",0,'🔄 Rotação Duplas'!H30),IF('⚙️ Configuração'!C37='🔄 Rotação Duplas'!D30,IF('🔄 Rotação Duplas'!I30="-",0,'🔄 Rotação Duplas'!I30),0))+IF('⚙️ Configuração'!C37='🔄 Rotação Duplas'!C31,IF('🔄 Rotação Duplas'!H31="-",0,'🔄 Rotação Duplas'!H31),IF('⚙️ Configuração'!C37='🔄 Rotação Duplas'!D31,IF('🔄 Rotação Duplas'!I31="-",0,'🔄 Rotação Duplas'!I31),0))</f>
        <v>0</v>
      </c>
      <c r="E13" s="63">
        <f>IF('⚙️ Configuração'!C37='🔄 Rotação Duplas'!C36,IF('🔄 Rotação Duplas'!H36="-",0,'🔄 Rotação Duplas'!H36),IF('⚙️ Configuração'!C37='🔄 Rotação Duplas'!D36,IF('🔄 Rotação Duplas'!I36="-",0,'🔄 Rotação Duplas'!I36),0))+IF('⚙️ Configuração'!C37='🔄 Rotação Duplas'!C37,IF('🔄 Rotação Duplas'!H37="-",0,'🔄 Rotação Duplas'!H37),IF('⚙️ Configuração'!C37='🔄 Rotação Duplas'!D37,IF('🔄 Rotação Duplas'!I37="-",0,'🔄 Rotação Duplas'!I37),0))+IF('⚙️ Configuração'!C37='🔄 Rotação Duplas'!C38,IF('🔄 Rotação Duplas'!H38="-",0,'🔄 Rotação Duplas'!H38),IF('⚙️ Configuração'!C37='🔄 Rotação Duplas'!D38,IF('🔄 Rotação Duplas'!I38="-",0,'🔄 Rotação Duplas'!I38),0))+IF('⚙️ Configuração'!C37='🔄 Rotação Duplas'!C39,IF('🔄 Rotação Duplas'!H39="-",0,'🔄 Rotação Duplas'!H39),IF('⚙️ Configuração'!C37='🔄 Rotação Duplas'!D39,IF('🔄 Rotação Duplas'!I39="-",0,'🔄 Rotação Duplas'!I39),0))+IF('⚙️ Configuração'!C37='🔄 Rotação Duplas'!C40,IF('🔄 Rotação Duplas'!H40="-",0,'🔄 Rotação Duplas'!H40),IF('⚙️ Configuração'!C37='🔄 Rotação Duplas'!D40,IF('🔄 Rotação Duplas'!I40="-",0,'🔄 Rotação Duplas'!I40),0))+IF('⚙️ Configuração'!C37='🔄 Rotação Duplas'!C41,IF('🔄 Rotação Duplas'!H41="-",0,'🔄 Rotação Duplas'!H41),IF('⚙️ Configuração'!C37='🔄 Rotação Duplas'!D41,IF('🔄 Rotação Duplas'!I41="-",0,'🔄 Rotação Duplas'!I41),0))+IF('⚙️ Configuração'!C37='🔄 Rotação Duplas'!C42,IF('🔄 Rotação Duplas'!H42="-",0,'🔄 Rotação Duplas'!H42),IF('⚙️ Configuração'!C37='🔄 Rotação Duplas'!D42,IF('🔄 Rotação Duplas'!I42="-",0,'🔄 Rotação Duplas'!I42),0))+IF('⚙️ Configuração'!C37='🔄 Rotação Duplas'!C43,IF('🔄 Rotação Duplas'!H43="-",0,'🔄 Rotação Duplas'!H43),IF('⚙️ Configuração'!C37='🔄 Rotação Duplas'!D43,IF('🔄 Rotação Duplas'!I43="-",0,'🔄 Rotação Duplas'!I43),0))+IF('⚙️ Configuração'!C37='🔄 Rotação Duplas'!C44,IF('🔄 Rotação Duplas'!H44="-",0,'🔄 Rotação Duplas'!H44),IF('⚙️ Configuração'!C37='🔄 Rotação Duplas'!D44,IF('🔄 Rotação Duplas'!I44="-",0,'🔄 Rotação Duplas'!I44),0))+IF('⚙️ Configuração'!C37='🔄 Rotação Duplas'!C45,IF('🔄 Rotação Duplas'!H45="-",0,'🔄 Rotação Duplas'!H45),IF('⚙️ Configuração'!C37='🔄 Rotação Duplas'!D45,IF('🔄 Rotação Duplas'!I45="-",0,'🔄 Rotação Duplas'!I45),0))</f>
        <v>0</v>
      </c>
      <c r="F13" s="63">
        <f>IF('⚙️ Configuração'!C37='🔄 Rotação Duplas'!C50,IF('🔄 Rotação Duplas'!H50="-",0,'🔄 Rotação Duplas'!H50),IF('⚙️ Configuração'!C37='🔄 Rotação Duplas'!D50,IF('🔄 Rotação Duplas'!I50="-",0,'🔄 Rotação Duplas'!I50),0))+IF('⚙️ Configuração'!C37='🔄 Rotação Duplas'!C51,IF('🔄 Rotação Duplas'!H51="-",0,'🔄 Rotação Duplas'!H51),IF('⚙️ Configuração'!C37='🔄 Rotação Duplas'!D51,IF('🔄 Rotação Duplas'!I51="-",0,'🔄 Rotação Duplas'!I51),0))+IF('⚙️ Configuração'!C37='🔄 Rotação Duplas'!C52,IF('🔄 Rotação Duplas'!H52="-",0,'🔄 Rotação Duplas'!H52),IF('⚙️ Configuração'!C37='🔄 Rotação Duplas'!D52,IF('🔄 Rotação Duplas'!I52="-",0,'🔄 Rotação Duplas'!I52),0))+IF('⚙️ Configuração'!C37='🔄 Rotação Duplas'!C53,IF('🔄 Rotação Duplas'!H53="-",0,'🔄 Rotação Duplas'!H53),IF('⚙️ Configuração'!C37='🔄 Rotação Duplas'!D53,IF('🔄 Rotação Duplas'!I53="-",0,'🔄 Rotação Duplas'!I53),0))+IF('⚙️ Configuração'!C37='🔄 Rotação Duplas'!C54,IF('🔄 Rotação Duplas'!H54="-",0,'🔄 Rotação Duplas'!H54),IF('⚙️ Configuração'!C37='🔄 Rotação Duplas'!D54,IF('🔄 Rotação Duplas'!I54="-",0,'🔄 Rotação Duplas'!I54),0))+IF('⚙️ Configuração'!C37='🔄 Rotação Duplas'!C55,IF('🔄 Rotação Duplas'!H55="-",0,'🔄 Rotação Duplas'!H55),IF('⚙️ Configuração'!C37='🔄 Rotação Duplas'!D55,IF('🔄 Rotação Duplas'!I55="-",0,'🔄 Rotação Duplas'!I55),0))+IF('⚙️ Configuração'!C37='🔄 Rotação Duplas'!C56,IF('🔄 Rotação Duplas'!H56="-",0,'🔄 Rotação Duplas'!H56),IF('⚙️ Configuração'!C37='🔄 Rotação Duplas'!D56,IF('🔄 Rotação Duplas'!I56="-",0,'🔄 Rotação Duplas'!I56),0))+IF('⚙️ Configuração'!C37='🔄 Rotação Duplas'!C57,IF('🔄 Rotação Duplas'!H57="-",0,'🔄 Rotação Duplas'!H57),IF('⚙️ Configuração'!C37='🔄 Rotação Duplas'!D57,IF('🔄 Rotação Duplas'!I57="-",0,'🔄 Rotação Duplas'!I57),0))+IF('⚙️ Configuração'!C37='🔄 Rotação Duplas'!C58,IF('🔄 Rotação Duplas'!H58="-",0,'🔄 Rotação Duplas'!H58),IF('⚙️ Configuração'!C37='🔄 Rotação Duplas'!D58,IF('🔄 Rotação Duplas'!I58="-",0,'🔄 Rotação Duplas'!I58),0))+IF('⚙️ Configuração'!C37='🔄 Rotação Duplas'!C59,IF('🔄 Rotação Duplas'!H59="-",0,'🔄 Rotação Duplas'!H59),IF('⚙️ Configuração'!C37='🔄 Rotação Duplas'!D59,IF('🔄 Rotação Duplas'!I59="-",0,'🔄 Rotação Duplas'!I59),0))</f>
        <v>0</v>
      </c>
      <c r="G13" s="63">
        <f>IF('⚙️ Configuração'!C37='🔄 Rotação Duplas'!C64,IF('🔄 Rotação Duplas'!H64="-",0,'🔄 Rotação Duplas'!H64),IF('⚙️ Configuração'!C37='🔄 Rotação Duplas'!D64,IF('🔄 Rotação Duplas'!I64="-",0,'🔄 Rotação Duplas'!I64),0))+IF('⚙️ Configuração'!C37='🔄 Rotação Duplas'!C65,IF('🔄 Rotação Duplas'!H65="-",0,'🔄 Rotação Duplas'!H65),IF('⚙️ Configuração'!C37='🔄 Rotação Duplas'!D65,IF('🔄 Rotação Duplas'!I65="-",0,'🔄 Rotação Duplas'!I65),0))+IF('⚙️ Configuração'!C37='🔄 Rotação Duplas'!C66,IF('🔄 Rotação Duplas'!H66="-",0,'🔄 Rotação Duplas'!H66),IF('⚙️ Configuração'!C37='🔄 Rotação Duplas'!D66,IF('🔄 Rotação Duplas'!I66="-",0,'🔄 Rotação Duplas'!I66),0))+IF('⚙️ Configuração'!C37='🔄 Rotação Duplas'!C67,IF('🔄 Rotação Duplas'!H67="-",0,'🔄 Rotação Duplas'!H67),IF('⚙️ Configuração'!C37='🔄 Rotação Duplas'!D67,IF('🔄 Rotação Duplas'!I67="-",0,'🔄 Rotação Duplas'!I67),0))+IF('⚙️ Configuração'!C37='🔄 Rotação Duplas'!C68,IF('🔄 Rotação Duplas'!H68="-",0,'🔄 Rotação Duplas'!H68),IF('⚙️ Configuração'!C37='🔄 Rotação Duplas'!D68,IF('🔄 Rotação Duplas'!I68="-",0,'🔄 Rotação Duplas'!I68),0))+IF('⚙️ Configuração'!C37='🔄 Rotação Duplas'!C69,IF('🔄 Rotação Duplas'!H69="-",0,'🔄 Rotação Duplas'!H69),IF('⚙️ Configuração'!C37='🔄 Rotação Duplas'!D69,IF('🔄 Rotação Duplas'!I69="-",0,'🔄 Rotação Duplas'!I69),0))+IF('⚙️ Configuração'!C37='🔄 Rotação Duplas'!C70,IF('🔄 Rotação Duplas'!H70="-",0,'🔄 Rotação Duplas'!H70),IF('⚙️ Configuração'!C37='🔄 Rotação Duplas'!D70,IF('🔄 Rotação Duplas'!I70="-",0,'🔄 Rotação Duplas'!I70),0))+IF('⚙️ Configuração'!C37='🔄 Rotação Duplas'!C71,IF('🔄 Rotação Duplas'!H71="-",0,'🔄 Rotação Duplas'!H71),IF('⚙️ Configuração'!C37='🔄 Rotação Duplas'!D71,IF('🔄 Rotação Duplas'!I71="-",0,'🔄 Rotação Duplas'!I71),0))+IF('⚙️ Configuração'!C37='🔄 Rotação Duplas'!C72,IF('🔄 Rotação Duplas'!H72="-",0,'🔄 Rotação Duplas'!H72),IF('⚙️ Configuração'!C37='🔄 Rotação Duplas'!D72,IF('🔄 Rotação Duplas'!I72="-",0,'🔄 Rotação Duplas'!I72),0))+IF('⚙️ Configuração'!C37='🔄 Rotação Duplas'!C73,IF('🔄 Rotação Duplas'!H73="-",0,'🔄 Rotação Duplas'!H73),IF('⚙️ Configuração'!C37='🔄 Rotação Duplas'!D73,IF('🔄 Rotação Duplas'!I73="-",0,'🔄 Rotação Duplas'!I73),0))</f>
        <v>0</v>
      </c>
      <c r="H13" s="63">
        <f>IF('⚙️ Configuração'!C37='🔄 Rotação Duplas'!C78,IF('🔄 Rotação Duplas'!H78="-",0,'🔄 Rotação Duplas'!H78),IF('⚙️ Configuração'!C37='🔄 Rotação Duplas'!D78,IF('🔄 Rotação Duplas'!I78="-",0,'🔄 Rotação Duplas'!I78),0))+IF('⚙️ Configuração'!C37='🔄 Rotação Duplas'!C79,IF('🔄 Rotação Duplas'!H79="-",0,'🔄 Rotação Duplas'!H79),IF('⚙️ Configuração'!C37='🔄 Rotação Duplas'!D79,IF('🔄 Rotação Duplas'!I79="-",0,'🔄 Rotação Duplas'!I79),0))+IF('⚙️ Configuração'!C37='🔄 Rotação Duplas'!C80,IF('🔄 Rotação Duplas'!H80="-",0,'🔄 Rotação Duplas'!H80),IF('⚙️ Configuração'!C37='🔄 Rotação Duplas'!D80,IF('🔄 Rotação Duplas'!I80="-",0,'🔄 Rotação Duplas'!I80),0))+IF('⚙️ Configuração'!C37='🔄 Rotação Duplas'!C81,IF('🔄 Rotação Duplas'!H81="-",0,'🔄 Rotação Duplas'!H81),IF('⚙️ Configuração'!C37='🔄 Rotação Duplas'!D81,IF('🔄 Rotação Duplas'!I81="-",0,'🔄 Rotação Duplas'!I81),0))+IF('⚙️ Configuração'!C37='🔄 Rotação Duplas'!C82,IF('🔄 Rotação Duplas'!H82="-",0,'🔄 Rotação Duplas'!H82),IF('⚙️ Configuração'!C37='🔄 Rotação Duplas'!D82,IF('🔄 Rotação Duplas'!I82="-",0,'🔄 Rotação Duplas'!I82),0))+IF('⚙️ Configuração'!C37='🔄 Rotação Duplas'!C83,IF('🔄 Rotação Duplas'!H83="-",0,'🔄 Rotação Duplas'!H83),IF('⚙️ Configuração'!C37='🔄 Rotação Duplas'!D83,IF('🔄 Rotação Duplas'!I83="-",0,'🔄 Rotação Duplas'!I83),0))+IF('⚙️ Configuração'!C37='🔄 Rotação Duplas'!C84,IF('🔄 Rotação Duplas'!H84="-",0,'🔄 Rotação Duplas'!H84),IF('⚙️ Configuração'!C37='🔄 Rotação Duplas'!D84,IF('🔄 Rotação Duplas'!I84="-",0,'🔄 Rotação Duplas'!I84),0))+IF('⚙️ Configuração'!C37='🔄 Rotação Duplas'!C85,IF('🔄 Rotação Duplas'!H85="-",0,'🔄 Rotação Duplas'!H85),IF('⚙️ Configuração'!C37='🔄 Rotação Duplas'!D85,IF('🔄 Rotação Duplas'!I85="-",0,'🔄 Rotação Duplas'!I85),0))+IF('⚙️ Configuração'!C37='🔄 Rotação Duplas'!C86,IF('🔄 Rotação Duplas'!H86="-",0,'🔄 Rotação Duplas'!H86),IF('⚙️ Configuração'!C37='🔄 Rotação Duplas'!D86,IF('🔄 Rotação Duplas'!I86="-",0,'🔄 Rotação Duplas'!I86),0))+IF('⚙️ Configuração'!C37='🔄 Rotação Duplas'!C87,IF('🔄 Rotação Duplas'!H87="-",0,'🔄 Rotação Duplas'!H87),IF('⚙️ Configuração'!C37='🔄 Rotação Duplas'!D87,IF('🔄 Rotação Duplas'!I87="-",0,'🔄 Rotação Duplas'!I87),0))</f>
        <v>0</v>
      </c>
      <c r="I13" s="63">
        <f>IF('⚙️ Configuração'!C37='🔄 Rotação Duplas'!C92,IF('🔄 Rotação Duplas'!H92="-",0,'🔄 Rotação Duplas'!H92),IF('⚙️ Configuração'!C37='🔄 Rotação Duplas'!D92,IF('🔄 Rotação Duplas'!I92="-",0,'🔄 Rotação Duplas'!I92),0))+IF('⚙️ Configuração'!C37='🔄 Rotação Duplas'!C93,IF('🔄 Rotação Duplas'!H93="-",0,'🔄 Rotação Duplas'!H93),IF('⚙️ Configuração'!C37='🔄 Rotação Duplas'!D93,IF('🔄 Rotação Duplas'!I93="-",0,'🔄 Rotação Duplas'!I93),0))+IF('⚙️ Configuração'!C37='🔄 Rotação Duplas'!C94,IF('🔄 Rotação Duplas'!H94="-",0,'🔄 Rotação Duplas'!H94),IF('⚙️ Configuração'!C37='🔄 Rotação Duplas'!D94,IF('🔄 Rotação Duplas'!I94="-",0,'🔄 Rotação Duplas'!I94),0))+IF('⚙️ Configuração'!C37='🔄 Rotação Duplas'!C95,IF('🔄 Rotação Duplas'!H95="-",0,'🔄 Rotação Duplas'!H95),IF('⚙️ Configuração'!C37='🔄 Rotação Duplas'!D95,IF('🔄 Rotação Duplas'!I95="-",0,'🔄 Rotação Duplas'!I95),0))+IF('⚙️ Configuração'!C37='🔄 Rotação Duplas'!C96,IF('🔄 Rotação Duplas'!H96="-",0,'🔄 Rotação Duplas'!H96),IF('⚙️ Configuração'!C37='🔄 Rotação Duplas'!D96,IF('🔄 Rotação Duplas'!I96="-",0,'🔄 Rotação Duplas'!I96),0))+IF('⚙️ Configuração'!C37='🔄 Rotação Duplas'!C97,IF('🔄 Rotação Duplas'!H97="-",0,'🔄 Rotação Duplas'!H97),IF('⚙️ Configuração'!C37='🔄 Rotação Duplas'!D97,IF('🔄 Rotação Duplas'!I97="-",0,'🔄 Rotação Duplas'!I97),0))+IF('⚙️ Configuração'!C37='🔄 Rotação Duplas'!C98,IF('🔄 Rotação Duplas'!H98="-",0,'🔄 Rotação Duplas'!H98),IF('⚙️ Configuração'!C37='🔄 Rotação Duplas'!D98,IF('🔄 Rotação Duplas'!I98="-",0,'🔄 Rotação Duplas'!I98),0))+IF('⚙️ Configuração'!C37='🔄 Rotação Duplas'!C99,IF('🔄 Rotação Duplas'!H99="-",0,'🔄 Rotação Duplas'!H99),IF('⚙️ Configuração'!C37='🔄 Rotação Duplas'!D99,IF('🔄 Rotação Duplas'!I99="-",0,'🔄 Rotação Duplas'!I99),0))+IF('⚙️ Configuração'!C37='🔄 Rotação Duplas'!C100,IF('🔄 Rotação Duplas'!H100="-",0,'🔄 Rotação Duplas'!H100),IF('⚙️ Configuração'!C37='🔄 Rotação Duplas'!D100,IF('🔄 Rotação Duplas'!I100="-",0,'🔄 Rotação Duplas'!I100),0))+IF('⚙️ Configuração'!C37='🔄 Rotação Duplas'!C101,IF('🔄 Rotação Duplas'!H101="-",0,'🔄 Rotação Duplas'!H101),IF('⚙️ Configuração'!C37='🔄 Rotação Duplas'!D101,IF('🔄 Rotação Duplas'!I101="-",0,'🔄 Rotação Duplas'!I101),0))</f>
        <v>0</v>
      </c>
      <c r="J13" s="63">
        <f>IF('⚙️ Configuração'!C37='🔄 Rotação Duplas'!C106,IF('🔄 Rotação Duplas'!H106="-",0,'🔄 Rotação Duplas'!H106),IF('⚙️ Configuração'!C37='🔄 Rotação Duplas'!D106,IF('🔄 Rotação Duplas'!I106="-",0,'🔄 Rotação Duplas'!I106),0))+IF('⚙️ Configuração'!C37='🔄 Rotação Duplas'!C107,IF('🔄 Rotação Duplas'!H107="-",0,'🔄 Rotação Duplas'!H107),IF('⚙️ Configuração'!C37='🔄 Rotação Duplas'!D107,IF('🔄 Rotação Duplas'!I107="-",0,'🔄 Rotação Duplas'!I107),0))+IF('⚙️ Configuração'!C37='🔄 Rotação Duplas'!C108,IF('🔄 Rotação Duplas'!H108="-",0,'🔄 Rotação Duplas'!H108),IF('⚙️ Configuração'!C37='🔄 Rotação Duplas'!D108,IF('🔄 Rotação Duplas'!I108="-",0,'🔄 Rotação Duplas'!I108),0))+IF('⚙️ Configuração'!C37='🔄 Rotação Duplas'!C109,IF('🔄 Rotação Duplas'!H109="-",0,'🔄 Rotação Duplas'!H109),IF('⚙️ Configuração'!C37='🔄 Rotação Duplas'!D109,IF('🔄 Rotação Duplas'!I109="-",0,'🔄 Rotação Duplas'!I109),0))+IF('⚙️ Configuração'!C37='🔄 Rotação Duplas'!C110,IF('🔄 Rotação Duplas'!H110="-",0,'🔄 Rotação Duplas'!H110),IF('⚙️ Configuração'!C37='🔄 Rotação Duplas'!D110,IF('🔄 Rotação Duplas'!I110="-",0,'🔄 Rotação Duplas'!I110),0))+IF('⚙️ Configuração'!C37='🔄 Rotação Duplas'!C111,IF('🔄 Rotação Duplas'!H111="-",0,'🔄 Rotação Duplas'!H111),IF('⚙️ Configuração'!C37='🔄 Rotação Duplas'!D111,IF('🔄 Rotação Duplas'!I111="-",0,'🔄 Rotação Duplas'!I111),0))+IF('⚙️ Configuração'!C37='🔄 Rotação Duplas'!C112,IF('🔄 Rotação Duplas'!H112="-",0,'🔄 Rotação Duplas'!H112),IF('⚙️ Configuração'!C37='🔄 Rotação Duplas'!D112,IF('🔄 Rotação Duplas'!I112="-",0,'🔄 Rotação Duplas'!I112),0))+IF('⚙️ Configuração'!C37='🔄 Rotação Duplas'!C113,IF('🔄 Rotação Duplas'!H113="-",0,'🔄 Rotação Duplas'!H113),IF('⚙️ Configuração'!C37='🔄 Rotação Duplas'!D113,IF('🔄 Rotação Duplas'!I113="-",0,'🔄 Rotação Duplas'!I113),0))+IF('⚙️ Configuração'!C37='🔄 Rotação Duplas'!C114,IF('🔄 Rotação Duplas'!H114="-",0,'🔄 Rotação Duplas'!H114),IF('⚙️ Configuração'!C37='🔄 Rotação Duplas'!D114,IF('🔄 Rotação Duplas'!I114="-",0,'🔄 Rotação Duplas'!I114),0))+IF('⚙️ Configuração'!C37='🔄 Rotação Duplas'!C115,IF('🔄 Rotação Duplas'!H115="-",0,'🔄 Rotação Duplas'!H115),IF('⚙️ Configuração'!C37='🔄 Rotação Duplas'!D115,IF('🔄 Rotação Duplas'!I115="-",0,'🔄 Rotação Duplas'!I115),0))</f>
        <v>0</v>
      </c>
      <c r="K13" s="64">
        <f t="shared" si="0"/>
        <v>21</v>
      </c>
      <c r="L13" s="65">
        <f>SUMIF('📋 Registo Diário'!$D$7:$D$646,'⚙️ Configuração'!C37,'📋 Registo Diário'!$Q$7:$Q$646)</f>
        <v>23</v>
      </c>
      <c r="M13" s="66">
        <f t="shared" si="1"/>
        <v>44</v>
      </c>
      <c r="N13" s="59"/>
      <c r="O13" s="67"/>
      <c r="P13" s="68"/>
    </row>
    <row r="14" spans="1:16" ht="21.75" customHeight="1" x14ac:dyDescent="0.2">
      <c r="A14" s="59"/>
      <c r="B14" s="13" t="str">
        <f>'⚙️ Configuração'!C38</f>
        <v>Denise Filipe</v>
      </c>
      <c r="C14" s="63">
        <f>IF('⚙️ Configuração'!C38='🔄 Rotação Duplas'!C8,IF('🔄 Rotação Duplas'!H8="-",0,'🔄 Rotação Duplas'!H8),IF('⚙️ Configuração'!C38='🔄 Rotação Duplas'!D8,IF('🔄 Rotação Duplas'!I8="-",0,'🔄 Rotação Duplas'!I8),0))+IF('⚙️ Configuração'!C38='🔄 Rotação Duplas'!C9,IF('🔄 Rotação Duplas'!H9="-",0,'🔄 Rotação Duplas'!H9),IF('⚙️ Configuração'!C38='🔄 Rotação Duplas'!D9,IF('🔄 Rotação Duplas'!I9="-",0,'🔄 Rotação Duplas'!I9),0))+IF('⚙️ Configuração'!C38='🔄 Rotação Duplas'!C10,IF('🔄 Rotação Duplas'!H10="-",0,'🔄 Rotação Duplas'!H10),IF('⚙️ Configuração'!C38='🔄 Rotação Duplas'!D10,IF('🔄 Rotação Duplas'!I10="-",0,'🔄 Rotação Duplas'!I10),0))+IF('⚙️ Configuração'!C38='🔄 Rotação Duplas'!C11,IF('🔄 Rotação Duplas'!H11="-",0,'🔄 Rotação Duplas'!H11),IF('⚙️ Configuração'!C38='🔄 Rotação Duplas'!D11,IF('🔄 Rotação Duplas'!I11="-",0,'🔄 Rotação Duplas'!I11),0))+IF('⚙️ Configuração'!C38='🔄 Rotação Duplas'!C12,IF('🔄 Rotação Duplas'!H12="-",0,'🔄 Rotação Duplas'!H12),IF('⚙️ Configuração'!C38='🔄 Rotação Duplas'!D12,IF('🔄 Rotação Duplas'!I12="-",0,'🔄 Rotação Duplas'!I12),0))+IF('⚙️ Configuração'!C38='🔄 Rotação Duplas'!C13,IF('🔄 Rotação Duplas'!H13="-",0,'🔄 Rotação Duplas'!H13),IF('⚙️ Configuração'!C38='🔄 Rotação Duplas'!D13,IF('🔄 Rotação Duplas'!I13="-",0,'🔄 Rotação Duplas'!I13),0))+IF('⚙️ Configuração'!C38='🔄 Rotação Duplas'!C14,IF('🔄 Rotação Duplas'!H14="-",0,'🔄 Rotação Duplas'!H14),IF('⚙️ Configuração'!C38='🔄 Rotação Duplas'!D14,IF('🔄 Rotação Duplas'!I14="-",0,'🔄 Rotação Duplas'!I14),0))+IF('⚙️ Configuração'!C38='🔄 Rotação Duplas'!C15,IF('🔄 Rotação Duplas'!H15="-",0,'🔄 Rotação Duplas'!H15),IF('⚙️ Configuração'!C38='🔄 Rotação Duplas'!D15,IF('🔄 Rotação Duplas'!I15="-",0,'🔄 Rotação Duplas'!I15),0))+IF('⚙️ Configuração'!C38='🔄 Rotação Duplas'!C16,IF('🔄 Rotação Duplas'!H16="-",0,'🔄 Rotação Duplas'!H16),IF('⚙️ Configuração'!C38='🔄 Rotação Duplas'!D16,IF('🔄 Rotação Duplas'!I16="-",0,'🔄 Rotação Duplas'!I16),0))+IF('⚙️ Configuração'!C38='🔄 Rotação Duplas'!C17,IF('🔄 Rotação Duplas'!H17="-",0,'🔄 Rotação Duplas'!H17),IF('⚙️ Configuração'!C38='🔄 Rotação Duplas'!D17,IF('🔄 Rotação Duplas'!I17="-",0,'🔄 Rotação Duplas'!I17),0))</f>
        <v>44</v>
      </c>
      <c r="D14" s="63">
        <f>IF('⚙️ Configuração'!C38='🔄 Rotação Duplas'!C22,IF('🔄 Rotação Duplas'!H22="-",0,'🔄 Rotação Duplas'!H22),IF('⚙️ Configuração'!C38='🔄 Rotação Duplas'!D22,IF('🔄 Rotação Duplas'!I22="-",0,'🔄 Rotação Duplas'!I22),0))+IF('⚙️ Configuração'!C38='🔄 Rotação Duplas'!C23,IF('🔄 Rotação Duplas'!H23="-",0,'🔄 Rotação Duplas'!H23),IF('⚙️ Configuração'!C38='🔄 Rotação Duplas'!D23,IF('🔄 Rotação Duplas'!I23="-",0,'🔄 Rotação Duplas'!I23),0))+IF('⚙️ Configuração'!C38='🔄 Rotação Duplas'!C24,IF('🔄 Rotação Duplas'!H24="-",0,'🔄 Rotação Duplas'!H24),IF('⚙️ Configuração'!C38='🔄 Rotação Duplas'!D24,IF('🔄 Rotação Duplas'!I24="-",0,'🔄 Rotação Duplas'!I24),0))+IF('⚙️ Configuração'!C38='🔄 Rotação Duplas'!C25,IF('🔄 Rotação Duplas'!H25="-",0,'🔄 Rotação Duplas'!H25),IF('⚙️ Configuração'!C38='🔄 Rotação Duplas'!D25,IF('🔄 Rotação Duplas'!I25="-",0,'🔄 Rotação Duplas'!I25),0))+IF('⚙️ Configuração'!C38='🔄 Rotação Duplas'!C26,IF('🔄 Rotação Duplas'!H26="-",0,'🔄 Rotação Duplas'!H26),IF('⚙️ Configuração'!C38='🔄 Rotação Duplas'!D26,IF('🔄 Rotação Duplas'!I26="-",0,'🔄 Rotação Duplas'!I26),0))+IF('⚙️ Configuração'!C38='🔄 Rotação Duplas'!C27,IF('🔄 Rotação Duplas'!H27="-",0,'🔄 Rotação Duplas'!H27),IF('⚙️ Configuração'!C38='🔄 Rotação Duplas'!D27,IF('🔄 Rotação Duplas'!I27="-",0,'🔄 Rotação Duplas'!I27),0))+IF('⚙️ Configuração'!C38='🔄 Rotação Duplas'!C28,IF('🔄 Rotação Duplas'!H28="-",0,'🔄 Rotação Duplas'!H28),IF('⚙️ Configuração'!C38='🔄 Rotação Duplas'!D28,IF('🔄 Rotação Duplas'!I28="-",0,'🔄 Rotação Duplas'!I28),0))+IF('⚙️ Configuração'!C38='🔄 Rotação Duplas'!C29,IF('🔄 Rotação Duplas'!H29="-",0,'🔄 Rotação Duplas'!H29),IF('⚙️ Configuração'!C38='🔄 Rotação Duplas'!D29,IF('🔄 Rotação Duplas'!I29="-",0,'🔄 Rotação Duplas'!I29),0))+IF('⚙️ Configuração'!C38='🔄 Rotação Duplas'!C30,IF('🔄 Rotação Duplas'!H30="-",0,'🔄 Rotação Duplas'!H30),IF('⚙️ Configuração'!C38='🔄 Rotação Duplas'!D30,IF('🔄 Rotação Duplas'!I30="-",0,'🔄 Rotação Duplas'!I30),0))+IF('⚙️ Configuração'!C38='🔄 Rotação Duplas'!C31,IF('🔄 Rotação Duplas'!H31="-",0,'🔄 Rotação Duplas'!H31),IF('⚙️ Configuração'!C38='🔄 Rotação Duplas'!D31,IF('🔄 Rotação Duplas'!I31="-",0,'🔄 Rotação Duplas'!I31),0))</f>
        <v>0</v>
      </c>
      <c r="E14" s="63">
        <f>IF('⚙️ Configuração'!C38='🔄 Rotação Duplas'!C36,IF('🔄 Rotação Duplas'!H36="-",0,'🔄 Rotação Duplas'!H36),IF('⚙️ Configuração'!C38='🔄 Rotação Duplas'!D36,IF('🔄 Rotação Duplas'!I36="-",0,'🔄 Rotação Duplas'!I36),0))+IF('⚙️ Configuração'!C38='🔄 Rotação Duplas'!C37,IF('🔄 Rotação Duplas'!H37="-",0,'🔄 Rotação Duplas'!H37),IF('⚙️ Configuração'!C38='🔄 Rotação Duplas'!D37,IF('🔄 Rotação Duplas'!I37="-",0,'🔄 Rotação Duplas'!I37),0))+IF('⚙️ Configuração'!C38='🔄 Rotação Duplas'!C38,IF('🔄 Rotação Duplas'!H38="-",0,'🔄 Rotação Duplas'!H38),IF('⚙️ Configuração'!C38='🔄 Rotação Duplas'!D38,IF('🔄 Rotação Duplas'!I38="-",0,'🔄 Rotação Duplas'!I38),0))+IF('⚙️ Configuração'!C38='🔄 Rotação Duplas'!C39,IF('🔄 Rotação Duplas'!H39="-",0,'🔄 Rotação Duplas'!H39),IF('⚙️ Configuração'!C38='🔄 Rotação Duplas'!D39,IF('🔄 Rotação Duplas'!I39="-",0,'🔄 Rotação Duplas'!I39),0))+IF('⚙️ Configuração'!C38='🔄 Rotação Duplas'!C40,IF('🔄 Rotação Duplas'!H40="-",0,'🔄 Rotação Duplas'!H40),IF('⚙️ Configuração'!C38='🔄 Rotação Duplas'!D40,IF('🔄 Rotação Duplas'!I40="-",0,'🔄 Rotação Duplas'!I40),0))+IF('⚙️ Configuração'!C38='🔄 Rotação Duplas'!C41,IF('🔄 Rotação Duplas'!H41="-",0,'🔄 Rotação Duplas'!H41),IF('⚙️ Configuração'!C38='🔄 Rotação Duplas'!D41,IF('🔄 Rotação Duplas'!I41="-",0,'🔄 Rotação Duplas'!I41),0))+IF('⚙️ Configuração'!C38='🔄 Rotação Duplas'!C42,IF('🔄 Rotação Duplas'!H42="-",0,'🔄 Rotação Duplas'!H42),IF('⚙️ Configuração'!C38='🔄 Rotação Duplas'!D42,IF('🔄 Rotação Duplas'!I42="-",0,'🔄 Rotação Duplas'!I42),0))+IF('⚙️ Configuração'!C38='🔄 Rotação Duplas'!C43,IF('🔄 Rotação Duplas'!H43="-",0,'🔄 Rotação Duplas'!H43),IF('⚙️ Configuração'!C38='🔄 Rotação Duplas'!D43,IF('🔄 Rotação Duplas'!I43="-",0,'🔄 Rotação Duplas'!I43),0))+IF('⚙️ Configuração'!C38='🔄 Rotação Duplas'!C44,IF('🔄 Rotação Duplas'!H44="-",0,'🔄 Rotação Duplas'!H44),IF('⚙️ Configuração'!C38='🔄 Rotação Duplas'!D44,IF('🔄 Rotação Duplas'!I44="-",0,'🔄 Rotação Duplas'!I44),0))+IF('⚙️ Configuração'!C38='🔄 Rotação Duplas'!C45,IF('🔄 Rotação Duplas'!H45="-",0,'🔄 Rotação Duplas'!H45),IF('⚙️ Configuração'!C38='🔄 Rotação Duplas'!D45,IF('🔄 Rotação Duplas'!I45="-",0,'🔄 Rotação Duplas'!I45),0))</f>
        <v>0</v>
      </c>
      <c r="F14" s="63">
        <f>IF('⚙️ Configuração'!C38='🔄 Rotação Duplas'!C50,IF('🔄 Rotação Duplas'!H50="-",0,'🔄 Rotação Duplas'!H50),IF('⚙️ Configuração'!C38='🔄 Rotação Duplas'!D50,IF('🔄 Rotação Duplas'!I50="-",0,'🔄 Rotação Duplas'!I50),0))+IF('⚙️ Configuração'!C38='🔄 Rotação Duplas'!C51,IF('🔄 Rotação Duplas'!H51="-",0,'🔄 Rotação Duplas'!H51),IF('⚙️ Configuração'!C38='🔄 Rotação Duplas'!D51,IF('🔄 Rotação Duplas'!I51="-",0,'🔄 Rotação Duplas'!I51),0))+IF('⚙️ Configuração'!C38='🔄 Rotação Duplas'!C52,IF('🔄 Rotação Duplas'!H52="-",0,'🔄 Rotação Duplas'!H52),IF('⚙️ Configuração'!C38='🔄 Rotação Duplas'!D52,IF('🔄 Rotação Duplas'!I52="-",0,'🔄 Rotação Duplas'!I52),0))+IF('⚙️ Configuração'!C38='🔄 Rotação Duplas'!C53,IF('🔄 Rotação Duplas'!H53="-",0,'🔄 Rotação Duplas'!H53),IF('⚙️ Configuração'!C38='🔄 Rotação Duplas'!D53,IF('🔄 Rotação Duplas'!I53="-",0,'🔄 Rotação Duplas'!I53),0))+IF('⚙️ Configuração'!C38='🔄 Rotação Duplas'!C54,IF('🔄 Rotação Duplas'!H54="-",0,'🔄 Rotação Duplas'!H54),IF('⚙️ Configuração'!C38='🔄 Rotação Duplas'!D54,IF('🔄 Rotação Duplas'!I54="-",0,'🔄 Rotação Duplas'!I54),0))+IF('⚙️ Configuração'!C38='🔄 Rotação Duplas'!C55,IF('🔄 Rotação Duplas'!H55="-",0,'🔄 Rotação Duplas'!H55),IF('⚙️ Configuração'!C38='🔄 Rotação Duplas'!D55,IF('🔄 Rotação Duplas'!I55="-",0,'🔄 Rotação Duplas'!I55),0))+IF('⚙️ Configuração'!C38='🔄 Rotação Duplas'!C56,IF('🔄 Rotação Duplas'!H56="-",0,'🔄 Rotação Duplas'!H56),IF('⚙️ Configuração'!C38='🔄 Rotação Duplas'!D56,IF('🔄 Rotação Duplas'!I56="-",0,'🔄 Rotação Duplas'!I56),0))+IF('⚙️ Configuração'!C38='🔄 Rotação Duplas'!C57,IF('🔄 Rotação Duplas'!H57="-",0,'🔄 Rotação Duplas'!H57),IF('⚙️ Configuração'!C38='🔄 Rotação Duplas'!D57,IF('🔄 Rotação Duplas'!I57="-",0,'🔄 Rotação Duplas'!I57),0))+IF('⚙️ Configuração'!C38='🔄 Rotação Duplas'!C58,IF('🔄 Rotação Duplas'!H58="-",0,'🔄 Rotação Duplas'!H58),IF('⚙️ Configuração'!C38='🔄 Rotação Duplas'!D58,IF('🔄 Rotação Duplas'!I58="-",0,'🔄 Rotação Duplas'!I58),0))+IF('⚙️ Configuração'!C38='🔄 Rotação Duplas'!C59,IF('🔄 Rotação Duplas'!H59="-",0,'🔄 Rotação Duplas'!H59),IF('⚙️ Configuração'!C38='🔄 Rotação Duplas'!D59,IF('🔄 Rotação Duplas'!I59="-",0,'🔄 Rotação Duplas'!I59),0))</f>
        <v>0</v>
      </c>
      <c r="G14" s="63">
        <f>IF('⚙️ Configuração'!C38='🔄 Rotação Duplas'!C64,IF('🔄 Rotação Duplas'!H64="-",0,'🔄 Rotação Duplas'!H64),IF('⚙️ Configuração'!C38='🔄 Rotação Duplas'!D64,IF('🔄 Rotação Duplas'!I64="-",0,'🔄 Rotação Duplas'!I64),0))+IF('⚙️ Configuração'!C38='🔄 Rotação Duplas'!C65,IF('🔄 Rotação Duplas'!H65="-",0,'🔄 Rotação Duplas'!H65),IF('⚙️ Configuração'!C38='🔄 Rotação Duplas'!D65,IF('🔄 Rotação Duplas'!I65="-",0,'🔄 Rotação Duplas'!I65),0))+IF('⚙️ Configuração'!C38='🔄 Rotação Duplas'!C66,IF('🔄 Rotação Duplas'!H66="-",0,'🔄 Rotação Duplas'!H66),IF('⚙️ Configuração'!C38='🔄 Rotação Duplas'!D66,IF('🔄 Rotação Duplas'!I66="-",0,'🔄 Rotação Duplas'!I66),0))+IF('⚙️ Configuração'!C38='🔄 Rotação Duplas'!C67,IF('🔄 Rotação Duplas'!H67="-",0,'🔄 Rotação Duplas'!H67),IF('⚙️ Configuração'!C38='🔄 Rotação Duplas'!D67,IF('🔄 Rotação Duplas'!I67="-",0,'🔄 Rotação Duplas'!I67),0))+IF('⚙️ Configuração'!C38='🔄 Rotação Duplas'!C68,IF('🔄 Rotação Duplas'!H68="-",0,'🔄 Rotação Duplas'!H68),IF('⚙️ Configuração'!C38='🔄 Rotação Duplas'!D68,IF('🔄 Rotação Duplas'!I68="-",0,'🔄 Rotação Duplas'!I68),0))+IF('⚙️ Configuração'!C38='🔄 Rotação Duplas'!C69,IF('🔄 Rotação Duplas'!H69="-",0,'🔄 Rotação Duplas'!H69),IF('⚙️ Configuração'!C38='🔄 Rotação Duplas'!D69,IF('🔄 Rotação Duplas'!I69="-",0,'🔄 Rotação Duplas'!I69),0))+IF('⚙️ Configuração'!C38='🔄 Rotação Duplas'!C70,IF('🔄 Rotação Duplas'!H70="-",0,'🔄 Rotação Duplas'!H70),IF('⚙️ Configuração'!C38='🔄 Rotação Duplas'!D70,IF('🔄 Rotação Duplas'!I70="-",0,'🔄 Rotação Duplas'!I70),0))+IF('⚙️ Configuração'!C38='🔄 Rotação Duplas'!C71,IF('🔄 Rotação Duplas'!H71="-",0,'🔄 Rotação Duplas'!H71),IF('⚙️ Configuração'!C38='🔄 Rotação Duplas'!D71,IF('🔄 Rotação Duplas'!I71="-",0,'🔄 Rotação Duplas'!I71),0))+IF('⚙️ Configuração'!C38='🔄 Rotação Duplas'!C72,IF('🔄 Rotação Duplas'!H72="-",0,'🔄 Rotação Duplas'!H72),IF('⚙️ Configuração'!C38='🔄 Rotação Duplas'!D72,IF('🔄 Rotação Duplas'!I72="-",0,'🔄 Rotação Duplas'!I72),0))+IF('⚙️ Configuração'!C38='🔄 Rotação Duplas'!C73,IF('🔄 Rotação Duplas'!H73="-",0,'🔄 Rotação Duplas'!H73),IF('⚙️ Configuração'!C38='🔄 Rotação Duplas'!D73,IF('🔄 Rotação Duplas'!I73="-",0,'🔄 Rotação Duplas'!I73),0))</f>
        <v>0</v>
      </c>
      <c r="H14" s="63">
        <f>IF('⚙️ Configuração'!C38='🔄 Rotação Duplas'!C78,IF('🔄 Rotação Duplas'!H78="-",0,'🔄 Rotação Duplas'!H78),IF('⚙️ Configuração'!C38='🔄 Rotação Duplas'!D78,IF('🔄 Rotação Duplas'!I78="-",0,'🔄 Rotação Duplas'!I78),0))+IF('⚙️ Configuração'!C38='🔄 Rotação Duplas'!C79,IF('🔄 Rotação Duplas'!H79="-",0,'🔄 Rotação Duplas'!H79),IF('⚙️ Configuração'!C38='🔄 Rotação Duplas'!D79,IF('🔄 Rotação Duplas'!I79="-",0,'🔄 Rotação Duplas'!I79),0))+IF('⚙️ Configuração'!C38='🔄 Rotação Duplas'!C80,IF('🔄 Rotação Duplas'!H80="-",0,'🔄 Rotação Duplas'!H80),IF('⚙️ Configuração'!C38='🔄 Rotação Duplas'!D80,IF('🔄 Rotação Duplas'!I80="-",0,'🔄 Rotação Duplas'!I80),0))+IF('⚙️ Configuração'!C38='🔄 Rotação Duplas'!C81,IF('🔄 Rotação Duplas'!H81="-",0,'🔄 Rotação Duplas'!H81),IF('⚙️ Configuração'!C38='🔄 Rotação Duplas'!D81,IF('🔄 Rotação Duplas'!I81="-",0,'🔄 Rotação Duplas'!I81),0))+IF('⚙️ Configuração'!C38='🔄 Rotação Duplas'!C82,IF('🔄 Rotação Duplas'!H82="-",0,'🔄 Rotação Duplas'!H82),IF('⚙️ Configuração'!C38='🔄 Rotação Duplas'!D82,IF('🔄 Rotação Duplas'!I82="-",0,'🔄 Rotação Duplas'!I82),0))+IF('⚙️ Configuração'!C38='🔄 Rotação Duplas'!C83,IF('🔄 Rotação Duplas'!H83="-",0,'🔄 Rotação Duplas'!H83),IF('⚙️ Configuração'!C38='🔄 Rotação Duplas'!D83,IF('🔄 Rotação Duplas'!I83="-",0,'🔄 Rotação Duplas'!I83),0))+IF('⚙️ Configuração'!C38='🔄 Rotação Duplas'!C84,IF('🔄 Rotação Duplas'!H84="-",0,'🔄 Rotação Duplas'!H84),IF('⚙️ Configuração'!C38='🔄 Rotação Duplas'!D84,IF('🔄 Rotação Duplas'!I84="-",0,'🔄 Rotação Duplas'!I84),0))+IF('⚙️ Configuração'!C38='🔄 Rotação Duplas'!C85,IF('🔄 Rotação Duplas'!H85="-",0,'🔄 Rotação Duplas'!H85),IF('⚙️ Configuração'!C38='🔄 Rotação Duplas'!D85,IF('🔄 Rotação Duplas'!I85="-",0,'🔄 Rotação Duplas'!I85),0))+IF('⚙️ Configuração'!C38='🔄 Rotação Duplas'!C86,IF('🔄 Rotação Duplas'!H86="-",0,'🔄 Rotação Duplas'!H86),IF('⚙️ Configuração'!C38='🔄 Rotação Duplas'!D86,IF('🔄 Rotação Duplas'!I86="-",0,'🔄 Rotação Duplas'!I86),0))+IF('⚙️ Configuração'!C38='🔄 Rotação Duplas'!C87,IF('🔄 Rotação Duplas'!H87="-",0,'🔄 Rotação Duplas'!H87),IF('⚙️ Configuração'!C38='🔄 Rotação Duplas'!D87,IF('🔄 Rotação Duplas'!I87="-",0,'🔄 Rotação Duplas'!I87),0))</f>
        <v>0</v>
      </c>
      <c r="I14" s="63">
        <f>IF('⚙️ Configuração'!C38='🔄 Rotação Duplas'!C92,IF('🔄 Rotação Duplas'!H92="-",0,'🔄 Rotação Duplas'!H92),IF('⚙️ Configuração'!C38='🔄 Rotação Duplas'!D92,IF('🔄 Rotação Duplas'!I92="-",0,'🔄 Rotação Duplas'!I92),0))+IF('⚙️ Configuração'!C38='🔄 Rotação Duplas'!C93,IF('🔄 Rotação Duplas'!H93="-",0,'🔄 Rotação Duplas'!H93),IF('⚙️ Configuração'!C38='🔄 Rotação Duplas'!D93,IF('🔄 Rotação Duplas'!I93="-",0,'🔄 Rotação Duplas'!I93),0))+IF('⚙️ Configuração'!C38='🔄 Rotação Duplas'!C94,IF('🔄 Rotação Duplas'!H94="-",0,'🔄 Rotação Duplas'!H94),IF('⚙️ Configuração'!C38='🔄 Rotação Duplas'!D94,IF('🔄 Rotação Duplas'!I94="-",0,'🔄 Rotação Duplas'!I94),0))+IF('⚙️ Configuração'!C38='🔄 Rotação Duplas'!C95,IF('🔄 Rotação Duplas'!H95="-",0,'🔄 Rotação Duplas'!H95),IF('⚙️ Configuração'!C38='🔄 Rotação Duplas'!D95,IF('🔄 Rotação Duplas'!I95="-",0,'🔄 Rotação Duplas'!I95),0))+IF('⚙️ Configuração'!C38='🔄 Rotação Duplas'!C96,IF('🔄 Rotação Duplas'!H96="-",0,'🔄 Rotação Duplas'!H96),IF('⚙️ Configuração'!C38='🔄 Rotação Duplas'!D96,IF('🔄 Rotação Duplas'!I96="-",0,'🔄 Rotação Duplas'!I96),0))+IF('⚙️ Configuração'!C38='🔄 Rotação Duplas'!C97,IF('🔄 Rotação Duplas'!H97="-",0,'🔄 Rotação Duplas'!H97),IF('⚙️ Configuração'!C38='🔄 Rotação Duplas'!D97,IF('🔄 Rotação Duplas'!I97="-",0,'🔄 Rotação Duplas'!I97),0))+IF('⚙️ Configuração'!C38='🔄 Rotação Duplas'!C98,IF('🔄 Rotação Duplas'!H98="-",0,'🔄 Rotação Duplas'!H98),IF('⚙️ Configuração'!C38='🔄 Rotação Duplas'!D98,IF('🔄 Rotação Duplas'!I98="-",0,'🔄 Rotação Duplas'!I98),0))+IF('⚙️ Configuração'!C38='🔄 Rotação Duplas'!C99,IF('🔄 Rotação Duplas'!H99="-",0,'🔄 Rotação Duplas'!H99),IF('⚙️ Configuração'!C38='🔄 Rotação Duplas'!D99,IF('🔄 Rotação Duplas'!I99="-",0,'🔄 Rotação Duplas'!I99),0))+IF('⚙️ Configuração'!C38='🔄 Rotação Duplas'!C100,IF('🔄 Rotação Duplas'!H100="-",0,'🔄 Rotação Duplas'!H100),IF('⚙️ Configuração'!C38='🔄 Rotação Duplas'!D100,IF('🔄 Rotação Duplas'!I100="-",0,'🔄 Rotação Duplas'!I100),0))+IF('⚙️ Configuração'!C38='🔄 Rotação Duplas'!C101,IF('🔄 Rotação Duplas'!H101="-",0,'🔄 Rotação Duplas'!H101),IF('⚙️ Configuração'!C38='🔄 Rotação Duplas'!D101,IF('🔄 Rotação Duplas'!I101="-",0,'🔄 Rotação Duplas'!I101),0))</f>
        <v>0</v>
      </c>
      <c r="J14" s="63">
        <f>IF('⚙️ Configuração'!C38='🔄 Rotação Duplas'!C106,IF('🔄 Rotação Duplas'!H106="-",0,'🔄 Rotação Duplas'!H106),IF('⚙️ Configuração'!C38='🔄 Rotação Duplas'!D106,IF('🔄 Rotação Duplas'!I106="-",0,'🔄 Rotação Duplas'!I106),0))+IF('⚙️ Configuração'!C38='🔄 Rotação Duplas'!C107,IF('🔄 Rotação Duplas'!H107="-",0,'🔄 Rotação Duplas'!H107),IF('⚙️ Configuração'!C38='🔄 Rotação Duplas'!D107,IF('🔄 Rotação Duplas'!I107="-",0,'🔄 Rotação Duplas'!I107),0))+IF('⚙️ Configuração'!C38='🔄 Rotação Duplas'!C108,IF('🔄 Rotação Duplas'!H108="-",0,'🔄 Rotação Duplas'!H108),IF('⚙️ Configuração'!C38='🔄 Rotação Duplas'!D108,IF('🔄 Rotação Duplas'!I108="-",0,'🔄 Rotação Duplas'!I108),0))+IF('⚙️ Configuração'!C38='🔄 Rotação Duplas'!C109,IF('🔄 Rotação Duplas'!H109="-",0,'🔄 Rotação Duplas'!H109),IF('⚙️ Configuração'!C38='🔄 Rotação Duplas'!D109,IF('🔄 Rotação Duplas'!I109="-",0,'🔄 Rotação Duplas'!I109),0))+IF('⚙️ Configuração'!C38='🔄 Rotação Duplas'!C110,IF('🔄 Rotação Duplas'!H110="-",0,'🔄 Rotação Duplas'!H110),IF('⚙️ Configuração'!C38='🔄 Rotação Duplas'!D110,IF('🔄 Rotação Duplas'!I110="-",0,'🔄 Rotação Duplas'!I110),0))+IF('⚙️ Configuração'!C38='🔄 Rotação Duplas'!C111,IF('🔄 Rotação Duplas'!H111="-",0,'🔄 Rotação Duplas'!H111),IF('⚙️ Configuração'!C38='🔄 Rotação Duplas'!D111,IF('🔄 Rotação Duplas'!I111="-",0,'🔄 Rotação Duplas'!I111),0))+IF('⚙️ Configuração'!C38='🔄 Rotação Duplas'!C112,IF('🔄 Rotação Duplas'!H112="-",0,'🔄 Rotação Duplas'!H112),IF('⚙️ Configuração'!C38='🔄 Rotação Duplas'!D112,IF('🔄 Rotação Duplas'!I112="-",0,'🔄 Rotação Duplas'!I112),0))+IF('⚙️ Configuração'!C38='🔄 Rotação Duplas'!C113,IF('🔄 Rotação Duplas'!H113="-",0,'🔄 Rotação Duplas'!H113),IF('⚙️ Configuração'!C38='🔄 Rotação Duplas'!D113,IF('🔄 Rotação Duplas'!I113="-",0,'🔄 Rotação Duplas'!I113),0))+IF('⚙️ Configuração'!C38='🔄 Rotação Duplas'!C114,IF('🔄 Rotação Duplas'!H114="-",0,'🔄 Rotação Duplas'!H114),IF('⚙️ Configuração'!C38='🔄 Rotação Duplas'!D114,IF('🔄 Rotação Duplas'!I114="-",0,'🔄 Rotação Duplas'!I114),0))+IF('⚙️ Configuração'!C38='🔄 Rotação Duplas'!C115,IF('🔄 Rotação Duplas'!H115="-",0,'🔄 Rotação Duplas'!H115),IF('⚙️ Configuração'!C38='🔄 Rotação Duplas'!D115,IF('🔄 Rotação Duplas'!I115="-",0,'🔄 Rotação Duplas'!I115),0))</f>
        <v>0</v>
      </c>
      <c r="K14" s="64">
        <f t="shared" si="0"/>
        <v>44</v>
      </c>
      <c r="L14" s="65">
        <f>SUMIF('📋 Registo Diário'!$D$7:$D$646,'⚙️ Configuração'!C38,'📋 Registo Diário'!$Q$7:$Q$646)</f>
        <v>42</v>
      </c>
      <c r="M14" s="66">
        <f t="shared" si="1"/>
        <v>86</v>
      </c>
      <c r="N14" s="59"/>
      <c r="O14" s="67"/>
      <c r="P14" s="68"/>
    </row>
    <row r="15" spans="1:16" ht="21.75" customHeight="1" x14ac:dyDescent="0.2">
      <c r="A15" s="59"/>
      <c r="B15" s="4" t="str">
        <f>'⚙️ Configuração'!C39</f>
        <v>Fátima Rodriguez</v>
      </c>
      <c r="C15" s="63">
        <f>IF('⚙️ Configuração'!C39='🔄 Rotação Duplas'!C8,IF('🔄 Rotação Duplas'!H8="-",0,'🔄 Rotação Duplas'!H8),IF('⚙️ Configuração'!C39='🔄 Rotação Duplas'!D8,IF('🔄 Rotação Duplas'!I8="-",0,'🔄 Rotação Duplas'!I8),0))+IF('⚙️ Configuração'!C39='🔄 Rotação Duplas'!C9,IF('🔄 Rotação Duplas'!H9="-",0,'🔄 Rotação Duplas'!H9),IF('⚙️ Configuração'!C39='🔄 Rotação Duplas'!D9,IF('🔄 Rotação Duplas'!I9="-",0,'🔄 Rotação Duplas'!I9),0))+IF('⚙️ Configuração'!C39='🔄 Rotação Duplas'!C10,IF('🔄 Rotação Duplas'!H10="-",0,'🔄 Rotação Duplas'!H10),IF('⚙️ Configuração'!C39='🔄 Rotação Duplas'!D10,IF('🔄 Rotação Duplas'!I10="-",0,'🔄 Rotação Duplas'!I10),0))+IF('⚙️ Configuração'!C39='🔄 Rotação Duplas'!C11,IF('🔄 Rotação Duplas'!H11="-",0,'🔄 Rotação Duplas'!H11),IF('⚙️ Configuração'!C39='🔄 Rotação Duplas'!D11,IF('🔄 Rotação Duplas'!I11="-",0,'🔄 Rotação Duplas'!I11),0))+IF('⚙️ Configuração'!C39='🔄 Rotação Duplas'!C12,IF('🔄 Rotação Duplas'!H12="-",0,'🔄 Rotação Duplas'!H12),IF('⚙️ Configuração'!C39='🔄 Rotação Duplas'!D12,IF('🔄 Rotação Duplas'!I12="-",0,'🔄 Rotação Duplas'!I12),0))+IF('⚙️ Configuração'!C39='🔄 Rotação Duplas'!C13,IF('🔄 Rotação Duplas'!H13="-",0,'🔄 Rotação Duplas'!H13),IF('⚙️ Configuração'!C39='🔄 Rotação Duplas'!D13,IF('🔄 Rotação Duplas'!I13="-",0,'🔄 Rotação Duplas'!I13),0))+IF('⚙️ Configuração'!C39='🔄 Rotação Duplas'!C14,IF('🔄 Rotação Duplas'!H14="-",0,'🔄 Rotação Duplas'!H14),IF('⚙️ Configuração'!C39='🔄 Rotação Duplas'!D14,IF('🔄 Rotação Duplas'!I14="-",0,'🔄 Rotação Duplas'!I14),0))+IF('⚙️ Configuração'!C39='🔄 Rotação Duplas'!C15,IF('🔄 Rotação Duplas'!H15="-",0,'🔄 Rotação Duplas'!H15),IF('⚙️ Configuração'!C39='🔄 Rotação Duplas'!D15,IF('🔄 Rotação Duplas'!I15="-",0,'🔄 Rotação Duplas'!I15),0))+IF('⚙️ Configuração'!C39='🔄 Rotação Duplas'!C16,IF('🔄 Rotação Duplas'!H16="-",0,'🔄 Rotação Duplas'!H16),IF('⚙️ Configuração'!C39='🔄 Rotação Duplas'!D16,IF('🔄 Rotação Duplas'!I16="-",0,'🔄 Rotação Duplas'!I16),0))+IF('⚙️ Configuração'!C39='🔄 Rotação Duplas'!C17,IF('🔄 Rotação Duplas'!H17="-",0,'🔄 Rotação Duplas'!H17),IF('⚙️ Configuração'!C39='🔄 Rotação Duplas'!D17,IF('🔄 Rotação Duplas'!I17="-",0,'🔄 Rotação Duplas'!I17),0))</f>
        <v>0</v>
      </c>
      <c r="D15" s="63">
        <f>IF('⚙️ Configuração'!C39='🔄 Rotação Duplas'!C22,IF('🔄 Rotação Duplas'!H22="-",0,'🔄 Rotação Duplas'!H22),IF('⚙️ Configuração'!C39='🔄 Rotação Duplas'!D22,IF('🔄 Rotação Duplas'!I22="-",0,'🔄 Rotação Duplas'!I22),0))+IF('⚙️ Configuração'!C39='🔄 Rotação Duplas'!C23,IF('🔄 Rotação Duplas'!H23="-",0,'🔄 Rotação Duplas'!H23),IF('⚙️ Configuração'!C39='🔄 Rotação Duplas'!D23,IF('🔄 Rotação Duplas'!I23="-",0,'🔄 Rotação Duplas'!I23),0))+IF('⚙️ Configuração'!C39='🔄 Rotação Duplas'!C24,IF('🔄 Rotação Duplas'!H24="-",0,'🔄 Rotação Duplas'!H24),IF('⚙️ Configuração'!C39='🔄 Rotação Duplas'!D24,IF('🔄 Rotação Duplas'!I24="-",0,'🔄 Rotação Duplas'!I24),0))+IF('⚙️ Configuração'!C39='🔄 Rotação Duplas'!C25,IF('🔄 Rotação Duplas'!H25="-",0,'🔄 Rotação Duplas'!H25),IF('⚙️ Configuração'!C39='🔄 Rotação Duplas'!D25,IF('🔄 Rotação Duplas'!I25="-",0,'🔄 Rotação Duplas'!I25),0))+IF('⚙️ Configuração'!C39='🔄 Rotação Duplas'!C26,IF('🔄 Rotação Duplas'!H26="-",0,'🔄 Rotação Duplas'!H26),IF('⚙️ Configuração'!C39='🔄 Rotação Duplas'!D26,IF('🔄 Rotação Duplas'!I26="-",0,'🔄 Rotação Duplas'!I26),0))+IF('⚙️ Configuração'!C39='🔄 Rotação Duplas'!C27,IF('🔄 Rotação Duplas'!H27="-",0,'🔄 Rotação Duplas'!H27),IF('⚙️ Configuração'!C39='🔄 Rotação Duplas'!D27,IF('🔄 Rotação Duplas'!I27="-",0,'🔄 Rotação Duplas'!I27),0))+IF('⚙️ Configuração'!C39='🔄 Rotação Duplas'!C28,IF('🔄 Rotação Duplas'!H28="-",0,'🔄 Rotação Duplas'!H28),IF('⚙️ Configuração'!C39='🔄 Rotação Duplas'!D28,IF('🔄 Rotação Duplas'!I28="-",0,'🔄 Rotação Duplas'!I28),0))+IF('⚙️ Configuração'!C39='🔄 Rotação Duplas'!C29,IF('🔄 Rotação Duplas'!H29="-",0,'🔄 Rotação Duplas'!H29),IF('⚙️ Configuração'!C39='🔄 Rotação Duplas'!D29,IF('🔄 Rotação Duplas'!I29="-",0,'🔄 Rotação Duplas'!I29),0))+IF('⚙️ Configuração'!C39='🔄 Rotação Duplas'!C30,IF('🔄 Rotação Duplas'!H30="-",0,'🔄 Rotação Duplas'!H30),IF('⚙️ Configuração'!C39='🔄 Rotação Duplas'!D30,IF('🔄 Rotação Duplas'!I30="-",0,'🔄 Rotação Duplas'!I30),0))+IF('⚙️ Configuração'!C39='🔄 Rotação Duplas'!C31,IF('🔄 Rotação Duplas'!H31="-",0,'🔄 Rotação Duplas'!H31),IF('⚙️ Configuração'!C39='🔄 Rotação Duplas'!D31,IF('🔄 Rotação Duplas'!I31="-",0,'🔄 Rotação Duplas'!I31),0))</f>
        <v>0</v>
      </c>
      <c r="E15" s="63">
        <f>IF('⚙️ Configuração'!C39='🔄 Rotação Duplas'!C36,IF('🔄 Rotação Duplas'!H36="-",0,'🔄 Rotação Duplas'!H36),IF('⚙️ Configuração'!C39='🔄 Rotação Duplas'!D36,IF('🔄 Rotação Duplas'!I36="-",0,'🔄 Rotação Duplas'!I36),0))+IF('⚙️ Configuração'!C39='🔄 Rotação Duplas'!C37,IF('🔄 Rotação Duplas'!H37="-",0,'🔄 Rotação Duplas'!H37),IF('⚙️ Configuração'!C39='🔄 Rotação Duplas'!D37,IF('🔄 Rotação Duplas'!I37="-",0,'🔄 Rotação Duplas'!I37),0))+IF('⚙️ Configuração'!C39='🔄 Rotação Duplas'!C38,IF('🔄 Rotação Duplas'!H38="-",0,'🔄 Rotação Duplas'!H38),IF('⚙️ Configuração'!C39='🔄 Rotação Duplas'!D38,IF('🔄 Rotação Duplas'!I38="-",0,'🔄 Rotação Duplas'!I38),0))+IF('⚙️ Configuração'!C39='🔄 Rotação Duplas'!C39,IF('🔄 Rotação Duplas'!H39="-",0,'🔄 Rotação Duplas'!H39),IF('⚙️ Configuração'!C39='🔄 Rotação Duplas'!D39,IF('🔄 Rotação Duplas'!I39="-",0,'🔄 Rotação Duplas'!I39),0))+IF('⚙️ Configuração'!C39='🔄 Rotação Duplas'!C40,IF('🔄 Rotação Duplas'!H40="-",0,'🔄 Rotação Duplas'!H40),IF('⚙️ Configuração'!C39='🔄 Rotação Duplas'!D40,IF('🔄 Rotação Duplas'!I40="-",0,'🔄 Rotação Duplas'!I40),0))+IF('⚙️ Configuração'!C39='🔄 Rotação Duplas'!C41,IF('🔄 Rotação Duplas'!H41="-",0,'🔄 Rotação Duplas'!H41),IF('⚙️ Configuração'!C39='🔄 Rotação Duplas'!D41,IF('🔄 Rotação Duplas'!I41="-",0,'🔄 Rotação Duplas'!I41),0))+IF('⚙️ Configuração'!C39='🔄 Rotação Duplas'!C42,IF('🔄 Rotação Duplas'!H42="-",0,'🔄 Rotação Duplas'!H42),IF('⚙️ Configuração'!C39='🔄 Rotação Duplas'!D42,IF('🔄 Rotação Duplas'!I42="-",0,'🔄 Rotação Duplas'!I42),0))+IF('⚙️ Configuração'!C39='🔄 Rotação Duplas'!C43,IF('🔄 Rotação Duplas'!H43="-",0,'🔄 Rotação Duplas'!H43),IF('⚙️ Configuração'!C39='🔄 Rotação Duplas'!D43,IF('🔄 Rotação Duplas'!I43="-",0,'🔄 Rotação Duplas'!I43),0))+IF('⚙️ Configuração'!C39='🔄 Rotação Duplas'!C44,IF('🔄 Rotação Duplas'!H44="-",0,'🔄 Rotação Duplas'!H44),IF('⚙️ Configuração'!C39='🔄 Rotação Duplas'!D44,IF('🔄 Rotação Duplas'!I44="-",0,'🔄 Rotação Duplas'!I44),0))+IF('⚙️ Configuração'!C39='🔄 Rotação Duplas'!C45,IF('🔄 Rotação Duplas'!H45="-",0,'🔄 Rotação Duplas'!H45),IF('⚙️ Configuração'!C39='🔄 Rotação Duplas'!D45,IF('🔄 Rotação Duplas'!I45="-",0,'🔄 Rotação Duplas'!I45),0))</f>
        <v>0</v>
      </c>
      <c r="F15" s="63">
        <f>IF('⚙️ Configuração'!C39='🔄 Rotação Duplas'!C50,IF('🔄 Rotação Duplas'!H50="-",0,'🔄 Rotação Duplas'!H50),IF('⚙️ Configuração'!C39='🔄 Rotação Duplas'!D50,IF('🔄 Rotação Duplas'!I50="-",0,'🔄 Rotação Duplas'!I50),0))+IF('⚙️ Configuração'!C39='🔄 Rotação Duplas'!C51,IF('🔄 Rotação Duplas'!H51="-",0,'🔄 Rotação Duplas'!H51),IF('⚙️ Configuração'!C39='🔄 Rotação Duplas'!D51,IF('🔄 Rotação Duplas'!I51="-",0,'🔄 Rotação Duplas'!I51),0))+IF('⚙️ Configuração'!C39='🔄 Rotação Duplas'!C52,IF('🔄 Rotação Duplas'!H52="-",0,'🔄 Rotação Duplas'!H52),IF('⚙️ Configuração'!C39='🔄 Rotação Duplas'!D52,IF('🔄 Rotação Duplas'!I52="-",0,'🔄 Rotação Duplas'!I52),0))+IF('⚙️ Configuração'!C39='🔄 Rotação Duplas'!C53,IF('🔄 Rotação Duplas'!H53="-",0,'🔄 Rotação Duplas'!H53),IF('⚙️ Configuração'!C39='🔄 Rotação Duplas'!D53,IF('🔄 Rotação Duplas'!I53="-",0,'🔄 Rotação Duplas'!I53),0))+IF('⚙️ Configuração'!C39='🔄 Rotação Duplas'!C54,IF('🔄 Rotação Duplas'!H54="-",0,'🔄 Rotação Duplas'!H54),IF('⚙️ Configuração'!C39='🔄 Rotação Duplas'!D54,IF('🔄 Rotação Duplas'!I54="-",0,'🔄 Rotação Duplas'!I54),0))+IF('⚙️ Configuração'!C39='🔄 Rotação Duplas'!C55,IF('🔄 Rotação Duplas'!H55="-",0,'🔄 Rotação Duplas'!H55),IF('⚙️ Configuração'!C39='🔄 Rotação Duplas'!D55,IF('🔄 Rotação Duplas'!I55="-",0,'🔄 Rotação Duplas'!I55),0))+IF('⚙️ Configuração'!C39='🔄 Rotação Duplas'!C56,IF('🔄 Rotação Duplas'!H56="-",0,'🔄 Rotação Duplas'!H56),IF('⚙️ Configuração'!C39='🔄 Rotação Duplas'!D56,IF('🔄 Rotação Duplas'!I56="-",0,'🔄 Rotação Duplas'!I56),0))+IF('⚙️ Configuração'!C39='🔄 Rotação Duplas'!C57,IF('🔄 Rotação Duplas'!H57="-",0,'🔄 Rotação Duplas'!H57),IF('⚙️ Configuração'!C39='🔄 Rotação Duplas'!D57,IF('🔄 Rotação Duplas'!I57="-",0,'🔄 Rotação Duplas'!I57),0))+IF('⚙️ Configuração'!C39='🔄 Rotação Duplas'!C58,IF('🔄 Rotação Duplas'!H58="-",0,'🔄 Rotação Duplas'!H58),IF('⚙️ Configuração'!C39='🔄 Rotação Duplas'!D58,IF('🔄 Rotação Duplas'!I58="-",0,'🔄 Rotação Duplas'!I58),0))+IF('⚙️ Configuração'!C39='🔄 Rotação Duplas'!C59,IF('🔄 Rotação Duplas'!H59="-",0,'🔄 Rotação Duplas'!H59),IF('⚙️ Configuração'!C39='🔄 Rotação Duplas'!D59,IF('🔄 Rotação Duplas'!I59="-",0,'🔄 Rotação Duplas'!I59),0))</f>
        <v>0</v>
      </c>
      <c r="G15" s="63">
        <f>IF('⚙️ Configuração'!C39='🔄 Rotação Duplas'!C64,IF('🔄 Rotação Duplas'!H64="-",0,'🔄 Rotação Duplas'!H64),IF('⚙️ Configuração'!C39='🔄 Rotação Duplas'!D64,IF('🔄 Rotação Duplas'!I64="-",0,'🔄 Rotação Duplas'!I64),0))+IF('⚙️ Configuração'!C39='🔄 Rotação Duplas'!C65,IF('🔄 Rotação Duplas'!H65="-",0,'🔄 Rotação Duplas'!H65),IF('⚙️ Configuração'!C39='🔄 Rotação Duplas'!D65,IF('🔄 Rotação Duplas'!I65="-",0,'🔄 Rotação Duplas'!I65),0))+IF('⚙️ Configuração'!C39='🔄 Rotação Duplas'!C66,IF('🔄 Rotação Duplas'!H66="-",0,'🔄 Rotação Duplas'!H66),IF('⚙️ Configuração'!C39='🔄 Rotação Duplas'!D66,IF('🔄 Rotação Duplas'!I66="-",0,'🔄 Rotação Duplas'!I66),0))+IF('⚙️ Configuração'!C39='🔄 Rotação Duplas'!C67,IF('🔄 Rotação Duplas'!H67="-",0,'🔄 Rotação Duplas'!H67),IF('⚙️ Configuração'!C39='🔄 Rotação Duplas'!D67,IF('🔄 Rotação Duplas'!I67="-",0,'🔄 Rotação Duplas'!I67),0))+IF('⚙️ Configuração'!C39='🔄 Rotação Duplas'!C68,IF('🔄 Rotação Duplas'!H68="-",0,'🔄 Rotação Duplas'!H68),IF('⚙️ Configuração'!C39='🔄 Rotação Duplas'!D68,IF('🔄 Rotação Duplas'!I68="-",0,'🔄 Rotação Duplas'!I68),0))+IF('⚙️ Configuração'!C39='🔄 Rotação Duplas'!C69,IF('🔄 Rotação Duplas'!H69="-",0,'🔄 Rotação Duplas'!H69),IF('⚙️ Configuração'!C39='🔄 Rotação Duplas'!D69,IF('🔄 Rotação Duplas'!I69="-",0,'🔄 Rotação Duplas'!I69),0))+IF('⚙️ Configuração'!C39='🔄 Rotação Duplas'!C70,IF('🔄 Rotação Duplas'!H70="-",0,'🔄 Rotação Duplas'!H70),IF('⚙️ Configuração'!C39='🔄 Rotação Duplas'!D70,IF('🔄 Rotação Duplas'!I70="-",0,'🔄 Rotação Duplas'!I70),0))+IF('⚙️ Configuração'!C39='🔄 Rotação Duplas'!C71,IF('🔄 Rotação Duplas'!H71="-",0,'🔄 Rotação Duplas'!H71),IF('⚙️ Configuração'!C39='🔄 Rotação Duplas'!D71,IF('🔄 Rotação Duplas'!I71="-",0,'🔄 Rotação Duplas'!I71),0))+IF('⚙️ Configuração'!C39='🔄 Rotação Duplas'!C72,IF('🔄 Rotação Duplas'!H72="-",0,'🔄 Rotação Duplas'!H72),IF('⚙️ Configuração'!C39='🔄 Rotação Duplas'!D72,IF('🔄 Rotação Duplas'!I72="-",0,'🔄 Rotação Duplas'!I72),0))+IF('⚙️ Configuração'!C39='🔄 Rotação Duplas'!C73,IF('🔄 Rotação Duplas'!H73="-",0,'🔄 Rotação Duplas'!H73),IF('⚙️ Configuração'!C39='🔄 Rotação Duplas'!D73,IF('🔄 Rotação Duplas'!I73="-",0,'🔄 Rotação Duplas'!I73),0))</f>
        <v>0</v>
      </c>
      <c r="H15" s="63">
        <f>IF('⚙️ Configuração'!C39='🔄 Rotação Duplas'!C78,IF('🔄 Rotação Duplas'!H78="-",0,'🔄 Rotação Duplas'!H78),IF('⚙️ Configuração'!C39='🔄 Rotação Duplas'!D78,IF('🔄 Rotação Duplas'!I78="-",0,'🔄 Rotação Duplas'!I78),0))+IF('⚙️ Configuração'!C39='🔄 Rotação Duplas'!C79,IF('🔄 Rotação Duplas'!H79="-",0,'🔄 Rotação Duplas'!H79),IF('⚙️ Configuração'!C39='🔄 Rotação Duplas'!D79,IF('🔄 Rotação Duplas'!I79="-",0,'🔄 Rotação Duplas'!I79),0))+IF('⚙️ Configuração'!C39='🔄 Rotação Duplas'!C80,IF('🔄 Rotação Duplas'!H80="-",0,'🔄 Rotação Duplas'!H80),IF('⚙️ Configuração'!C39='🔄 Rotação Duplas'!D80,IF('🔄 Rotação Duplas'!I80="-",0,'🔄 Rotação Duplas'!I80),0))+IF('⚙️ Configuração'!C39='🔄 Rotação Duplas'!C81,IF('🔄 Rotação Duplas'!H81="-",0,'🔄 Rotação Duplas'!H81),IF('⚙️ Configuração'!C39='🔄 Rotação Duplas'!D81,IF('🔄 Rotação Duplas'!I81="-",0,'🔄 Rotação Duplas'!I81),0))+IF('⚙️ Configuração'!C39='🔄 Rotação Duplas'!C82,IF('🔄 Rotação Duplas'!H82="-",0,'🔄 Rotação Duplas'!H82),IF('⚙️ Configuração'!C39='🔄 Rotação Duplas'!D82,IF('🔄 Rotação Duplas'!I82="-",0,'🔄 Rotação Duplas'!I82),0))+IF('⚙️ Configuração'!C39='🔄 Rotação Duplas'!C83,IF('🔄 Rotação Duplas'!H83="-",0,'🔄 Rotação Duplas'!H83),IF('⚙️ Configuração'!C39='🔄 Rotação Duplas'!D83,IF('🔄 Rotação Duplas'!I83="-",0,'🔄 Rotação Duplas'!I83),0))+IF('⚙️ Configuração'!C39='🔄 Rotação Duplas'!C84,IF('🔄 Rotação Duplas'!H84="-",0,'🔄 Rotação Duplas'!H84),IF('⚙️ Configuração'!C39='🔄 Rotação Duplas'!D84,IF('🔄 Rotação Duplas'!I84="-",0,'🔄 Rotação Duplas'!I84),0))+IF('⚙️ Configuração'!C39='🔄 Rotação Duplas'!C85,IF('🔄 Rotação Duplas'!H85="-",0,'🔄 Rotação Duplas'!H85),IF('⚙️ Configuração'!C39='🔄 Rotação Duplas'!D85,IF('🔄 Rotação Duplas'!I85="-",0,'🔄 Rotação Duplas'!I85),0))+IF('⚙️ Configuração'!C39='🔄 Rotação Duplas'!C86,IF('🔄 Rotação Duplas'!H86="-",0,'🔄 Rotação Duplas'!H86),IF('⚙️ Configuração'!C39='🔄 Rotação Duplas'!D86,IF('🔄 Rotação Duplas'!I86="-",0,'🔄 Rotação Duplas'!I86),0))+IF('⚙️ Configuração'!C39='🔄 Rotação Duplas'!C87,IF('🔄 Rotação Duplas'!H87="-",0,'🔄 Rotação Duplas'!H87),IF('⚙️ Configuração'!C39='🔄 Rotação Duplas'!D87,IF('🔄 Rotação Duplas'!I87="-",0,'🔄 Rotação Duplas'!I87),0))</f>
        <v>0</v>
      </c>
      <c r="I15" s="63">
        <f>IF('⚙️ Configuração'!C39='🔄 Rotação Duplas'!C92,IF('🔄 Rotação Duplas'!H92="-",0,'🔄 Rotação Duplas'!H92),IF('⚙️ Configuração'!C39='🔄 Rotação Duplas'!D92,IF('🔄 Rotação Duplas'!I92="-",0,'🔄 Rotação Duplas'!I92),0))+IF('⚙️ Configuração'!C39='🔄 Rotação Duplas'!C93,IF('🔄 Rotação Duplas'!H93="-",0,'🔄 Rotação Duplas'!H93),IF('⚙️ Configuração'!C39='🔄 Rotação Duplas'!D93,IF('🔄 Rotação Duplas'!I93="-",0,'🔄 Rotação Duplas'!I93),0))+IF('⚙️ Configuração'!C39='🔄 Rotação Duplas'!C94,IF('🔄 Rotação Duplas'!H94="-",0,'🔄 Rotação Duplas'!H94),IF('⚙️ Configuração'!C39='🔄 Rotação Duplas'!D94,IF('🔄 Rotação Duplas'!I94="-",0,'🔄 Rotação Duplas'!I94),0))+IF('⚙️ Configuração'!C39='🔄 Rotação Duplas'!C95,IF('🔄 Rotação Duplas'!H95="-",0,'🔄 Rotação Duplas'!H95),IF('⚙️ Configuração'!C39='🔄 Rotação Duplas'!D95,IF('🔄 Rotação Duplas'!I95="-",0,'🔄 Rotação Duplas'!I95),0))+IF('⚙️ Configuração'!C39='🔄 Rotação Duplas'!C96,IF('🔄 Rotação Duplas'!H96="-",0,'🔄 Rotação Duplas'!H96),IF('⚙️ Configuração'!C39='🔄 Rotação Duplas'!D96,IF('🔄 Rotação Duplas'!I96="-",0,'🔄 Rotação Duplas'!I96),0))+IF('⚙️ Configuração'!C39='🔄 Rotação Duplas'!C97,IF('🔄 Rotação Duplas'!H97="-",0,'🔄 Rotação Duplas'!H97),IF('⚙️ Configuração'!C39='🔄 Rotação Duplas'!D97,IF('🔄 Rotação Duplas'!I97="-",0,'🔄 Rotação Duplas'!I97),0))+IF('⚙️ Configuração'!C39='🔄 Rotação Duplas'!C98,IF('🔄 Rotação Duplas'!H98="-",0,'🔄 Rotação Duplas'!H98),IF('⚙️ Configuração'!C39='🔄 Rotação Duplas'!D98,IF('🔄 Rotação Duplas'!I98="-",0,'🔄 Rotação Duplas'!I98),0))+IF('⚙️ Configuração'!C39='🔄 Rotação Duplas'!C99,IF('🔄 Rotação Duplas'!H99="-",0,'🔄 Rotação Duplas'!H99),IF('⚙️ Configuração'!C39='🔄 Rotação Duplas'!D99,IF('🔄 Rotação Duplas'!I99="-",0,'🔄 Rotação Duplas'!I99),0))+IF('⚙️ Configuração'!C39='🔄 Rotação Duplas'!C100,IF('🔄 Rotação Duplas'!H100="-",0,'🔄 Rotação Duplas'!H100),IF('⚙️ Configuração'!C39='🔄 Rotação Duplas'!D100,IF('🔄 Rotação Duplas'!I100="-",0,'🔄 Rotação Duplas'!I100),0))+IF('⚙️ Configuração'!C39='🔄 Rotação Duplas'!C101,IF('🔄 Rotação Duplas'!H101="-",0,'🔄 Rotação Duplas'!H101),IF('⚙️ Configuração'!C39='🔄 Rotação Duplas'!D101,IF('🔄 Rotação Duplas'!I101="-",0,'🔄 Rotação Duplas'!I101),0))</f>
        <v>0</v>
      </c>
      <c r="J15" s="63">
        <f>IF('⚙️ Configuração'!C39='🔄 Rotação Duplas'!C106,IF('🔄 Rotação Duplas'!H106="-",0,'🔄 Rotação Duplas'!H106),IF('⚙️ Configuração'!C39='🔄 Rotação Duplas'!D106,IF('🔄 Rotação Duplas'!I106="-",0,'🔄 Rotação Duplas'!I106),0))+IF('⚙️ Configuração'!C39='🔄 Rotação Duplas'!C107,IF('🔄 Rotação Duplas'!H107="-",0,'🔄 Rotação Duplas'!H107),IF('⚙️ Configuração'!C39='🔄 Rotação Duplas'!D107,IF('🔄 Rotação Duplas'!I107="-",0,'🔄 Rotação Duplas'!I107),0))+IF('⚙️ Configuração'!C39='🔄 Rotação Duplas'!C108,IF('🔄 Rotação Duplas'!H108="-",0,'🔄 Rotação Duplas'!H108),IF('⚙️ Configuração'!C39='🔄 Rotação Duplas'!D108,IF('🔄 Rotação Duplas'!I108="-",0,'🔄 Rotação Duplas'!I108),0))+IF('⚙️ Configuração'!C39='🔄 Rotação Duplas'!C109,IF('🔄 Rotação Duplas'!H109="-",0,'🔄 Rotação Duplas'!H109),IF('⚙️ Configuração'!C39='🔄 Rotação Duplas'!D109,IF('🔄 Rotação Duplas'!I109="-",0,'🔄 Rotação Duplas'!I109),0))+IF('⚙️ Configuração'!C39='🔄 Rotação Duplas'!C110,IF('🔄 Rotação Duplas'!H110="-",0,'🔄 Rotação Duplas'!H110),IF('⚙️ Configuração'!C39='🔄 Rotação Duplas'!D110,IF('🔄 Rotação Duplas'!I110="-",0,'🔄 Rotação Duplas'!I110),0))+IF('⚙️ Configuração'!C39='🔄 Rotação Duplas'!C111,IF('🔄 Rotação Duplas'!H111="-",0,'🔄 Rotação Duplas'!H111),IF('⚙️ Configuração'!C39='🔄 Rotação Duplas'!D111,IF('🔄 Rotação Duplas'!I111="-",0,'🔄 Rotação Duplas'!I111),0))+IF('⚙️ Configuração'!C39='🔄 Rotação Duplas'!C112,IF('🔄 Rotação Duplas'!H112="-",0,'🔄 Rotação Duplas'!H112),IF('⚙️ Configuração'!C39='🔄 Rotação Duplas'!D112,IF('🔄 Rotação Duplas'!I112="-",0,'🔄 Rotação Duplas'!I112),0))+IF('⚙️ Configuração'!C39='🔄 Rotação Duplas'!C113,IF('🔄 Rotação Duplas'!H113="-",0,'🔄 Rotação Duplas'!H113),IF('⚙️ Configuração'!C39='🔄 Rotação Duplas'!D113,IF('🔄 Rotação Duplas'!I113="-",0,'🔄 Rotação Duplas'!I113),0))+IF('⚙️ Configuração'!C39='🔄 Rotação Duplas'!C114,IF('🔄 Rotação Duplas'!H114="-",0,'🔄 Rotação Duplas'!H114),IF('⚙️ Configuração'!C39='🔄 Rotação Duplas'!D114,IF('🔄 Rotação Duplas'!I114="-",0,'🔄 Rotação Duplas'!I114),0))+IF('⚙️ Configuração'!C39='🔄 Rotação Duplas'!C115,IF('🔄 Rotação Duplas'!H115="-",0,'🔄 Rotação Duplas'!H115),IF('⚙️ Configuração'!C39='🔄 Rotação Duplas'!D115,IF('🔄 Rotação Duplas'!I115="-",0,'🔄 Rotação Duplas'!I115),0))</f>
        <v>0</v>
      </c>
      <c r="K15" s="64">
        <f t="shared" si="0"/>
        <v>0</v>
      </c>
      <c r="L15" s="65">
        <f>SUMIF('📋 Registo Diário'!$D$7:$D$646,'⚙️ Configuração'!C39,'📋 Registo Diário'!$Q$7:$Q$646)</f>
        <v>69</v>
      </c>
      <c r="M15" s="66">
        <f t="shared" si="1"/>
        <v>69</v>
      </c>
      <c r="N15" s="59"/>
      <c r="O15" s="67"/>
      <c r="P15" s="68"/>
    </row>
    <row r="16" spans="1:16" ht="21.75" customHeight="1" x14ac:dyDescent="0.2">
      <c r="A16" s="59"/>
      <c r="B16" s="13" t="str">
        <f>'⚙️ Configuração'!C40</f>
        <v>Maria João Travassos</v>
      </c>
      <c r="C16" s="63">
        <f>IF('⚙️ Configuração'!C40='🔄 Rotação Duplas'!C8,IF('🔄 Rotação Duplas'!H8="-",0,'🔄 Rotação Duplas'!H8),IF('⚙️ Configuração'!C40='🔄 Rotação Duplas'!D8,IF('🔄 Rotação Duplas'!I8="-",0,'🔄 Rotação Duplas'!I8),0))+IF('⚙️ Configuração'!C40='🔄 Rotação Duplas'!C9,IF('🔄 Rotação Duplas'!H9="-",0,'🔄 Rotação Duplas'!H9),IF('⚙️ Configuração'!C40='🔄 Rotação Duplas'!D9,IF('🔄 Rotação Duplas'!I9="-",0,'🔄 Rotação Duplas'!I9),0))+IF('⚙️ Configuração'!C40='🔄 Rotação Duplas'!C10,IF('🔄 Rotação Duplas'!H10="-",0,'🔄 Rotação Duplas'!H10),IF('⚙️ Configuração'!C40='🔄 Rotação Duplas'!D10,IF('🔄 Rotação Duplas'!I10="-",0,'🔄 Rotação Duplas'!I10),0))+IF('⚙️ Configuração'!C40='🔄 Rotação Duplas'!C11,IF('🔄 Rotação Duplas'!H11="-",0,'🔄 Rotação Duplas'!H11),IF('⚙️ Configuração'!C40='🔄 Rotação Duplas'!D11,IF('🔄 Rotação Duplas'!I11="-",0,'🔄 Rotação Duplas'!I11),0))+IF('⚙️ Configuração'!C40='🔄 Rotação Duplas'!C12,IF('🔄 Rotação Duplas'!H12="-",0,'🔄 Rotação Duplas'!H12),IF('⚙️ Configuração'!C40='🔄 Rotação Duplas'!D12,IF('🔄 Rotação Duplas'!I12="-",0,'🔄 Rotação Duplas'!I12),0))+IF('⚙️ Configuração'!C40='🔄 Rotação Duplas'!C13,IF('🔄 Rotação Duplas'!H13="-",0,'🔄 Rotação Duplas'!H13),IF('⚙️ Configuração'!C40='🔄 Rotação Duplas'!D13,IF('🔄 Rotação Duplas'!I13="-",0,'🔄 Rotação Duplas'!I13),0))+IF('⚙️ Configuração'!C40='🔄 Rotação Duplas'!C14,IF('🔄 Rotação Duplas'!H14="-",0,'🔄 Rotação Duplas'!H14),IF('⚙️ Configuração'!C40='🔄 Rotação Duplas'!D14,IF('🔄 Rotação Duplas'!I14="-",0,'🔄 Rotação Duplas'!I14),0))+IF('⚙️ Configuração'!C40='🔄 Rotação Duplas'!C15,IF('🔄 Rotação Duplas'!H15="-",0,'🔄 Rotação Duplas'!H15),IF('⚙️ Configuração'!C40='🔄 Rotação Duplas'!D15,IF('🔄 Rotação Duplas'!I15="-",0,'🔄 Rotação Duplas'!I15),0))+IF('⚙️ Configuração'!C40='🔄 Rotação Duplas'!C16,IF('🔄 Rotação Duplas'!H16="-",0,'🔄 Rotação Duplas'!H16),IF('⚙️ Configuração'!C40='🔄 Rotação Duplas'!D16,IF('🔄 Rotação Duplas'!I16="-",0,'🔄 Rotação Duplas'!I16),0))+IF('⚙️ Configuração'!C40='🔄 Rotação Duplas'!C17,IF('🔄 Rotação Duplas'!H17="-",0,'🔄 Rotação Duplas'!H17),IF('⚙️ Configuração'!C40='🔄 Rotação Duplas'!D17,IF('🔄 Rotação Duplas'!I17="-",0,'🔄 Rotação Duplas'!I17),0))</f>
        <v>56</v>
      </c>
      <c r="D16" s="63">
        <f>IF('⚙️ Configuração'!C40='🔄 Rotação Duplas'!C22,IF('🔄 Rotação Duplas'!H22="-",0,'🔄 Rotação Duplas'!H22),IF('⚙️ Configuração'!C40='🔄 Rotação Duplas'!D22,IF('🔄 Rotação Duplas'!I22="-",0,'🔄 Rotação Duplas'!I22),0))+IF('⚙️ Configuração'!C40='🔄 Rotação Duplas'!C23,IF('🔄 Rotação Duplas'!H23="-",0,'🔄 Rotação Duplas'!H23),IF('⚙️ Configuração'!C40='🔄 Rotação Duplas'!D23,IF('🔄 Rotação Duplas'!I23="-",0,'🔄 Rotação Duplas'!I23),0))+IF('⚙️ Configuração'!C40='🔄 Rotação Duplas'!C24,IF('🔄 Rotação Duplas'!H24="-",0,'🔄 Rotação Duplas'!H24),IF('⚙️ Configuração'!C40='🔄 Rotação Duplas'!D24,IF('🔄 Rotação Duplas'!I24="-",0,'🔄 Rotação Duplas'!I24),0))+IF('⚙️ Configuração'!C40='🔄 Rotação Duplas'!C25,IF('🔄 Rotação Duplas'!H25="-",0,'🔄 Rotação Duplas'!H25),IF('⚙️ Configuração'!C40='🔄 Rotação Duplas'!D25,IF('🔄 Rotação Duplas'!I25="-",0,'🔄 Rotação Duplas'!I25),0))+IF('⚙️ Configuração'!C40='🔄 Rotação Duplas'!C26,IF('🔄 Rotação Duplas'!H26="-",0,'🔄 Rotação Duplas'!H26),IF('⚙️ Configuração'!C40='🔄 Rotação Duplas'!D26,IF('🔄 Rotação Duplas'!I26="-",0,'🔄 Rotação Duplas'!I26),0))+IF('⚙️ Configuração'!C40='🔄 Rotação Duplas'!C27,IF('🔄 Rotação Duplas'!H27="-",0,'🔄 Rotação Duplas'!H27),IF('⚙️ Configuração'!C40='🔄 Rotação Duplas'!D27,IF('🔄 Rotação Duplas'!I27="-",0,'🔄 Rotação Duplas'!I27),0))+IF('⚙️ Configuração'!C40='🔄 Rotação Duplas'!C28,IF('🔄 Rotação Duplas'!H28="-",0,'🔄 Rotação Duplas'!H28),IF('⚙️ Configuração'!C40='🔄 Rotação Duplas'!D28,IF('🔄 Rotação Duplas'!I28="-",0,'🔄 Rotação Duplas'!I28),0))+IF('⚙️ Configuração'!C40='🔄 Rotação Duplas'!C29,IF('🔄 Rotação Duplas'!H29="-",0,'🔄 Rotação Duplas'!H29),IF('⚙️ Configuração'!C40='🔄 Rotação Duplas'!D29,IF('🔄 Rotação Duplas'!I29="-",0,'🔄 Rotação Duplas'!I29),0))+IF('⚙️ Configuração'!C40='🔄 Rotação Duplas'!C30,IF('🔄 Rotação Duplas'!H30="-",0,'🔄 Rotação Duplas'!H30),IF('⚙️ Configuração'!C40='🔄 Rotação Duplas'!D30,IF('🔄 Rotação Duplas'!I30="-",0,'🔄 Rotação Duplas'!I30),0))+IF('⚙️ Configuração'!C40='🔄 Rotação Duplas'!C31,IF('🔄 Rotação Duplas'!H31="-",0,'🔄 Rotação Duplas'!H31),IF('⚙️ Configuração'!C40='🔄 Rotação Duplas'!D31,IF('🔄 Rotação Duplas'!I31="-",0,'🔄 Rotação Duplas'!I31),0))</f>
        <v>0</v>
      </c>
      <c r="E16" s="63">
        <f>IF('⚙️ Configuração'!C40='🔄 Rotação Duplas'!C36,IF('🔄 Rotação Duplas'!H36="-",0,'🔄 Rotação Duplas'!H36),IF('⚙️ Configuração'!C40='🔄 Rotação Duplas'!D36,IF('🔄 Rotação Duplas'!I36="-",0,'🔄 Rotação Duplas'!I36),0))+IF('⚙️ Configuração'!C40='🔄 Rotação Duplas'!C37,IF('🔄 Rotação Duplas'!H37="-",0,'🔄 Rotação Duplas'!H37),IF('⚙️ Configuração'!C40='🔄 Rotação Duplas'!D37,IF('🔄 Rotação Duplas'!I37="-",0,'🔄 Rotação Duplas'!I37),0))+IF('⚙️ Configuração'!C40='🔄 Rotação Duplas'!C38,IF('🔄 Rotação Duplas'!H38="-",0,'🔄 Rotação Duplas'!H38),IF('⚙️ Configuração'!C40='🔄 Rotação Duplas'!D38,IF('🔄 Rotação Duplas'!I38="-",0,'🔄 Rotação Duplas'!I38),0))+IF('⚙️ Configuração'!C40='🔄 Rotação Duplas'!C39,IF('🔄 Rotação Duplas'!H39="-",0,'🔄 Rotação Duplas'!H39),IF('⚙️ Configuração'!C40='🔄 Rotação Duplas'!D39,IF('🔄 Rotação Duplas'!I39="-",0,'🔄 Rotação Duplas'!I39),0))+IF('⚙️ Configuração'!C40='🔄 Rotação Duplas'!C40,IF('🔄 Rotação Duplas'!H40="-",0,'🔄 Rotação Duplas'!H40),IF('⚙️ Configuração'!C40='🔄 Rotação Duplas'!D40,IF('🔄 Rotação Duplas'!I40="-",0,'🔄 Rotação Duplas'!I40),0))+IF('⚙️ Configuração'!C40='🔄 Rotação Duplas'!C41,IF('🔄 Rotação Duplas'!H41="-",0,'🔄 Rotação Duplas'!H41),IF('⚙️ Configuração'!C40='🔄 Rotação Duplas'!D41,IF('🔄 Rotação Duplas'!I41="-",0,'🔄 Rotação Duplas'!I41),0))+IF('⚙️ Configuração'!C40='🔄 Rotação Duplas'!C42,IF('🔄 Rotação Duplas'!H42="-",0,'🔄 Rotação Duplas'!H42),IF('⚙️ Configuração'!C40='🔄 Rotação Duplas'!D42,IF('🔄 Rotação Duplas'!I42="-",0,'🔄 Rotação Duplas'!I42),0))+IF('⚙️ Configuração'!C40='🔄 Rotação Duplas'!C43,IF('🔄 Rotação Duplas'!H43="-",0,'🔄 Rotação Duplas'!H43),IF('⚙️ Configuração'!C40='🔄 Rotação Duplas'!D43,IF('🔄 Rotação Duplas'!I43="-",0,'🔄 Rotação Duplas'!I43),0))+IF('⚙️ Configuração'!C40='🔄 Rotação Duplas'!C44,IF('🔄 Rotação Duplas'!H44="-",0,'🔄 Rotação Duplas'!H44),IF('⚙️ Configuração'!C40='🔄 Rotação Duplas'!D44,IF('🔄 Rotação Duplas'!I44="-",0,'🔄 Rotação Duplas'!I44),0))+IF('⚙️ Configuração'!C40='🔄 Rotação Duplas'!C45,IF('🔄 Rotação Duplas'!H45="-",0,'🔄 Rotação Duplas'!H45),IF('⚙️ Configuração'!C40='🔄 Rotação Duplas'!D45,IF('🔄 Rotação Duplas'!I45="-",0,'🔄 Rotação Duplas'!I45),0))</f>
        <v>0</v>
      </c>
      <c r="F16" s="63">
        <f>IF('⚙️ Configuração'!C40='🔄 Rotação Duplas'!C50,IF('🔄 Rotação Duplas'!H50="-",0,'🔄 Rotação Duplas'!H50),IF('⚙️ Configuração'!C40='🔄 Rotação Duplas'!D50,IF('🔄 Rotação Duplas'!I50="-",0,'🔄 Rotação Duplas'!I50),0))+IF('⚙️ Configuração'!C40='🔄 Rotação Duplas'!C51,IF('🔄 Rotação Duplas'!H51="-",0,'🔄 Rotação Duplas'!H51),IF('⚙️ Configuração'!C40='🔄 Rotação Duplas'!D51,IF('🔄 Rotação Duplas'!I51="-",0,'🔄 Rotação Duplas'!I51),0))+IF('⚙️ Configuração'!C40='🔄 Rotação Duplas'!C52,IF('🔄 Rotação Duplas'!H52="-",0,'🔄 Rotação Duplas'!H52),IF('⚙️ Configuração'!C40='🔄 Rotação Duplas'!D52,IF('🔄 Rotação Duplas'!I52="-",0,'🔄 Rotação Duplas'!I52),0))+IF('⚙️ Configuração'!C40='🔄 Rotação Duplas'!C53,IF('🔄 Rotação Duplas'!H53="-",0,'🔄 Rotação Duplas'!H53),IF('⚙️ Configuração'!C40='🔄 Rotação Duplas'!D53,IF('🔄 Rotação Duplas'!I53="-",0,'🔄 Rotação Duplas'!I53),0))+IF('⚙️ Configuração'!C40='🔄 Rotação Duplas'!C54,IF('🔄 Rotação Duplas'!H54="-",0,'🔄 Rotação Duplas'!H54),IF('⚙️ Configuração'!C40='🔄 Rotação Duplas'!D54,IF('🔄 Rotação Duplas'!I54="-",0,'🔄 Rotação Duplas'!I54),0))+IF('⚙️ Configuração'!C40='🔄 Rotação Duplas'!C55,IF('🔄 Rotação Duplas'!H55="-",0,'🔄 Rotação Duplas'!H55),IF('⚙️ Configuração'!C40='🔄 Rotação Duplas'!D55,IF('🔄 Rotação Duplas'!I55="-",0,'🔄 Rotação Duplas'!I55),0))+IF('⚙️ Configuração'!C40='🔄 Rotação Duplas'!C56,IF('🔄 Rotação Duplas'!H56="-",0,'🔄 Rotação Duplas'!H56),IF('⚙️ Configuração'!C40='🔄 Rotação Duplas'!D56,IF('🔄 Rotação Duplas'!I56="-",0,'🔄 Rotação Duplas'!I56),0))+IF('⚙️ Configuração'!C40='🔄 Rotação Duplas'!C57,IF('🔄 Rotação Duplas'!H57="-",0,'🔄 Rotação Duplas'!H57),IF('⚙️ Configuração'!C40='🔄 Rotação Duplas'!D57,IF('🔄 Rotação Duplas'!I57="-",0,'🔄 Rotação Duplas'!I57),0))+IF('⚙️ Configuração'!C40='🔄 Rotação Duplas'!C58,IF('🔄 Rotação Duplas'!H58="-",0,'🔄 Rotação Duplas'!H58),IF('⚙️ Configuração'!C40='🔄 Rotação Duplas'!D58,IF('🔄 Rotação Duplas'!I58="-",0,'🔄 Rotação Duplas'!I58),0))+IF('⚙️ Configuração'!C40='🔄 Rotação Duplas'!C59,IF('🔄 Rotação Duplas'!H59="-",0,'🔄 Rotação Duplas'!H59),IF('⚙️ Configuração'!C40='🔄 Rotação Duplas'!D59,IF('🔄 Rotação Duplas'!I59="-",0,'🔄 Rotação Duplas'!I59),0))</f>
        <v>0</v>
      </c>
      <c r="G16" s="63">
        <f>IF('⚙️ Configuração'!C40='🔄 Rotação Duplas'!C64,IF('🔄 Rotação Duplas'!H64="-",0,'🔄 Rotação Duplas'!H64),IF('⚙️ Configuração'!C40='🔄 Rotação Duplas'!D64,IF('🔄 Rotação Duplas'!I64="-",0,'🔄 Rotação Duplas'!I64),0))+IF('⚙️ Configuração'!C40='🔄 Rotação Duplas'!C65,IF('🔄 Rotação Duplas'!H65="-",0,'🔄 Rotação Duplas'!H65),IF('⚙️ Configuração'!C40='🔄 Rotação Duplas'!D65,IF('🔄 Rotação Duplas'!I65="-",0,'🔄 Rotação Duplas'!I65),0))+IF('⚙️ Configuração'!C40='🔄 Rotação Duplas'!C66,IF('🔄 Rotação Duplas'!H66="-",0,'🔄 Rotação Duplas'!H66),IF('⚙️ Configuração'!C40='🔄 Rotação Duplas'!D66,IF('🔄 Rotação Duplas'!I66="-",0,'🔄 Rotação Duplas'!I66),0))+IF('⚙️ Configuração'!C40='🔄 Rotação Duplas'!C67,IF('🔄 Rotação Duplas'!H67="-",0,'🔄 Rotação Duplas'!H67),IF('⚙️ Configuração'!C40='🔄 Rotação Duplas'!D67,IF('🔄 Rotação Duplas'!I67="-",0,'🔄 Rotação Duplas'!I67),0))+IF('⚙️ Configuração'!C40='🔄 Rotação Duplas'!C68,IF('🔄 Rotação Duplas'!H68="-",0,'🔄 Rotação Duplas'!H68),IF('⚙️ Configuração'!C40='🔄 Rotação Duplas'!D68,IF('🔄 Rotação Duplas'!I68="-",0,'🔄 Rotação Duplas'!I68),0))+IF('⚙️ Configuração'!C40='🔄 Rotação Duplas'!C69,IF('🔄 Rotação Duplas'!H69="-",0,'🔄 Rotação Duplas'!H69),IF('⚙️ Configuração'!C40='🔄 Rotação Duplas'!D69,IF('🔄 Rotação Duplas'!I69="-",0,'🔄 Rotação Duplas'!I69),0))+IF('⚙️ Configuração'!C40='🔄 Rotação Duplas'!C70,IF('🔄 Rotação Duplas'!H70="-",0,'🔄 Rotação Duplas'!H70),IF('⚙️ Configuração'!C40='🔄 Rotação Duplas'!D70,IF('🔄 Rotação Duplas'!I70="-",0,'🔄 Rotação Duplas'!I70),0))+IF('⚙️ Configuração'!C40='🔄 Rotação Duplas'!C71,IF('🔄 Rotação Duplas'!H71="-",0,'🔄 Rotação Duplas'!H71),IF('⚙️ Configuração'!C40='🔄 Rotação Duplas'!D71,IF('🔄 Rotação Duplas'!I71="-",0,'🔄 Rotação Duplas'!I71),0))+IF('⚙️ Configuração'!C40='🔄 Rotação Duplas'!C72,IF('🔄 Rotação Duplas'!H72="-",0,'🔄 Rotação Duplas'!H72),IF('⚙️ Configuração'!C40='🔄 Rotação Duplas'!D72,IF('🔄 Rotação Duplas'!I72="-",0,'🔄 Rotação Duplas'!I72),0))+IF('⚙️ Configuração'!C40='🔄 Rotação Duplas'!C73,IF('🔄 Rotação Duplas'!H73="-",0,'🔄 Rotação Duplas'!H73),IF('⚙️ Configuração'!C40='🔄 Rotação Duplas'!D73,IF('🔄 Rotação Duplas'!I73="-",0,'🔄 Rotação Duplas'!I73),0))</f>
        <v>0</v>
      </c>
      <c r="H16" s="63">
        <f>IF('⚙️ Configuração'!C40='🔄 Rotação Duplas'!C78,IF('🔄 Rotação Duplas'!H78="-",0,'🔄 Rotação Duplas'!H78),IF('⚙️ Configuração'!C40='🔄 Rotação Duplas'!D78,IF('🔄 Rotação Duplas'!I78="-",0,'🔄 Rotação Duplas'!I78),0))+IF('⚙️ Configuração'!C40='🔄 Rotação Duplas'!C79,IF('🔄 Rotação Duplas'!H79="-",0,'🔄 Rotação Duplas'!H79),IF('⚙️ Configuração'!C40='🔄 Rotação Duplas'!D79,IF('🔄 Rotação Duplas'!I79="-",0,'🔄 Rotação Duplas'!I79),0))+IF('⚙️ Configuração'!C40='🔄 Rotação Duplas'!C80,IF('🔄 Rotação Duplas'!H80="-",0,'🔄 Rotação Duplas'!H80),IF('⚙️ Configuração'!C40='🔄 Rotação Duplas'!D80,IF('🔄 Rotação Duplas'!I80="-",0,'🔄 Rotação Duplas'!I80),0))+IF('⚙️ Configuração'!C40='🔄 Rotação Duplas'!C81,IF('🔄 Rotação Duplas'!H81="-",0,'🔄 Rotação Duplas'!H81),IF('⚙️ Configuração'!C40='🔄 Rotação Duplas'!D81,IF('🔄 Rotação Duplas'!I81="-",0,'🔄 Rotação Duplas'!I81),0))+IF('⚙️ Configuração'!C40='🔄 Rotação Duplas'!C82,IF('🔄 Rotação Duplas'!H82="-",0,'🔄 Rotação Duplas'!H82),IF('⚙️ Configuração'!C40='🔄 Rotação Duplas'!D82,IF('🔄 Rotação Duplas'!I82="-",0,'🔄 Rotação Duplas'!I82),0))+IF('⚙️ Configuração'!C40='🔄 Rotação Duplas'!C83,IF('🔄 Rotação Duplas'!H83="-",0,'🔄 Rotação Duplas'!H83),IF('⚙️ Configuração'!C40='🔄 Rotação Duplas'!D83,IF('🔄 Rotação Duplas'!I83="-",0,'🔄 Rotação Duplas'!I83),0))+IF('⚙️ Configuração'!C40='🔄 Rotação Duplas'!C84,IF('🔄 Rotação Duplas'!H84="-",0,'🔄 Rotação Duplas'!H84),IF('⚙️ Configuração'!C40='🔄 Rotação Duplas'!D84,IF('🔄 Rotação Duplas'!I84="-",0,'🔄 Rotação Duplas'!I84),0))+IF('⚙️ Configuração'!C40='🔄 Rotação Duplas'!C85,IF('🔄 Rotação Duplas'!H85="-",0,'🔄 Rotação Duplas'!H85),IF('⚙️ Configuração'!C40='🔄 Rotação Duplas'!D85,IF('🔄 Rotação Duplas'!I85="-",0,'🔄 Rotação Duplas'!I85),0))+IF('⚙️ Configuração'!C40='🔄 Rotação Duplas'!C86,IF('🔄 Rotação Duplas'!H86="-",0,'🔄 Rotação Duplas'!H86),IF('⚙️ Configuração'!C40='🔄 Rotação Duplas'!D86,IF('🔄 Rotação Duplas'!I86="-",0,'🔄 Rotação Duplas'!I86),0))+IF('⚙️ Configuração'!C40='🔄 Rotação Duplas'!C87,IF('🔄 Rotação Duplas'!H87="-",0,'🔄 Rotação Duplas'!H87),IF('⚙️ Configuração'!C40='🔄 Rotação Duplas'!D87,IF('🔄 Rotação Duplas'!I87="-",0,'🔄 Rotação Duplas'!I87),0))</f>
        <v>0</v>
      </c>
      <c r="I16" s="63">
        <f>IF('⚙️ Configuração'!C40='🔄 Rotação Duplas'!C92,IF('🔄 Rotação Duplas'!H92="-",0,'🔄 Rotação Duplas'!H92),IF('⚙️ Configuração'!C40='🔄 Rotação Duplas'!D92,IF('🔄 Rotação Duplas'!I92="-",0,'🔄 Rotação Duplas'!I92),0))+IF('⚙️ Configuração'!C40='🔄 Rotação Duplas'!C93,IF('🔄 Rotação Duplas'!H93="-",0,'🔄 Rotação Duplas'!H93),IF('⚙️ Configuração'!C40='🔄 Rotação Duplas'!D93,IF('🔄 Rotação Duplas'!I93="-",0,'🔄 Rotação Duplas'!I93),0))+IF('⚙️ Configuração'!C40='🔄 Rotação Duplas'!C94,IF('🔄 Rotação Duplas'!H94="-",0,'🔄 Rotação Duplas'!H94),IF('⚙️ Configuração'!C40='🔄 Rotação Duplas'!D94,IF('🔄 Rotação Duplas'!I94="-",0,'🔄 Rotação Duplas'!I94),0))+IF('⚙️ Configuração'!C40='🔄 Rotação Duplas'!C95,IF('🔄 Rotação Duplas'!H95="-",0,'🔄 Rotação Duplas'!H95),IF('⚙️ Configuração'!C40='🔄 Rotação Duplas'!D95,IF('🔄 Rotação Duplas'!I95="-",0,'🔄 Rotação Duplas'!I95),0))+IF('⚙️ Configuração'!C40='🔄 Rotação Duplas'!C96,IF('🔄 Rotação Duplas'!H96="-",0,'🔄 Rotação Duplas'!H96),IF('⚙️ Configuração'!C40='🔄 Rotação Duplas'!D96,IF('🔄 Rotação Duplas'!I96="-",0,'🔄 Rotação Duplas'!I96),0))+IF('⚙️ Configuração'!C40='🔄 Rotação Duplas'!C97,IF('🔄 Rotação Duplas'!H97="-",0,'🔄 Rotação Duplas'!H97),IF('⚙️ Configuração'!C40='🔄 Rotação Duplas'!D97,IF('🔄 Rotação Duplas'!I97="-",0,'🔄 Rotação Duplas'!I97),0))+IF('⚙️ Configuração'!C40='🔄 Rotação Duplas'!C98,IF('🔄 Rotação Duplas'!H98="-",0,'🔄 Rotação Duplas'!H98),IF('⚙️ Configuração'!C40='🔄 Rotação Duplas'!D98,IF('🔄 Rotação Duplas'!I98="-",0,'🔄 Rotação Duplas'!I98),0))+IF('⚙️ Configuração'!C40='🔄 Rotação Duplas'!C99,IF('🔄 Rotação Duplas'!H99="-",0,'🔄 Rotação Duplas'!H99),IF('⚙️ Configuração'!C40='🔄 Rotação Duplas'!D99,IF('🔄 Rotação Duplas'!I99="-",0,'🔄 Rotação Duplas'!I99),0))+IF('⚙️ Configuração'!C40='🔄 Rotação Duplas'!C100,IF('🔄 Rotação Duplas'!H100="-",0,'🔄 Rotação Duplas'!H100),IF('⚙️ Configuração'!C40='🔄 Rotação Duplas'!D100,IF('🔄 Rotação Duplas'!I100="-",0,'🔄 Rotação Duplas'!I100),0))+IF('⚙️ Configuração'!C40='🔄 Rotação Duplas'!C101,IF('🔄 Rotação Duplas'!H101="-",0,'🔄 Rotação Duplas'!H101),IF('⚙️ Configuração'!C40='🔄 Rotação Duplas'!D101,IF('🔄 Rotação Duplas'!I101="-",0,'🔄 Rotação Duplas'!I101),0))</f>
        <v>0</v>
      </c>
      <c r="J16" s="63">
        <f>IF('⚙️ Configuração'!C40='🔄 Rotação Duplas'!C106,IF('🔄 Rotação Duplas'!H106="-",0,'🔄 Rotação Duplas'!H106),IF('⚙️ Configuração'!C40='🔄 Rotação Duplas'!D106,IF('🔄 Rotação Duplas'!I106="-",0,'🔄 Rotação Duplas'!I106),0))+IF('⚙️ Configuração'!C40='🔄 Rotação Duplas'!C107,IF('🔄 Rotação Duplas'!H107="-",0,'🔄 Rotação Duplas'!H107),IF('⚙️ Configuração'!C40='🔄 Rotação Duplas'!D107,IF('🔄 Rotação Duplas'!I107="-",0,'🔄 Rotação Duplas'!I107),0))+IF('⚙️ Configuração'!C40='🔄 Rotação Duplas'!C108,IF('🔄 Rotação Duplas'!H108="-",0,'🔄 Rotação Duplas'!H108),IF('⚙️ Configuração'!C40='🔄 Rotação Duplas'!D108,IF('🔄 Rotação Duplas'!I108="-",0,'🔄 Rotação Duplas'!I108),0))+IF('⚙️ Configuração'!C40='🔄 Rotação Duplas'!C109,IF('🔄 Rotação Duplas'!H109="-",0,'🔄 Rotação Duplas'!H109),IF('⚙️ Configuração'!C40='🔄 Rotação Duplas'!D109,IF('🔄 Rotação Duplas'!I109="-",0,'🔄 Rotação Duplas'!I109),0))+IF('⚙️ Configuração'!C40='🔄 Rotação Duplas'!C110,IF('🔄 Rotação Duplas'!H110="-",0,'🔄 Rotação Duplas'!H110),IF('⚙️ Configuração'!C40='🔄 Rotação Duplas'!D110,IF('🔄 Rotação Duplas'!I110="-",0,'🔄 Rotação Duplas'!I110),0))+IF('⚙️ Configuração'!C40='🔄 Rotação Duplas'!C111,IF('🔄 Rotação Duplas'!H111="-",0,'🔄 Rotação Duplas'!H111),IF('⚙️ Configuração'!C40='🔄 Rotação Duplas'!D111,IF('🔄 Rotação Duplas'!I111="-",0,'🔄 Rotação Duplas'!I111),0))+IF('⚙️ Configuração'!C40='🔄 Rotação Duplas'!C112,IF('🔄 Rotação Duplas'!H112="-",0,'🔄 Rotação Duplas'!H112),IF('⚙️ Configuração'!C40='🔄 Rotação Duplas'!D112,IF('🔄 Rotação Duplas'!I112="-",0,'🔄 Rotação Duplas'!I112),0))+IF('⚙️ Configuração'!C40='🔄 Rotação Duplas'!C113,IF('🔄 Rotação Duplas'!H113="-",0,'🔄 Rotação Duplas'!H113),IF('⚙️ Configuração'!C40='🔄 Rotação Duplas'!D113,IF('🔄 Rotação Duplas'!I113="-",0,'🔄 Rotação Duplas'!I113),0))+IF('⚙️ Configuração'!C40='🔄 Rotação Duplas'!C114,IF('🔄 Rotação Duplas'!H114="-",0,'🔄 Rotação Duplas'!H114),IF('⚙️ Configuração'!C40='🔄 Rotação Duplas'!D114,IF('🔄 Rotação Duplas'!I114="-",0,'🔄 Rotação Duplas'!I114),0))+IF('⚙️ Configuração'!C40='🔄 Rotação Duplas'!C115,IF('🔄 Rotação Duplas'!H115="-",0,'🔄 Rotação Duplas'!H115),IF('⚙️ Configuração'!C40='🔄 Rotação Duplas'!D115,IF('🔄 Rotação Duplas'!I115="-",0,'🔄 Rotação Duplas'!I115),0))</f>
        <v>0</v>
      </c>
      <c r="K16" s="64">
        <f t="shared" si="0"/>
        <v>56</v>
      </c>
      <c r="L16" s="65">
        <f>SUMIF('📋 Registo Diário'!$D$7:$D$646,'⚙️ Configuração'!C40,'📋 Registo Diário'!$Q$7:$Q$646)</f>
        <v>38</v>
      </c>
      <c r="M16" s="66">
        <f t="shared" si="1"/>
        <v>94</v>
      </c>
      <c r="N16" s="59"/>
      <c r="O16" s="67"/>
      <c r="P16" s="68"/>
    </row>
    <row r="17" spans="1:16" ht="21.75" customHeight="1" x14ac:dyDescent="0.2">
      <c r="A17" s="59"/>
      <c r="B17" s="4" t="str">
        <f>'⚙️ Configuração'!C41</f>
        <v>Marta Torres</v>
      </c>
      <c r="C17" s="63">
        <f>IF('⚙️ Configuração'!C41='🔄 Rotação Duplas'!C8,IF('🔄 Rotação Duplas'!H8="-",0,'🔄 Rotação Duplas'!H8),IF('⚙️ Configuração'!C41='🔄 Rotação Duplas'!D8,IF('🔄 Rotação Duplas'!I8="-",0,'🔄 Rotação Duplas'!I8),0))+IF('⚙️ Configuração'!C41='🔄 Rotação Duplas'!C9,IF('🔄 Rotação Duplas'!H9="-",0,'🔄 Rotação Duplas'!H9),IF('⚙️ Configuração'!C41='🔄 Rotação Duplas'!D9,IF('🔄 Rotação Duplas'!I9="-",0,'🔄 Rotação Duplas'!I9),0))+IF('⚙️ Configuração'!C41='🔄 Rotação Duplas'!C10,IF('🔄 Rotação Duplas'!H10="-",0,'🔄 Rotação Duplas'!H10),IF('⚙️ Configuração'!C41='🔄 Rotação Duplas'!D10,IF('🔄 Rotação Duplas'!I10="-",0,'🔄 Rotação Duplas'!I10),0))+IF('⚙️ Configuração'!C41='🔄 Rotação Duplas'!C11,IF('🔄 Rotação Duplas'!H11="-",0,'🔄 Rotação Duplas'!H11),IF('⚙️ Configuração'!C41='🔄 Rotação Duplas'!D11,IF('🔄 Rotação Duplas'!I11="-",0,'🔄 Rotação Duplas'!I11),0))+IF('⚙️ Configuração'!C41='🔄 Rotação Duplas'!C12,IF('🔄 Rotação Duplas'!H12="-",0,'🔄 Rotação Duplas'!H12),IF('⚙️ Configuração'!C41='🔄 Rotação Duplas'!D12,IF('🔄 Rotação Duplas'!I12="-",0,'🔄 Rotação Duplas'!I12),0))+IF('⚙️ Configuração'!C41='🔄 Rotação Duplas'!C13,IF('🔄 Rotação Duplas'!H13="-",0,'🔄 Rotação Duplas'!H13),IF('⚙️ Configuração'!C41='🔄 Rotação Duplas'!D13,IF('🔄 Rotação Duplas'!I13="-",0,'🔄 Rotação Duplas'!I13),0))+IF('⚙️ Configuração'!C41='🔄 Rotação Duplas'!C14,IF('🔄 Rotação Duplas'!H14="-",0,'🔄 Rotação Duplas'!H14),IF('⚙️ Configuração'!C41='🔄 Rotação Duplas'!D14,IF('🔄 Rotação Duplas'!I14="-",0,'🔄 Rotação Duplas'!I14),0))+IF('⚙️ Configuração'!C41='🔄 Rotação Duplas'!C15,IF('🔄 Rotação Duplas'!H15="-",0,'🔄 Rotação Duplas'!H15),IF('⚙️ Configuração'!C41='🔄 Rotação Duplas'!D15,IF('🔄 Rotação Duplas'!I15="-",0,'🔄 Rotação Duplas'!I15),0))+IF('⚙️ Configuração'!C41='🔄 Rotação Duplas'!C16,IF('🔄 Rotação Duplas'!H16="-",0,'🔄 Rotação Duplas'!H16),IF('⚙️ Configuração'!C41='🔄 Rotação Duplas'!D16,IF('🔄 Rotação Duplas'!I16="-",0,'🔄 Rotação Duplas'!I16),0))+IF('⚙️ Configuração'!C41='🔄 Rotação Duplas'!C17,IF('🔄 Rotação Duplas'!H17="-",0,'🔄 Rotação Duplas'!H17),IF('⚙️ Configuração'!C41='🔄 Rotação Duplas'!D17,IF('🔄 Rotação Duplas'!I17="-",0,'🔄 Rotação Duplas'!I17),0))</f>
        <v>41</v>
      </c>
      <c r="D17" s="63">
        <f>IF('⚙️ Configuração'!C41='🔄 Rotação Duplas'!C22,IF('🔄 Rotação Duplas'!H22="-",0,'🔄 Rotação Duplas'!H22),IF('⚙️ Configuração'!C41='🔄 Rotação Duplas'!D22,IF('🔄 Rotação Duplas'!I22="-",0,'🔄 Rotação Duplas'!I22),0))+IF('⚙️ Configuração'!C41='🔄 Rotação Duplas'!C23,IF('🔄 Rotação Duplas'!H23="-",0,'🔄 Rotação Duplas'!H23),IF('⚙️ Configuração'!C41='🔄 Rotação Duplas'!D23,IF('🔄 Rotação Duplas'!I23="-",0,'🔄 Rotação Duplas'!I23),0))+IF('⚙️ Configuração'!C41='🔄 Rotação Duplas'!C24,IF('🔄 Rotação Duplas'!H24="-",0,'🔄 Rotação Duplas'!H24),IF('⚙️ Configuração'!C41='🔄 Rotação Duplas'!D24,IF('🔄 Rotação Duplas'!I24="-",0,'🔄 Rotação Duplas'!I24),0))+IF('⚙️ Configuração'!C41='🔄 Rotação Duplas'!C25,IF('🔄 Rotação Duplas'!H25="-",0,'🔄 Rotação Duplas'!H25),IF('⚙️ Configuração'!C41='🔄 Rotação Duplas'!D25,IF('🔄 Rotação Duplas'!I25="-",0,'🔄 Rotação Duplas'!I25),0))+IF('⚙️ Configuração'!C41='🔄 Rotação Duplas'!C26,IF('🔄 Rotação Duplas'!H26="-",0,'🔄 Rotação Duplas'!H26),IF('⚙️ Configuração'!C41='🔄 Rotação Duplas'!D26,IF('🔄 Rotação Duplas'!I26="-",0,'🔄 Rotação Duplas'!I26),0))+IF('⚙️ Configuração'!C41='🔄 Rotação Duplas'!C27,IF('🔄 Rotação Duplas'!H27="-",0,'🔄 Rotação Duplas'!H27),IF('⚙️ Configuração'!C41='🔄 Rotação Duplas'!D27,IF('🔄 Rotação Duplas'!I27="-",0,'🔄 Rotação Duplas'!I27),0))+IF('⚙️ Configuração'!C41='🔄 Rotação Duplas'!C28,IF('🔄 Rotação Duplas'!H28="-",0,'🔄 Rotação Duplas'!H28),IF('⚙️ Configuração'!C41='🔄 Rotação Duplas'!D28,IF('🔄 Rotação Duplas'!I28="-",0,'🔄 Rotação Duplas'!I28),0))+IF('⚙️ Configuração'!C41='🔄 Rotação Duplas'!C29,IF('🔄 Rotação Duplas'!H29="-",0,'🔄 Rotação Duplas'!H29),IF('⚙️ Configuração'!C41='🔄 Rotação Duplas'!D29,IF('🔄 Rotação Duplas'!I29="-",0,'🔄 Rotação Duplas'!I29),0))+IF('⚙️ Configuração'!C41='🔄 Rotação Duplas'!C30,IF('🔄 Rotação Duplas'!H30="-",0,'🔄 Rotação Duplas'!H30),IF('⚙️ Configuração'!C41='🔄 Rotação Duplas'!D30,IF('🔄 Rotação Duplas'!I30="-",0,'🔄 Rotação Duplas'!I30),0))+IF('⚙️ Configuração'!C41='🔄 Rotação Duplas'!C31,IF('🔄 Rotação Duplas'!H31="-",0,'🔄 Rotação Duplas'!H31),IF('⚙️ Configuração'!C41='🔄 Rotação Duplas'!D31,IF('🔄 Rotação Duplas'!I31="-",0,'🔄 Rotação Duplas'!I31),0))</f>
        <v>0</v>
      </c>
      <c r="E17" s="63">
        <f>IF('⚙️ Configuração'!C41='🔄 Rotação Duplas'!C36,IF('🔄 Rotação Duplas'!H36="-",0,'🔄 Rotação Duplas'!H36),IF('⚙️ Configuração'!C41='🔄 Rotação Duplas'!D36,IF('🔄 Rotação Duplas'!I36="-",0,'🔄 Rotação Duplas'!I36),0))+IF('⚙️ Configuração'!C41='🔄 Rotação Duplas'!C37,IF('🔄 Rotação Duplas'!H37="-",0,'🔄 Rotação Duplas'!H37),IF('⚙️ Configuração'!C41='🔄 Rotação Duplas'!D37,IF('🔄 Rotação Duplas'!I37="-",0,'🔄 Rotação Duplas'!I37),0))+IF('⚙️ Configuração'!C41='🔄 Rotação Duplas'!C38,IF('🔄 Rotação Duplas'!H38="-",0,'🔄 Rotação Duplas'!H38),IF('⚙️ Configuração'!C41='🔄 Rotação Duplas'!D38,IF('🔄 Rotação Duplas'!I38="-",0,'🔄 Rotação Duplas'!I38),0))+IF('⚙️ Configuração'!C41='🔄 Rotação Duplas'!C39,IF('🔄 Rotação Duplas'!H39="-",0,'🔄 Rotação Duplas'!H39),IF('⚙️ Configuração'!C41='🔄 Rotação Duplas'!D39,IF('🔄 Rotação Duplas'!I39="-",0,'🔄 Rotação Duplas'!I39),0))+IF('⚙️ Configuração'!C41='🔄 Rotação Duplas'!C40,IF('🔄 Rotação Duplas'!H40="-",0,'🔄 Rotação Duplas'!H40),IF('⚙️ Configuração'!C41='🔄 Rotação Duplas'!D40,IF('🔄 Rotação Duplas'!I40="-",0,'🔄 Rotação Duplas'!I40),0))+IF('⚙️ Configuração'!C41='🔄 Rotação Duplas'!C41,IF('🔄 Rotação Duplas'!H41="-",0,'🔄 Rotação Duplas'!H41),IF('⚙️ Configuração'!C41='🔄 Rotação Duplas'!D41,IF('🔄 Rotação Duplas'!I41="-",0,'🔄 Rotação Duplas'!I41),0))+IF('⚙️ Configuração'!C41='🔄 Rotação Duplas'!C42,IF('🔄 Rotação Duplas'!H42="-",0,'🔄 Rotação Duplas'!H42),IF('⚙️ Configuração'!C41='🔄 Rotação Duplas'!D42,IF('🔄 Rotação Duplas'!I42="-",0,'🔄 Rotação Duplas'!I42),0))+IF('⚙️ Configuração'!C41='🔄 Rotação Duplas'!C43,IF('🔄 Rotação Duplas'!H43="-",0,'🔄 Rotação Duplas'!H43),IF('⚙️ Configuração'!C41='🔄 Rotação Duplas'!D43,IF('🔄 Rotação Duplas'!I43="-",0,'🔄 Rotação Duplas'!I43),0))+IF('⚙️ Configuração'!C41='🔄 Rotação Duplas'!C44,IF('🔄 Rotação Duplas'!H44="-",0,'🔄 Rotação Duplas'!H44),IF('⚙️ Configuração'!C41='🔄 Rotação Duplas'!D44,IF('🔄 Rotação Duplas'!I44="-",0,'🔄 Rotação Duplas'!I44),0))+IF('⚙️ Configuração'!C41='🔄 Rotação Duplas'!C45,IF('🔄 Rotação Duplas'!H45="-",0,'🔄 Rotação Duplas'!H45),IF('⚙️ Configuração'!C41='🔄 Rotação Duplas'!D45,IF('🔄 Rotação Duplas'!I45="-",0,'🔄 Rotação Duplas'!I45),0))</f>
        <v>0</v>
      </c>
      <c r="F17" s="63">
        <f>IF('⚙️ Configuração'!C41='🔄 Rotação Duplas'!C50,IF('🔄 Rotação Duplas'!H50="-",0,'🔄 Rotação Duplas'!H50),IF('⚙️ Configuração'!C41='🔄 Rotação Duplas'!D50,IF('🔄 Rotação Duplas'!I50="-",0,'🔄 Rotação Duplas'!I50),0))+IF('⚙️ Configuração'!C41='🔄 Rotação Duplas'!C51,IF('🔄 Rotação Duplas'!H51="-",0,'🔄 Rotação Duplas'!H51),IF('⚙️ Configuração'!C41='🔄 Rotação Duplas'!D51,IF('🔄 Rotação Duplas'!I51="-",0,'🔄 Rotação Duplas'!I51),0))+IF('⚙️ Configuração'!C41='🔄 Rotação Duplas'!C52,IF('🔄 Rotação Duplas'!H52="-",0,'🔄 Rotação Duplas'!H52),IF('⚙️ Configuração'!C41='🔄 Rotação Duplas'!D52,IF('🔄 Rotação Duplas'!I52="-",0,'🔄 Rotação Duplas'!I52),0))+IF('⚙️ Configuração'!C41='🔄 Rotação Duplas'!C53,IF('🔄 Rotação Duplas'!H53="-",0,'🔄 Rotação Duplas'!H53),IF('⚙️ Configuração'!C41='🔄 Rotação Duplas'!D53,IF('🔄 Rotação Duplas'!I53="-",0,'🔄 Rotação Duplas'!I53),0))+IF('⚙️ Configuração'!C41='🔄 Rotação Duplas'!C54,IF('🔄 Rotação Duplas'!H54="-",0,'🔄 Rotação Duplas'!H54),IF('⚙️ Configuração'!C41='🔄 Rotação Duplas'!D54,IF('🔄 Rotação Duplas'!I54="-",0,'🔄 Rotação Duplas'!I54),0))+IF('⚙️ Configuração'!C41='🔄 Rotação Duplas'!C55,IF('🔄 Rotação Duplas'!H55="-",0,'🔄 Rotação Duplas'!H55),IF('⚙️ Configuração'!C41='🔄 Rotação Duplas'!D55,IF('🔄 Rotação Duplas'!I55="-",0,'🔄 Rotação Duplas'!I55),0))+IF('⚙️ Configuração'!C41='🔄 Rotação Duplas'!C56,IF('🔄 Rotação Duplas'!H56="-",0,'🔄 Rotação Duplas'!H56),IF('⚙️ Configuração'!C41='🔄 Rotação Duplas'!D56,IF('🔄 Rotação Duplas'!I56="-",0,'🔄 Rotação Duplas'!I56),0))+IF('⚙️ Configuração'!C41='🔄 Rotação Duplas'!C57,IF('🔄 Rotação Duplas'!H57="-",0,'🔄 Rotação Duplas'!H57),IF('⚙️ Configuração'!C41='🔄 Rotação Duplas'!D57,IF('🔄 Rotação Duplas'!I57="-",0,'🔄 Rotação Duplas'!I57),0))+IF('⚙️ Configuração'!C41='🔄 Rotação Duplas'!C58,IF('🔄 Rotação Duplas'!H58="-",0,'🔄 Rotação Duplas'!H58),IF('⚙️ Configuração'!C41='🔄 Rotação Duplas'!D58,IF('🔄 Rotação Duplas'!I58="-",0,'🔄 Rotação Duplas'!I58),0))+IF('⚙️ Configuração'!C41='🔄 Rotação Duplas'!C59,IF('🔄 Rotação Duplas'!H59="-",0,'🔄 Rotação Duplas'!H59),IF('⚙️ Configuração'!C41='🔄 Rotação Duplas'!D59,IF('🔄 Rotação Duplas'!I59="-",0,'🔄 Rotação Duplas'!I59),0))</f>
        <v>0</v>
      </c>
      <c r="G17" s="63">
        <f>IF('⚙️ Configuração'!C41='🔄 Rotação Duplas'!C64,IF('🔄 Rotação Duplas'!H64="-",0,'🔄 Rotação Duplas'!H64),IF('⚙️ Configuração'!C41='🔄 Rotação Duplas'!D64,IF('🔄 Rotação Duplas'!I64="-",0,'🔄 Rotação Duplas'!I64),0))+IF('⚙️ Configuração'!C41='🔄 Rotação Duplas'!C65,IF('🔄 Rotação Duplas'!H65="-",0,'🔄 Rotação Duplas'!H65),IF('⚙️ Configuração'!C41='🔄 Rotação Duplas'!D65,IF('🔄 Rotação Duplas'!I65="-",0,'🔄 Rotação Duplas'!I65),0))+IF('⚙️ Configuração'!C41='🔄 Rotação Duplas'!C66,IF('🔄 Rotação Duplas'!H66="-",0,'🔄 Rotação Duplas'!H66),IF('⚙️ Configuração'!C41='🔄 Rotação Duplas'!D66,IF('🔄 Rotação Duplas'!I66="-",0,'🔄 Rotação Duplas'!I66),0))+IF('⚙️ Configuração'!C41='🔄 Rotação Duplas'!C67,IF('🔄 Rotação Duplas'!H67="-",0,'🔄 Rotação Duplas'!H67),IF('⚙️ Configuração'!C41='🔄 Rotação Duplas'!D67,IF('🔄 Rotação Duplas'!I67="-",0,'🔄 Rotação Duplas'!I67),0))+IF('⚙️ Configuração'!C41='🔄 Rotação Duplas'!C68,IF('🔄 Rotação Duplas'!H68="-",0,'🔄 Rotação Duplas'!H68),IF('⚙️ Configuração'!C41='🔄 Rotação Duplas'!D68,IF('🔄 Rotação Duplas'!I68="-",0,'🔄 Rotação Duplas'!I68),0))+IF('⚙️ Configuração'!C41='🔄 Rotação Duplas'!C69,IF('🔄 Rotação Duplas'!H69="-",0,'🔄 Rotação Duplas'!H69),IF('⚙️ Configuração'!C41='🔄 Rotação Duplas'!D69,IF('🔄 Rotação Duplas'!I69="-",0,'🔄 Rotação Duplas'!I69),0))+IF('⚙️ Configuração'!C41='🔄 Rotação Duplas'!C70,IF('🔄 Rotação Duplas'!H70="-",0,'🔄 Rotação Duplas'!H70),IF('⚙️ Configuração'!C41='🔄 Rotação Duplas'!D70,IF('🔄 Rotação Duplas'!I70="-",0,'🔄 Rotação Duplas'!I70),0))+IF('⚙️ Configuração'!C41='🔄 Rotação Duplas'!C71,IF('🔄 Rotação Duplas'!H71="-",0,'🔄 Rotação Duplas'!H71),IF('⚙️ Configuração'!C41='🔄 Rotação Duplas'!D71,IF('🔄 Rotação Duplas'!I71="-",0,'🔄 Rotação Duplas'!I71),0))+IF('⚙️ Configuração'!C41='🔄 Rotação Duplas'!C72,IF('🔄 Rotação Duplas'!H72="-",0,'🔄 Rotação Duplas'!H72),IF('⚙️ Configuração'!C41='🔄 Rotação Duplas'!D72,IF('🔄 Rotação Duplas'!I72="-",0,'🔄 Rotação Duplas'!I72),0))+IF('⚙️ Configuração'!C41='🔄 Rotação Duplas'!C73,IF('🔄 Rotação Duplas'!H73="-",0,'🔄 Rotação Duplas'!H73),IF('⚙️ Configuração'!C41='🔄 Rotação Duplas'!D73,IF('🔄 Rotação Duplas'!I73="-",0,'🔄 Rotação Duplas'!I73),0))</f>
        <v>0</v>
      </c>
      <c r="H17" s="63">
        <f>IF('⚙️ Configuração'!C41='🔄 Rotação Duplas'!C78,IF('🔄 Rotação Duplas'!H78="-",0,'🔄 Rotação Duplas'!H78),IF('⚙️ Configuração'!C41='🔄 Rotação Duplas'!D78,IF('🔄 Rotação Duplas'!I78="-",0,'🔄 Rotação Duplas'!I78),0))+IF('⚙️ Configuração'!C41='🔄 Rotação Duplas'!C79,IF('🔄 Rotação Duplas'!H79="-",0,'🔄 Rotação Duplas'!H79),IF('⚙️ Configuração'!C41='🔄 Rotação Duplas'!D79,IF('🔄 Rotação Duplas'!I79="-",0,'🔄 Rotação Duplas'!I79),0))+IF('⚙️ Configuração'!C41='🔄 Rotação Duplas'!C80,IF('🔄 Rotação Duplas'!H80="-",0,'🔄 Rotação Duplas'!H80),IF('⚙️ Configuração'!C41='🔄 Rotação Duplas'!D80,IF('🔄 Rotação Duplas'!I80="-",0,'🔄 Rotação Duplas'!I80),0))+IF('⚙️ Configuração'!C41='🔄 Rotação Duplas'!C81,IF('🔄 Rotação Duplas'!H81="-",0,'🔄 Rotação Duplas'!H81),IF('⚙️ Configuração'!C41='🔄 Rotação Duplas'!D81,IF('🔄 Rotação Duplas'!I81="-",0,'🔄 Rotação Duplas'!I81),0))+IF('⚙️ Configuração'!C41='🔄 Rotação Duplas'!C82,IF('🔄 Rotação Duplas'!H82="-",0,'🔄 Rotação Duplas'!H82),IF('⚙️ Configuração'!C41='🔄 Rotação Duplas'!D82,IF('🔄 Rotação Duplas'!I82="-",0,'🔄 Rotação Duplas'!I82),0))+IF('⚙️ Configuração'!C41='🔄 Rotação Duplas'!C83,IF('🔄 Rotação Duplas'!H83="-",0,'🔄 Rotação Duplas'!H83),IF('⚙️ Configuração'!C41='🔄 Rotação Duplas'!D83,IF('🔄 Rotação Duplas'!I83="-",0,'🔄 Rotação Duplas'!I83),0))+IF('⚙️ Configuração'!C41='🔄 Rotação Duplas'!C84,IF('🔄 Rotação Duplas'!H84="-",0,'🔄 Rotação Duplas'!H84),IF('⚙️ Configuração'!C41='🔄 Rotação Duplas'!D84,IF('🔄 Rotação Duplas'!I84="-",0,'🔄 Rotação Duplas'!I84),0))+IF('⚙️ Configuração'!C41='🔄 Rotação Duplas'!C85,IF('🔄 Rotação Duplas'!H85="-",0,'🔄 Rotação Duplas'!H85),IF('⚙️ Configuração'!C41='🔄 Rotação Duplas'!D85,IF('🔄 Rotação Duplas'!I85="-",0,'🔄 Rotação Duplas'!I85),0))+IF('⚙️ Configuração'!C41='🔄 Rotação Duplas'!C86,IF('🔄 Rotação Duplas'!H86="-",0,'🔄 Rotação Duplas'!H86),IF('⚙️ Configuração'!C41='🔄 Rotação Duplas'!D86,IF('🔄 Rotação Duplas'!I86="-",0,'🔄 Rotação Duplas'!I86),0))+IF('⚙️ Configuração'!C41='🔄 Rotação Duplas'!C87,IF('🔄 Rotação Duplas'!H87="-",0,'🔄 Rotação Duplas'!H87),IF('⚙️ Configuração'!C41='🔄 Rotação Duplas'!D87,IF('🔄 Rotação Duplas'!I87="-",0,'🔄 Rotação Duplas'!I87),0))</f>
        <v>0</v>
      </c>
      <c r="I17" s="63">
        <f>IF('⚙️ Configuração'!C41='🔄 Rotação Duplas'!C92,IF('🔄 Rotação Duplas'!H92="-",0,'🔄 Rotação Duplas'!H92),IF('⚙️ Configuração'!C41='🔄 Rotação Duplas'!D92,IF('🔄 Rotação Duplas'!I92="-",0,'🔄 Rotação Duplas'!I92),0))+IF('⚙️ Configuração'!C41='🔄 Rotação Duplas'!C93,IF('🔄 Rotação Duplas'!H93="-",0,'🔄 Rotação Duplas'!H93),IF('⚙️ Configuração'!C41='🔄 Rotação Duplas'!D93,IF('🔄 Rotação Duplas'!I93="-",0,'🔄 Rotação Duplas'!I93),0))+IF('⚙️ Configuração'!C41='🔄 Rotação Duplas'!C94,IF('🔄 Rotação Duplas'!H94="-",0,'🔄 Rotação Duplas'!H94),IF('⚙️ Configuração'!C41='🔄 Rotação Duplas'!D94,IF('🔄 Rotação Duplas'!I94="-",0,'🔄 Rotação Duplas'!I94),0))+IF('⚙️ Configuração'!C41='🔄 Rotação Duplas'!C95,IF('🔄 Rotação Duplas'!H95="-",0,'🔄 Rotação Duplas'!H95),IF('⚙️ Configuração'!C41='🔄 Rotação Duplas'!D95,IF('🔄 Rotação Duplas'!I95="-",0,'🔄 Rotação Duplas'!I95),0))+IF('⚙️ Configuração'!C41='🔄 Rotação Duplas'!C96,IF('🔄 Rotação Duplas'!H96="-",0,'🔄 Rotação Duplas'!H96),IF('⚙️ Configuração'!C41='🔄 Rotação Duplas'!D96,IF('🔄 Rotação Duplas'!I96="-",0,'🔄 Rotação Duplas'!I96),0))+IF('⚙️ Configuração'!C41='🔄 Rotação Duplas'!C97,IF('🔄 Rotação Duplas'!H97="-",0,'🔄 Rotação Duplas'!H97),IF('⚙️ Configuração'!C41='🔄 Rotação Duplas'!D97,IF('🔄 Rotação Duplas'!I97="-",0,'🔄 Rotação Duplas'!I97),0))+IF('⚙️ Configuração'!C41='🔄 Rotação Duplas'!C98,IF('🔄 Rotação Duplas'!H98="-",0,'🔄 Rotação Duplas'!H98),IF('⚙️ Configuração'!C41='🔄 Rotação Duplas'!D98,IF('🔄 Rotação Duplas'!I98="-",0,'🔄 Rotação Duplas'!I98),0))+IF('⚙️ Configuração'!C41='🔄 Rotação Duplas'!C99,IF('🔄 Rotação Duplas'!H99="-",0,'🔄 Rotação Duplas'!H99),IF('⚙️ Configuração'!C41='🔄 Rotação Duplas'!D99,IF('🔄 Rotação Duplas'!I99="-",0,'🔄 Rotação Duplas'!I99),0))+IF('⚙️ Configuração'!C41='🔄 Rotação Duplas'!C100,IF('🔄 Rotação Duplas'!H100="-",0,'🔄 Rotação Duplas'!H100),IF('⚙️ Configuração'!C41='🔄 Rotação Duplas'!D100,IF('🔄 Rotação Duplas'!I100="-",0,'🔄 Rotação Duplas'!I100),0))+IF('⚙️ Configuração'!C41='🔄 Rotação Duplas'!C101,IF('🔄 Rotação Duplas'!H101="-",0,'🔄 Rotação Duplas'!H101),IF('⚙️ Configuração'!C41='🔄 Rotação Duplas'!D101,IF('🔄 Rotação Duplas'!I101="-",0,'🔄 Rotação Duplas'!I101),0))</f>
        <v>0</v>
      </c>
      <c r="J17" s="63">
        <f>IF('⚙️ Configuração'!C41='🔄 Rotação Duplas'!C106,IF('🔄 Rotação Duplas'!H106="-",0,'🔄 Rotação Duplas'!H106),IF('⚙️ Configuração'!C41='🔄 Rotação Duplas'!D106,IF('🔄 Rotação Duplas'!I106="-",0,'🔄 Rotação Duplas'!I106),0))+IF('⚙️ Configuração'!C41='🔄 Rotação Duplas'!C107,IF('🔄 Rotação Duplas'!H107="-",0,'🔄 Rotação Duplas'!H107),IF('⚙️ Configuração'!C41='🔄 Rotação Duplas'!D107,IF('🔄 Rotação Duplas'!I107="-",0,'🔄 Rotação Duplas'!I107),0))+IF('⚙️ Configuração'!C41='🔄 Rotação Duplas'!C108,IF('🔄 Rotação Duplas'!H108="-",0,'🔄 Rotação Duplas'!H108),IF('⚙️ Configuração'!C41='🔄 Rotação Duplas'!D108,IF('🔄 Rotação Duplas'!I108="-",0,'🔄 Rotação Duplas'!I108),0))+IF('⚙️ Configuração'!C41='🔄 Rotação Duplas'!C109,IF('🔄 Rotação Duplas'!H109="-",0,'🔄 Rotação Duplas'!H109),IF('⚙️ Configuração'!C41='🔄 Rotação Duplas'!D109,IF('🔄 Rotação Duplas'!I109="-",0,'🔄 Rotação Duplas'!I109),0))+IF('⚙️ Configuração'!C41='🔄 Rotação Duplas'!C110,IF('🔄 Rotação Duplas'!H110="-",0,'🔄 Rotação Duplas'!H110),IF('⚙️ Configuração'!C41='🔄 Rotação Duplas'!D110,IF('🔄 Rotação Duplas'!I110="-",0,'🔄 Rotação Duplas'!I110),0))+IF('⚙️ Configuração'!C41='🔄 Rotação Duplas'!C111,IF('🔄 Rotação Duplas'!H111="-",0,'🔄 Rotação Duplas'!H111),IF('⚙️ Configuração'!C41='🔄 Rotação Duplas'!D111,IF('🔄 Rotação Duplas'!I111="-",0,'🔄 Rotação Duplas'!I111),0))+IF('⚙️ Configuração'!C41='🔄 Rotação Duplas'!C112,IF('🔄 Rotação Duplas'!H112="-",0,'🔄 Rotação Duplas'!H112),IF('⚙️ Configuração'!C41='🔄 Rotação Duplas'!D112,IF('🔄 Rotação Duplas'!I112="-",0,'🔄 Rotação Duplas'!I112),0))+IF('⚙️ Configuração'!C41='🔄 Rotação Duplas'!C113,IF('🔄 Rotação Duplas'!H113="-",0,'🔄 Rotação Duplas'!H113),IF('⚙️ Configuração'!C41='🔄 Rotação Duplas'!D113,IF('🔄 Rotação Duplas'!I113="-",0,'🔄 Rotação Duplas'!I113),0))+IF('⚙️ Configuração'!C41='🔄 Rotação Duplas'!C114,IF('🔄 Rotação Duplas'!H114="-",0,'🔄 Rotação Duplas'!H114),IF('⚙️ Configuração'!C41='🔄 Rotação Duplas'!D114,IF('🔄 Rotação Duplas'!I114="-",0,'🔄 Rotação Duplas'!I114),0))+IF('⚙️ Configuração'!C41='🔄 Rotação Duplas'!C115,IF('🔄 Rotação Duplas'!H115="-",0,'🔄 Rotação Duplas'!H115),IF('⚙️ Configuração'!C41='🔄 Rotação Duplas'!D115,IF('🔄 Rotação Duplas'!I115="-",0,'🔄 Rotação Duplas'!I115),0))</f>
        <v>0</v>
      </c>
      <c r="K17" s="64">
        <f t="shared" si="0"/>
        <v>41</v>
      </c>
      <c r="L17" s="65">
        <f>SUMIF('📋 Registo Diário'!$D$7:$D$646,'⚙️ Configuração'!C41,'📋 Registo Diário'!$Q$7:$Q$646)</f>
        <v>54</v>
      </c>
      <c r="M17" s="66">
        <f t="shared" si="1"/>
        <v>95</v>
      </c>
      <c r="N17" s="59"/>
      <c r="O17" s="67"/>
      <c r="P17" s="68"/>
    </row>
    <row r="18" spans="1:16" ht="21.75" customHeight="1" x14ac:dyDescent="0.2">
      <c r="A18" s="59"/>
      <c r="B18" s="13" t="str">
        <f>'⚙️ Configuração'!C42</f>
        <v>Patricia Isabel Silva</v>
      </c>
      <c r="C18" s="63">
        <f>IF('⚙️ Configuração'!C42='🔄 Rotação Duplas'!C8,IF('🔄 Rotação Duplas'!H8="-",0,'🔄 Rotação Duplas'!H8),IF('⚙️ Configuração'!C42='🔄 Rotação Duplas'!D8,IF('🔄 Rotação Duplas'!I8="-",0,'🔄 Rotação Duplas'!I8),0))+IF('⚙️ Configuração'!C42='🔄 Rotação Duplas'!C9,IF('🔄 Rotação Duplas'!H9="-",0,'🔄 Rotação Duplas'!H9),IF('⚙️ Configuração'!C42='🔄 Rotação Duplas'!D9,IF('🔄 Rotação Duplas'!I9="-",0,'🔄 Rotação Duplas'!I9),0))+IF('⚙️ Configuração'!C42='🔄 Rotação Duplas'!C10,IF('🔄 Rotação Duplas'!H10="-",0,'🔄 Rotação Duplas'!H10),IF('⚙️ Configuração'!C42='🔄 Rotação Duplas'!D10,IF('🔄 Rotação Duplas'!I10="-",0,'🔄 Rotação Duplas'!I10),0))+IF('⚙️ Configuração'!C42='🔄 Rotação Duplas'!C11,IF('🔄 Rotação Duplas'!H11="-",0,'🔄 Rotação Duplas'!H11),IF('⚙️ Configuração'!C42='🔄 Rotação Duplas'!D11,IF('🔄 Rotação Duplas'!I11="-",0,'🔄 Rotação Duplas'!I11),0))+IF('⚙️ Configuração'!C42='🔄 Rotação Duplas'!C12,IF('🔄 Rotação Duplas'!H12="-",0,'🔄 Rotação Duplas'!H12),IF('⚙️ Configuração'!C42='🔄 Rotação Duplas'!D12,IF('🔄 Rotação Duplas'!I12="-",0,'🔄 Rotação Duplas'!I12),0))+IF('⚙️ Configuração'!C42='🔄 Rotação Duplas'!C13,IF('🔄 Rotação Duplas'!H13="-",0,'🔄 Rotação Duplas'!H13),IF('⚙️ Configuração'!C42='🔄 Rotação Duplas'!D13,IF('🔄 Rotação Duplas'!I13="-",0,'🔄 Rotação Duplas'!I13),0))+IF('⚙️ Configuração'!C42='🔄 Rotação Duplas'!C14,IF('🔄 Rotação Duplas'!H14="-",0,'🔄 Rotação Duplas'!H14),IF('⚙️ Configuração'!C42='🔄 Rotação Duplas'!D14,IF('🔄 Rotação Duplas'!I14="-",0,'🔄 Rotação Duplas'!I14),0))+IF('⚙️ Configuração'!C42='🔄 Rotação Duplas'!C15,IF('🔄 Rotação Duplas'!H15="-",0,'🔄 Rotação Duplas'!H15),IF('⚙️ Configuração'!C42='🔄 Rotação Duplas'!D15,IF('🔄 Rotação Duplas'!I15="-",0,'🔄 Rotação Duplas'!I15),0))+IF('⚙️ Configuração'!C42='🔄 Rotação Duplas'!C16,IF('🔄 Rotação Duplas'!H16="-",0,'🔄 Rotação Duplas'!H16),IF('⚙️ Configuração'!C42='🔄 Rotação Duplas'!D16,IF('🔄 Rotação Duplas'!I16="-",0,'🔄 Rotação Duplas'!I16),0))+IF('⚙️ Configuração'!C42='🔄 Rotação Duplas'!C17,IF('🔄 Rotação Duplas'!H17="-",0,'🔄 Rotação Duplas'!H17),IF('⚙️ Configuração'!C42='🔄 Rotação Duplas'!D17,IF('🔄 Rotação Duplas'!I17="-",0,'🔄 Rotação Duplas'!I17),0))</f>
        <v>45</v>
      </c>
      <c r="D18" s="63">
        <f>IF('⚙️ Configuração'!C42='🔄 Rotação Duplas'!C22,IF('🔄 Rotação Duplas'!H22="-",0,'🔄 Rotação Duplas'!H22),IF('⚙️ Configuração'!C42='🔄 Rotação Duplas'!D22,IF('🔄 Rotação Duplas'!I22="-",0,'🔄 Rotação Duplas'!I22),0))+IF('⚙️ Configuração'!C42='🔄 Rotação Duplas'!C23,IF('🔄 Rotação Duplas'!H23="-",0,'🔄 Rotação Duplas'!H23),IF('⚙️ Configuração'!C42='🔄 Rotação Duplas'!D23,IF('🔄 Rotação Duplas'!I23="-",0,'🔄 Rotação Duplas'!I23),0))+IF('⚙️ Configuração'!C42='🔄 Rotação Duplas'!C24,IF('🔄 Rotação Duplas'!H24="-",0,'🔄 Rotação Duplas'!H24),IF('⚙️ Configuração'!C42='🔄 Rotação Duplas'!D24,IF('🔄 Rotação Duplas'!I24="-",0,'🔄 Rotação Duplas'!I24),0))+IF('⚙️ Configuração'!C42='🔄 Rotação Duplas'!C25,IF('🔄 Rotação Duplas'!H25="-",0,'🔄 Rotação Duplas'!H25),IF('⚙️ Configuração'!C42='🔄 Rotação Duplas'!D25,IF('🔄 Rotação Duplas'!I25="-",0,'🔄 Rotação Duplas'!I25),0))+IF('⚙️ Configuração'!C42='🔄 Rotação Duplas'!C26,IF('🔄 Rotação Duplas'!H26="-",0,'🔄 Rotação Duplas'!H26),IF('⚙️ Configuração'!C42='🔄 Rotação Duplas'!D26,IF('🔄 Rotação Duplas'!I26="-",0,'🔄 Rotação Duplas'!I26),0))+IF('⚙️ Configuração'!C42='🔄 Rotação Duplas'!C27,IF('🔄 Rotação Duplas'!H27="-",0,'🔄 Rotação Duplas'!H27),IF('⚙️ Configuração'!C42='🔄 Rotação Duplas'!D27,IF('🔄 Rotação Duplas'!I27="-",0,'🔄 Rotação Duplas'!I27),0))+IF('⚙️ Configuração'!C42='🔄 Rotação Duplas'!C28,IF('🔄 Rotação Duplas'!H28="-",0,'🔄 Rotação Duplas'!H28),IF('⚙️ Configuração'!C42='🔄 Rotação Duplas'!D28,IF('🔄 Rotação Duplas'!I28="-",0,'🔄 Rotação Duplas'!I28),0))+IF('⚙️ Configuração'!C42='🔄 Rotação Duplas'!C29,IF('🔄 Rotação Duplas'!H29="-",0,'🔄 Rotação Duplas'!H29),IF('⚙️ Configuração'!C42='🔄 Rotação Duplas'!D29,IF('🔄 Rotação Duplas'!I29="-",0,'🔄 Rotação Duplas'!I29),0))+IF('⚙️ Configuração'!C42='🔄 Rotação Duplas'!C30,IF('🔄 Rotação Duplas'!H30="-",0,'🔄 Rotação Duplas'!H30),IF('⚙️ Configuração'!C42='🔄 Rotação Duplas'!D30,IF('🔄 Rotação Duplas'!I30="-",0,'🔄 Rotação Duplas'!I30),0))+IF('⚙️ Configuração'!C42='🔄 Rotação Duplas'!C31,IF('🔄 Rotação Duplas'!H31="-",0,'🔄 Rotação Duplas'!H31),IF('⚙️ Configuração'!C42='🔄 Rotação Duplas'!D31,IF('🔄 Rotação Duplas'!I31="-",0,'🔄 Rotação Duplas'!I31),0))</f>
        <v>0</v>
      </c>
      <c r="E18" s="63">
        <f>IF('⚙️ Configuração'!C42='🔄 Rotação Duplas'!C36,IF('🔄 Rotação Duplas'!H36="-",0,'🔄 Rotação Duplas'!H36),IF('⚙️ Configuração'!C42='🔄 Rotação Duplas'!D36,IF('🔄 Rotação Duplas'!I36="-",0,'🔄 Rotação Duplas'!I36),0))+IF('⚙️ Configuração'!C42='🔄 Rotação Duplas'!C37,IF('🔄 Rotação Duplas'!H37="-",0,'🔄 Rotação Duplas'!H37),IF('⚙️ Configuração'!C42='🔄 Rotação Duplas'!D37,IF('🔄 Rotação Duplas'!I37="-",0,'🔄 Rotação Duplas'!I37),0))+IF('⚙️ Configuração'!C42='🔄 Rotação Duplas'!C38,IF('🔄 Rotação Duplas'!H38="-",0,'🔄 Rotação Duplas'!H38),IF('⚙️ Configuração'!C42='🔄 Rotação Duplas'!D38,IF('🔄 Rotação Duplas'!I38="-",0,'🔄 Rotação Duplas'!I38),0))+IF('⚙️ Configuração'!C42='🔄 Rotação Duplas'!C39,IF('🔄 Rotação Duplas'!H39="-",0,'🔄 Rotação Duplas'!H39),IF('⚙️ Configuração'!C42='🔄 Rotação Duplas'!D39,IF('🔄 Rotação Duplas'!I39="-",0,'🔄 Rotação Duplas'!I39),0))+IF('⚙️ Configuração'!C42='🔄 Rotação Duplas'!C40,IF('🔄 Rotação Duplas'!H40="-",0,'🔄 Rotação Duplas'!H40),IF('⚙️ Configuração'!C42='🔄 Rotação Duplas'!D40,IF('🔄 Rotação Duplas'!I40="-",0,'🔄 Rotação Duplas'!I40),0))+IF('⚙️ Configuração'!C42='🔄 Rotação Duplas'!C41,IF('🔄 Rotação Duplas'!H41="-",0,'🔄 Rotação Duplas'!H41),IF('⚙️ Configuração'!C42='🔄 Rotação Duplas'!D41,IF('🔄 Rotação Duplas'!I41="-",0,'🔄 Rotação Duplas'!I41),0))+IF('⚙️ Configuração'!C42='🔄 Rotação Duplas'!C42,IF('🔄 Rotação Duplas'!H42="-",0,'🔄 Rotação Duplas'!H42),IF('⚙️ Configuração'!C42='🔄 Rotação Duplas'!D42,IF('🔄 Rotação Duplas'!I42="-",0,'🔄 Rotação Duplas'!I42),0))+IF('⚙️ Configuração'!C42='🔄 Rotação Duplas'!C43,IF('🔄 Rotação Duplas'!H43="-",0,'🔄 Rotação Duplas'!H43),IF('⚙️ Configuração'!C42='🔄 Rotação Duplas'!D43,IF('🔄 Rotação Duplas'!I43="-",0,'🔄 Rotação Duplas'!I43),0))+IF('⚙️ Configuração'!C42='🔄 Rotação Duplas'!C44,IF('🔄 Rotação Duplas'!H44="-",0,'🔄 Rotação Duplas'!H44),IF('⚙️ Configuração'!C42='🔄 Rotação Duplas'!D44,IF('🔄 Rotação Duplas'!I44="-",0,'🔄 Rotação Duplas'!I44),0))+IF('⚙️ Configuração'!C42='🔄 Rotação Duplas'!C45,IF('🔄 Rotação Duplas'!H45="-",0,'🔄 Rotação Duplas'!H45),IF('⚙️ Configuração'!C42='🔄 Rotação Duplas'!D45,IF('🔄 Rotação Duplas'!I45="-",0,'🔄 Rotação Duplas'!I45),0))</f>
        <v>0</v>
      </c>
      <c r="F18" s="63">
        <f>IF('⚙️ Configuração'!C42='🔄 Rotação Duplas'!C50,IF('🔄 Rotação Duplas'!H50="-",0,'🔄 Rotação Duplas'!H50),IF('⚙️ Configuração'!C42='🔄 Rotação Duplas'!D50,IF('🔄 Rotação Duplas'!I50="-",0,'🔄 Rotação Duplas'!I50),0))+IF('⚙️ Configuração'!C42='🔄 Rotação Duplas'!C51,IF('🔄 Rotação Duplas'!H51="-",0,'🔄 Rotação Duplas'!H51),IF('⚙️ Configuração'!C42='🔄 Rotação Duplas'!D51,IF('🔄 Rotação Duplas'!I51="-",0,'🔄 Rotação Duplas'!I51),0))+IF('⚙️ Configuração'!C42='🔄 Rotação Duplas'!C52,IF('🔄 Rotação Duplas'!H52="-",0,'🔄 Rotação Duplas'!H52),IF('⚙️ Configuração'!C42='🔄 Rotação Duplas'!D52,IF('🔄 Rotação Duplas'!I52="-",0,'🔄 Rotação Duplas'!I52),0))+IF('⚙️ Configuração'!C42='🔄 Rotação Duplas'!C53,IF('🔄 Rotação Duplas'!H53="-",0,'🔄 Rotação Duplas'!H53),IF('⚙️ Configuração'!C42='🔄 Rotação Duplas'!D53,IF('🔄 Rotação Duplas'!I53="-",0,'🔄 Rotação Duplas'!I53),0))+IF('⚙️ Configuração'!C42='🔄 Rotação Duplas'!C54,IF('🔄 Rotação Duplas'!H54="-",0,'🔄 Rotação Duplas'!H54),IF('⚙️ Configuração'!C42='🔄 Rotação Duplas'!D54,IF('🔄 Rotação Duplas'!I54="-",0,'🔄 Rotação Duplas'!I54),0))+IF('⚙️ Configuração'!C42='🔄 Rotação Duplas'!C55,IF('🔄 Rotação Duplas'!H55="-",0,'🔄 Rotação Duplas'!H55),IF('⚙️ Configuração'!C42='🔄 Rotação Duplas'!D55,IF('🔄 Rotação Duplas'!I55="-",0,'🔄 Rotação Duplas'!I55),0))+IF('⚙️ Configuração'!C42='🔄 Rotação Duplas'!C56,IF('🔄 Rotação Duplas'!H56="-",0,'🔄 Rotação Duplas'!H56),IF('⚙️ Configuração'!C42='🔄 Rotação Duplas'!D56,IF('🔄 Rotação Duplas'!I56="-",0,'🔄 Rotação Duplas'!I56),0))+IF('⚙️ Configuração'!C42='🔄 Rotação Duplas'!C57,IF('🔄 Rotação Duplas'!H57="-",0,'🔄 Rotação Duplas'!H57),IF('⚙️ Configuração'!C42='🔄 Rotação Duplas'!D57,IF('🔄 Rotação Duplas'!I57="-",0,'🔄 Rotação Duplas'!I57),0))+IF('⚙️ Configuração'!C42='🔄 Rotação Duplas'!C58,IF('🔄 Rotação Duplas'!H58="-",0,'🔄 Rotação Duplas'!H58),IF('⚙️ Configuração'!C42='🔄 Rotação Duplas'!D58,IF('🔄 Rotação Duplas'!I58="-",0,'🔄 Rotação Duplas'!I58),0))+IF('⚙️ Configuração'!C42='🔄 Rotação Duplas'!C59,IF('🔄 Rotação Duplas'!H59="-",0,'🔄 Rotação Duplas'!H59),IF('⚙️ Configuração'!C42='🔄 Rotação Duplas'!D59,IF('🔄 Rotação Duplas'!I59="-",0,'🔄 Rotação Duplas'!I59),0))</f>
        <v>0</v>
      </c>
      <c r="G18" s="63">
        <f>IF('⚙️ Configuração'!C42='🔄 Rotação Duplas'!C64,IF('🔄 Rotação Duplas'!H64="-",0,'🔄 Rotação Duplas'!H64),IF('⚙️ Configuração'!C42='🔄 Rotação Duplas'!D64,IF('🔄 Rotação Duplas'!I64="-",0,'🔄 Rotação Duplas'!I64),0))+IF('⚙️ Configuração'!C42='🔄 Rotação Duplas'!C65,IF('🔄 Rotação Duplas'!H65="-",0,'🔄 Rotação Duplas'!H65),IF('⚙️ Configuração'!C42='🔄 Rotação Duplas'!D65,IF('🔄 Rotação Duplas'!I65="-",0,'🔄 Rotação Duplas'!I65),0))+IF('⚙️ Configuração'!C42='🔄 Rotação Duplas'!C66,IF('🔄 Rotação Duplas'!H66="-",0,'🔄 Rotação Duplas'!H66),IF('⚙️ Configuração'!C42='🔄 Rotação Duplas'!D66,IF('🔄 Rotação Duplas'!I66="-",0,'🔄 Rotação Duplas'!I66),0))+IF('⚙️ Configuração'!C42='🔄 Rotação Duplas'!C67,IF('🔄 Rotação Duplas'!H67="-",0,'🔄 Rotação Duplas'!H67),IF('⚙️ Configuração'!C42='🔄 Rotação Duplas'!D67,IF('🔄 Rotação Duplas'!I67="-",0,'🔄 Rotação Duplas'!I67),0))+IF('⚙️ Configuração'!C42='🔄 Rotação Duplas'!C68,IF('🔄 Rotação Duplas'!H68="-",0,'🔄 Rotação Duplas'!H68),IF('⚙️ Configuração'!C42='🔄 Rotação Duplas'!D68,IF('🔄 Rotação Duplas'!I68="-",0,'🔄 Rotação Duplas'!I68),0))+IF('⚙️ Configuração'!C42='🔄 Rotação Duplas'!C69,IF('🔄 Rotação Duplas'!H69="-",0,'🔄 Rotação Duplas'!H69),IF('⚙️ Configuração'!C42='🔄 Rotação Duplas'!D69,IF('🔄 Rotação Duplas'!I69="-",0,'🔄 Rotação Duplas'!I69),0))+IF('⚙️ Configuração'!C42='🔄 Rotação Duplas'!C70,IF('🔄 Rotação Duplas'!H70="-",0,'🔄 Rotação Duplas'!H70),IF('⚙️ Configuração'!C42='🔄 Rotação Duplas'!D70,IF('🔄 Rotação Duplas'!I70="-",0,'🔄 Rotação Duplas'!I70),0))+IF('⚙️ Configuração'!C42='🔄 Rotação Duplas'!C71,IF('🔄 Rotação Duplas'!H71="-",0,'🔄 Rotação Duplas'!H71),IF('⚙️ Configuração'!C42='🔄 Rotação Duplas'!D71,IF('🔄 Rotação Duplas'!I71="-",0,'🔄 Rotação Duplas'!I71),0))+IF('⚙️ Configuração'!C42='🔄 Rotação Duplas'!C72,IF('🔄 Rotação Duplas'!H72="-",0,'🔄 Rotação Duplas'!H72),IF('⚙️ Configuração'!C42='🔄 Rotação Duplas'!D72,IF('🔄 Rotação Duplas'!I72="-",0,'🔄 Rotação Duplas'!I72),0))+IF('⚙️ Configuração'!C42='🔄 Rotação Duplas'!C73,IF('🔄 Rotação Duplas'!H73="-",0,'🔄 Rotação Duplas'!H73),IF('⚙️ Configuração'!C42='🔄 Rotação Duplas'!D73,IF('🔄 Rotação Duplas'!I73="-",0,'🔄 Rotação Duplas'!I73),0))</f>
        <v>0</v>
      </c>
      <c r="H18" s="63">
        <f>IF('⚙️ Configuração'!C42='🔄 Rotação Duplas'!C78,IF('🔄 Rotação Duplas'!H78="-",0,'🔄 Rotação Duplas'!H78),IF('⚙️ Configuração'!C42='🔄 Rotação Duplas'!D78,IF('🔄 Rotação Duplas'!I78="-",0,'🔄 Rotação Duplas'!I78),0))+IF('⚙️ Configuração'!C42='🔄 Rotação Duplas'!C79,IF('🔄 Rotação Duplas'!H79="-",0,'🔄 Rotação Duplas'!H79),IF('⚙️ Configuração'!C42='🔄 Rotação Duplas'!D79,IF('🔄 Rotação Duplas'!I79="-",0,'🔄 Rotação Duplas'!I79),0))+IF('⚙️ Configuração'!C42='🔄 Rotação Duplas'!C80,IF('🔄 Rotação Duplas'!H80="-",0,'🔄 Rotação Duplas'!H80),IF('⚙️ Configuração'!C42='🔄 Rotação Duplas'!D80,IF('🔄 Rotação Duplas'!I80="-",0,'🔄 Rotação Duplas'!I80),0))+IF('⚙️ Configuração'!C42='🔄 Rotação Duplas'!C81,IF('🔄 Rotação Duplas'!H81="-",0,'🔄 Rotação Duplas'!H81),IF('⚙️ Configuração'!C42='🔄 Rotação Duplas'!D81,IF('🔄 Rotação Duplas'!I81="-",0,'🔄 Rotação Duplas'!I81),0))+IF('⚙️ Configuração'!C42='🔄 Rotação Duplas'!C82,IF('🔄 Rotação Duplas'!H82="-",0,'🔄 Rotação Duplas'!H82),IF('⚙️ Configuração'!C42='🔄 Rotação Duplas'!D82,IF('🔄 Rotação Duplas'!I82="-",0,'🔄 Rotação Duplas'!I82),0))+IF('⚙️ Configuração'!C42='🔄 Rotação Duplas'!C83,IF('🔄 Rotação Duplas'!H83="-",0,'🔄 Rotação Duplas'!H83),IF('⚙️ Configuração'!C42='🔄 Rotação Duplas'!D83,IF('🔄 Rotação Duplas'!I83="-",0,'🔄 Rotação Duplas'!I83),0))+IF('⚙️ Configuração'!C42='🔄 Rotação Duplas'!C84,IF('🔄 Rotação Duplas'!H84="-",0,'🔄 Rotação Duplas'!H84),IF('⚙️ Configuração'!C42='🔄 Rotação Duplas'!D84,IF('🔄 Rotação Duplas'!I84="-",0,'🔄 Rotação Duplas'!I84),0))+IF('⚙️ Configuração'!C42='🔄 Rotação Duplas'!C85,IF('🔄 Rotação Duplas'!H85="-",0,'🔄 Rotação Duplas'!H85),IF('⚙️ Configuração'!C42='🔄 Rotação Duplas'!D85,IF('🔄 Rotação Duplas'!I85="-",0,'🔄 Rotação Duplas'!I85),0))+IF('⚙️ Configuração'!C42='🔄 Rotação Duplas'!C86,IF('🔄 Rotação Duplas'!H86="-",0,'🔄 Rotação Duplas'!H86),IF('⚙️ Configuração'!C42='🔄 Rotação Duplas'!D86,IF('🔄 Rotação Duplas'!I86="-",0,'🔄 Rotação Duplas'!I86),0))+IF('⚙️ Configuração'!C42='🔄 Rotação Duplas'!C87,IF('🔄 Rotação Duplas'!H87="-",0,'🔄 Rotação Duplas'!H87),IF('⚙️ Configuração'!C42='🔄 Rotação Duplas'!D87,IF('🔄 Rotação Duplas'!I87="-",0,'🔄 Rotação Duplas'!I87),0))</f>
        <v>0</v>
      </c>
      <c r="I18" s="63">
        <f>IF('⚙️ Configuração'!C42='🔄 Rotação Duplas'!C92,IF('🔄 Rotação Duplas'!H92="-",0,'🔄 Rotação Duplas'!H92),IF('⚙️ Configuração'!C42='🔄 Rotação Duplas'!D92,IF('🔄 Rotação Duplas'!I92="-",0,'🔄 Rotação Duplas'!I92),0))+IF('⚙️ Configuração'!C42='🔄 Rotação Duplas'!C93,IF('🔄 Rotação Duplas'!H93="-",0,'🔄 Rotação Duplas'!H93),IF('⚙️ Configuração'!C42='🔄 Rotação Duplas'!D93,IF('🔄 Rotação Duplas'!I93="-",0,'🔄 Rotação Duplas'!I93),0))+IF('⚙️ Configuração'!C42='🔄 Rotação Duplas'!C94,IF('🔄 Rotação Duplas'!H94="-",0,'🔄 Rotação Duplas'!H94),IF('⚙️ Configuração'!C42='🔄 Rotação Duplas'!D94,IF('🔄 Rotação Duplas'!I94="-",0,'🔄 Rotação Duplas'!I94),0))+IF('⚙️ Configuração'!C42='🔄 Rotação Duplas'!C95,IF('🔄 Rotação Duplas'!H95="-",0,'🔄 Rotação Duplas'!H95),IF('⚙️ Configuração'!C42='🔄 Rotação Duplas'!D95,IF('🔄 Rotação Duplas'!I95="-",0,'🔄 Rotação Duplas'!I95),0))+IF('⚙️ Configuração'!C42='🔄 Rotação Duplas'!C96,IF('🔄 Rotação Duplas'!H96="-",0,'🔄 Rotação Duplas'!H96),IF('⚙️ Configuração'!C42='🔄 Rotação Duplas'!D96,IF('🔄 Rotação Duplas'!I96="-",0,'🔄 Rotação Duplas'!I96),0))+IF('⚙️ Configuração'!C42='🔄 Rotação Duplas'!C97,IF('🔄 Rotação Duplas'!H97="-",0,'🔄 Rotação Duplas'!H97),IF('⚙️ Configuração'!C42='🔄 Rotação Duplas'!D97,IF('🔄 Rotação Duplas'!I97="-",0,'🔄 Rotação Duplas'!I97),0))+IF('⚙️ Configuração'!C42='🔄 Rotação Duplas'!C98,IF('🔄 Rotação Duplas'!H98="-",0,'🔄 Rotação Duplas'!H98),IF('⚙️ Configuração'!C42='🔄 Rotação Duplas'!D98,IF('🔄 Rotação Duplas'!I98="-",0,'🔄 Rotação Duplas'!I98),0))+IF('⚙️ Configuração'!C42='🔄 Rotação Duplas'!C99,IF('🔄 Rotação Duplas'!H99="-",0,'🔄 Rotação Duplas'!H99),IF('⚙️ Configuração'!C42='🔄 Rotação Duplas'!D99,IF('🔄 Rotação Duplas'!I99="-",0,'🔄 Rotação Duplas'!I99),0))+IF('⚙️ Configuração'!C42='🔄 Rotação Duplas'!C100,IF('🔄 Rotação Duplas'!H100="-",0,'🔄 Rotação Duplas'!H100),IF('⚙️ Configuração'!C42='🔄 Rotação Duplas'!D100,IF('🔄 Rotação Duplas'!I100="-",0,'🔄 Rotação Duplas'!I100),0))+IF('⚙️ Configuração'!C42='🔄 Rotação Duplas'!C101,IF('🔄 Rotação Duplas'!H101="-",0,'🔄 Rotação Duplas'!H101),IF('⚙️ Configuração'!C42='🔄 Rotação Duplas'!D101,IF('🔄 Rotação Duplas'!I101="-",0,'🔄 Rotação Duplas'!I101),0))</f>
        <v>0</v>
      </c>
      <c r="J18" s="63">
        <f>IF('⚙️ Configuração'!C42='🔄 Rotação Duplas'!C106,IF('🔄 Rotação Duplas'!H106="-",0,'🔄 Rotação Duplas'!H106),IF('⚙️ Configuração'!C42='🔄 Rotação Duplas'!D106,IF('🔄 Rotação Duplas'!I106="-",0,'🔄 Rotação Duplas'!I106),0))+IF('⚙️ Configuração'!C42='🔄 Rotação Duplas'!C107,IF('🔄 Rotação Duplas'!H107="-",0,'🔄 Rotação Duplas'!H107),IF('⚙️ Configuração'!C42='🔄 Rotação Duplas'!D107,IF('🔄 Rotação Duplas'!I107="-",0,'🔄 Rotação Duplas'!I107),0))+IF('⚙️ Configuração'!C42='🔄 Rotação Duplas'!C108,IF('🔄 Rotação Duplas'!H108="-",0,'🔄 Rotação Duplas'!H108),IF('⚙️ Configuração'!C42='🔄 Rotação Duplas'!D108,IF('🔄 Rotação Duplas'!I108="-",0,'🔄 Rotação Duplas'!I108),0))+IF('⚙️ Configuração'!C42='🔄 Rotação Duplas'!C109,IF('🔄 Rotação Duplas'!H109="-",0,'🔄 Rotação Duplas'!H109),IF('⚙️ Configuração'!C42='🔄 Rotação Duplas'!D109,IF('🔄 Rotação Duplas'!I109="-",0,'🔄 Rotação Duplas'!I109),0))+IF('⚙️ Configuração'!C42='🔄 Rotação Duplas'!C110,IF('🔄 Rotação Duplas'!H110="-",0,'🔄 Rotação Duplas'!H110),IF('⚙️ Configuração'!C42='🔄 Rotação Duplas'!D110,IF('🔄 Rotação Duplas'!I110="-",0,'🔄 Rotação Duplas'!I110),0))+IF('⚙️ Configuração'!C42='🔄 Rotação Duplas'!C111,IF('🔄 Rotação Duplas'!H111="-",0,'🔄 Rotação Duplas'!H111),IF('⚙️ Configuração'!C42='🔄 Rotação Duplas'!D111,IF('🔄 Rotação Duplas'!I111="-",0,'🔄 Rotação Duplas'!I111),0))+IF('⚙️ Configuração'!C42='🔄 Rotação Duplas'!C112,IF('🔄 Rotação Duplas'!H112="-",0,'🔄 Rotação Duplas'!H112),IF('⚙️ Configuração'!C42='🔄 Rotação Duplas'!D112,IF('🔄 Rotação Duplas'!I112="-",0,'🔄 Rotação Duplas'!I112),0))+IF('⚙️ Configuração'!C42='🔄 Rotação Duplas'!C113,IF('🔄 Rotação Duplas'!H113="-",0,'🔄 Rotação Duplas'!H113),IF('⚙️ Configuração'!C42='🔄 Rotação Duplas'!D113,IF('🔄 Rotação Duplas'!I113="-",0,'🔄 Rotação Duplas'!I113),0))+IF('⚙️ Configuração'!C42='🔄 Rotação Duplas'!C114,IF('🔄 Rotação Duplas'!H114="-",0,'🔄 Rotação Duplas'!H114),IF('⚙️ Configuração'!C42='🔄 Rotação Duplas'!D114,IF('🔄 Rotação Duplas'!I114="-",0,'🔄 Rotação Duplas'!I114),0))+IF('⚙️ Configuração'!C42='🔄 Rotação Duplas'!C115,IF('🔄 Rotação Duplas'!H115="-",0,'🔄 Rotação Duplas'!H115),IF('⚙️ Configuração'!C42='🔄 Rotação Duplas'!D115,IF('🔄 Rotação Duplas'!I115="-",0,'🔄 Rotação Duplas'!I115),0))</f>
        <v>0</v>
      </c>
      <c r="K18" s="64">
        <f t="shared" si="0"/>
        <v>45</v>
      </c>
      <c r="L18" s="65">
        <f>SUMIF('📋 Registo Diário'!$D$7:$D$646,'⚙️ Configuração'!C42,'📋 Registo Diário'!$Q$7:$Q$646)</f>
        <v>41</v>
      </c>
      <c r="M18" s="66">
        <f t="shared" si="1"/>
        <v>86</v>
      </c>
      <c r="N18" s="59"/>
      <c r="O18" s="67"/>
      <c r="P18" s="68"/>
    </row>
    <row r="19" spans="1:16" ht="21.75" customHeight="1" x14ac:dyDescent="0.2">
      <c r="A19" s="59"/>
      <c r="B19" s="4" t="str">
        <f>'⚙️ Configuração'!C43</f>
        <v>Paula Martins</v>
      </c>
      <c r="C19" s="63">
        <f>IF('⚙️ Configuração'!C43='🔄 Rotação Duplas'!C8,IF('🔄 Rotação Duplas'!H8="-",0,'🔄 Rotação Duplas'!H8),IF('⚙️ Configuração'!C43='🔄 Rotação Duplas'!D8,IF('🔄 Rotação Duplas'!I8="-",0,'🔄 Rotação Duplas'!I8),0))+IF('⚙️ Configuração'!C43='🔄 Rotação Duplas'!C9,IF('🔄 Rotação Duplas'!H9="-",0,'🔄 Rotação Duplas'!H9),IF('⚙️ Configuração'!C43='🔄 Rotação Duplas'!D9,IF('🔄 Rotação Duplas'!I9="-",0,'🔄 Rotação Duplas'!I9),0))+IF('⚙️ Configuração'!C43='🔄 Rotação Duplas'!C10,IF('🔄 Rotação Duplas'!H10="-",0,'🔄 Rotação Duplas'!H10),IF('⚙️ Configuração'!C43='🔄 Rotação Duplas'!D10,IF('🔄 Rotação Duplas'!I10="-",0,'🔄 Rotação Duplas'!I10),0))+IF('⚙️ Configuração'!C43='🔄 Rotação Duplas'!C11,IF('🔄 Rotação Duplas'!H11="-",0,'🔄 Rotação Duplas'!H11),IF('⚙️ Configuração'!C43='🔄 Rotação Duplas'!D11,IF('🔄 Rotação Duplas'!I11="-",0,'🔄 Rotação Duplas'!I11),0))+IF('⚙️ Configuração'!C43='🔄 Rotação Duplas'!C12,IF('🔄 Rotação Duplas'!H12="-",0,'🔄 Rotação Duplas'!H12),IF('⚙️ Configuração'!C43='🔄 Rotação Duplas'!D12,IF('🔄 Rotação Duplas'!I12="-",0,'🔄 Rotação Duplas'!I12),0))+IF('⚙️ Configuração'!C43='🔄 Rotação Duplas'!C13,IF('🔄 Rotação Duplas'!H13="-",0,'🔄 Rotação Duplas'!H13),IF('⚙️ Configuração'!C43='🔄 Rotação Duplas'!D13,IF('🔄 Rotação Duplas'!I13="-",0,'🔄 Rotação Duplas'!I13),0))+IF('⚙️ Configuração'!C43='🔄 Rotação Duplas'!C14,IF('🔄 Rotação Duplas'!H14="-",0,'🔄 Rotação Duplas'!H14),IF('⚙️ Configuração'!C43='🔄 Rotação Duplas'!D14,IF('🔄 Rotação Duplas'!I14="-",0,'🔄 Rotação Duplas'!I14),0))+IF('⚙️ Configuração'!C43='🔄 Rotação Duplas'!C15,IF('🔄 Rotação Duplas'!H15="-",0,'🔄 Rotação Duplas'!H15),IF('⚙️ Configuração'!C43='🔄 Rotação Duplas'!D15,IF('🔄 Rotação Duplas'!I15="-",0,'🔄 Rotação Duplas'!I15),0))+IF('⚙️ Configuração'!C43='🔄 Rotação Duplas'!C16,IF('🔄 Rotação Duplas'!H16="-",0,'🔄 Rotação Duplas'!H16),IF('⚙️ Configuração'!C43='🔄 Rotação Duplas'!D16,IF('🔄 Rotação Duplas'!I16="-",0,'🔄 Rotação Duplas'!I16),0))+IF('⚙️ Configuração'!C43='🔄 Rotação Duplas'!C17,IF('🔄 Rotação Duplas'!H17="-",0,'🔄 Rotação Duplas'!H17),IF('⚙️ Configuração'!C43='🔄 Rotação Duplas'!D17,IF('🔄 Rotação Duplas'!I17="-",0,'🔄 Rotação Duplas'!I17),0))</f>
        <v>22</v>
      </c>
      <c r="D19" s="63">
        <f>IF('⚙️ Configuração'!C43='🔄 Rotação Duplas'!C22,IF('🔄 Rotação Duplas'!H22="-",0,'🔄 Rotação Duplas'!H22),IF('⚙️ Configuração'!C43='🔄 Rotação Duplas'!D22,IF('🔄 Rotação Duplas'!I22="-",0,'🔄 Rotação Duplas'!I22),0))+IF('⚙️ Configuração'!C43='🔄 Rotação Duplas'!C23,IF('🔄 Rotação Duplas'!H23="-",0,'🔄 Rotação Duplas'!H23),IF('⚙️ Configuração'!C43='🔄 Rotação Duplas'!D23,IF('🔄 Rotação Duplas'!I23="-",0,'🔄 Rotação Duplas'!I23),0))+IF('⚙️ Configuração'!C43='🔄 Rotação Duplas'!C24,IF('🔄 Rotação Duplas'!H24="-",0,'🔄 Rotação Duplas'!H24),IF('⚙️ Configuração'!C43='🔄 Rotação Duplas'!D24,IF('🔄 Rotação Duplas'!I24="-",0,'🔄 Rotação Duplas'!I24),0))+IF('⚙️ Configuração'!C43='🔄 Rotação Duplas'!C25,IF('🔄 Rotação Duplas'!H25="-",0,'🔄 Rotação Duplas'!H25),IF('⚙️ Configuração'!C43='🔄 Rotação Duplas'!D25,IF('🔄 Rotação Duplas'!I25="-",0,'🔄 Rotação Duplas'!I25),0))+IF('⚙️ Configuração'!C43='🔄 Rotação Duplas'!C26,IF('🔄 Rotação Duplas'!H26="-",0,'🔄 Rotação Duplas'!H26),IF('⚙️ Configuração'!C43='🔄 Rotação Duplas'!D26,IF('🔄 Rotação Duplas'!I26="-",0,'🔄 Rotação Duplas'!I26),0))+IF('⚙️ Configuração'!C43='🔄 Rotação Duplas'!C27,IF('🔄 Rotação Duplas'!H27="-",0,'🔄 Rotação Duplas'!H27),IF('⚙️ Configuração'!C43='🔄 Rotação Duplas'!D27,IF('🔄 Rotação Duplas'!I27="-",0,'🔄 Rotação Duplas'!I27),0))+IF('⚙️ Configuração'!C43='🔄 Rotação Duplas'!C28,IF('🔄 Rotação Duplas'!H28="-",0,'🔄 Rotação Duplas'!H28),IF('⚙️ Configuração'!C43='🔄 Rotação Duplas'!D28,IF('🔄 Rotação Duplas'!I28="-",0,'🔄 Rotação Duplas'!I28),0))+IF('⚙️ Configuração'!C43='🔄 Rotação Duplas'!C29,IF('🔄 Rotação Duplas'!H29="-",0,'🔄 Rotação Duplas'!H29),IF('⚙️ Configuração'!C43='🔄 Rotação Duplas'!D29,IF('🔄 Rotação Duplas'!I29="-",0,'🔄 Rotação Duplas'!I29),0))+IF('⚙️ Configuração'!C43='🔄 Rotação Duplas'!C30,IF('🔄 Rotação Duplas'!H30="-",0,'🔄 Rotação Duplas'!H30),IF('⚙️ Configuração'!C43='🔄 Rotação Duplas'!D30,IF('🔄 Rotação Duplas'!I30="-",0,'🔄 Rotação Duplas'!I30),0))+IF('⚙️ Configuração'!C43='🔄 Rotação Duplas'!C31,IF('🔄 Rotação Duplas'!H31="-",0,'🔄 Rotação Duplas'!H31),IF('⚙️ Configuração'!C43='🔄 Rotação Duplas'!D31,IF('🔄 Rotação Duplas'!I31="-",0,'🔄 Rotação Duplas'!I31),0))</f>
        <v>0</v>
      </c>
      <c r="E19" s="63">
        <f>IF('⚙️ Configuração'!C43='🔄 Rotação Duplas'!C36,IF('🔄 Rotação Duplas'!H36="-",0,'🔄 Rotação Duplas'!H36),IF('⚙️ Configuração'!C43='🔄 Rotação Duplas'!D36,IF('🔄 Rotação Duplas'!I36="-",0,'🔄 Rotação Duplas'!I36),0))+IF('⚙️ Configuração'!C43='🔄 Rotação Duplas'!C37,IF('🔄 Rotação Duplas'!H37="-",0,'🔄 Rotação Duplas'!H37),IF('⚙️ Configuração'!C43='🔄 Rotação Duplas'!D37,IF('🔄 Rotação Duplas'!I37="-",0,'🔄 Rotação Duplas'!I37),0))+IF('⚙️ Configuração'!C43='🔄 Rotação Duplas'!C38,IF('🔄 Rotação Duplas'!H38="-",0,'🔄 Rotação Duplas'!H38),IF('⚙️ Configuração'!C43='🔄 Rotação Duplas'!D38,IF('🔄 Rotação Duplas'!I38="-",0,'🔄 Rotação Duplas'!I38),0))+IF('⚙️ Configuração'!C43='🔄 Rotação Duplas'!C39,IF('🔄 Rotação Duplas'!H39="-",0,'🔄 Rotação Duplas'!H39),IF('⚙️ Configuração'!C43='🔄 Rotação Duplas'!D39,IF('🔄 Rotação Duplas'!I39="-",0,'🔄 Rotação Duplas'!I39),0))+IF('⚙️ Configuração'!C43='🔄 Rotação Duplas'!C40,IF('🔄 Rotação Duplas'!H40="-",0,'🔄 Rotação Duplas'!H40),IF('⚙️ Configuração'!C43='🔄 Rotação Duplas'!D40,IF('🔄 Rotação Duplas'!I40="-",0,'🔄 Rotação Duplas'!I40),0))+IF('⚙️ Configuração'!C43='🔄 Rotação Duplas'!C41,IF('🔄 Rotação Duplas'!H41="-",0,'🔄 Rotação Duplas'!H41),IF('⚙️ Configuração'!C43='🔄 Rotação Duplas'!D41,IF('🔄 Rotação Duplas'!I41="-",0,'🔄 Rotação Duplas'!I41),0))+IF('⚙️ Configuração'!C43='🔄 Rotação Duplas'!C42,IF('🔄 Rotação Duplas'!H42="-",0,'🔄 Rotação Duplas'!H42),IF('⚙️ Configuração'!C43='🔄 Rotação Duplas'!D42,IF('🔄 Rotação Duplas'!I42="-",0,'🔄 Rotação Duplas'!I42),0))+IF('⚙️ Configuração'!C43='🔄 Rotação Duplas'!C43,IF('🔄 Rotação Duplas'!H43="-",0,'🔄 Rotação Duplas'!H43),IF('⚙️ Configuração'!C43='🔄 Rotação Duplas'!D43,IF('🔄 Rotação Duplas'!I43="-",0,'🔄 Rotação Duplas'!I43),0))+IF('⚙️ Configuração'!C43='🔄 Rotação Duplas'!C44,IF('🔄 Rotação Duplas'!H44="-",0,'🔄 Rotação Duplas'!H44),IF('⚙️ Configuração'!C43='🔄 Rotação Duplas'!D44,IF('🔄 Rotação Duplas'!I44="-",0,'🔄 Rotação Duplas'!I44),0))+IF('⚙️ Configuração'!C43='🔄 Rotação Duplas'!C45,IF('🔄 Rotação Duplas'!H45="-",0,'🔄 Rotação Duplas'!H45),IF('⚙️ Configuração'!C43='🔄 Rotação Duplas'!D45,IF('🔄 Rotação Duplas'!I45="-",0,'🔄 Rotação Duplas'!I45),0))</f>
        <v>0</v>
      </c>
      <c r="F19" s="63">
        <f>IF('⚙️ Configuração'!C43='🔄 Rotação Duplas'!C50,IF('🔄 Rotação Duplas'!H50="-",0,'🔄 Rotação Duplas'!H50),IF('⚙️ Configuração'!C43='🔄 Rotação Duplas'!D50,IF('🔄 Rotação Duplas'!I50="-",0,'🔄 Rotação Duplas'!I50),0))+IF('⚙️ Configuração'!C43='🔄 Rotação Duplas'!C51,IF('🔄 Rotação Duplas'!H51="-",0,'🔄 Rotação Duplas'!H51),IF('⚙️ Configuração'!C43='🔄 Rotação Duplas'!D51,IF('🔄 Rotação Duplas'!I51="-",0,'🔄 Rotação Duplas'!I51),0))+IF('⚙️ Configuração'!C43='🔄 Rotação Duplas'!C52,IF('🔄 Rotação Duplas'!H52="-",0,'🔄 Rotação Duplas'!H52),IF('⚙️ Configuração'!C43='🔄 Rotação Duplas'!D52,IF('🔄 Rotação Duplas'!I52="-",0,'🔄 Rotação Duplas'!I52),0))+IF('⚙️ Configuração'!C43='🔄 Rotação Duplas'!C53,IF('🔄 Rotação Duplas'!H53="-",0,'🔄 Rotação Duplas'!H53),IF('⚙️ Configuração'!C43='🔄 Rotação Duplas'!D53,IF('🔄 Rotação Duplas'!I53="-",0,'🔄 Rotação Duplas'!I53),0))+IF('⚙️ Configuração'!C43='🔄 Rotação Duplas'!C54,IF('🔄 Rotação Duplas'!H54="-",0,'🔄 Rotação Duplas'!H54),IF('⚙️ Configuração'!C43='🔄 Rotação Duplas'!D54,IF('🔄 Rotação Duplas'!I54="-",0,'🔄 Rotação Duplas'!I54),0))+IF('⚙️ Configuração'!C43='🔄 Rotação Duplas'!C55,IF('🔄 Rotação Duplas'!H55="-",0,'🔄 Rotação Duplas'!H55),IF('⚙️ Configuração'!C43='🔄 Rotação Duplas'!D55,IF('🔄 Rotação Duplas'!I55="-",0,'🔄 Rotação Duplas'!I55),0))+IF('⚙️ Configuração'!C43='🔄 Rotação Duplas'!C56,IF('🔄 Rotação Duplas'!H56="-",0,'🔄 Rotação Duplas'!H56),IF('⚙️ Configuração'!C43='🔄 Rotação Duplas'!D56,IF('🔄 Rotação Duplas'!I56="-",0,'🔄 Rotação Duplas'!I56),0))+IF('⚙️ Configuração'!C43='🔄 Rotação Duplas'!C57,IF('🔄 Rotação Duplas'!H57="-",0,'🔄 Rotação Duplas'!H57),IF('⚙️ Configuração'!C43='🔄 Rotação Duplas'!D57,IF('🔄 Rotação Duplas'!I57="-",0,'🔄 Rotação Duplas'!I57),0))+IF('⚙️ Configuração'!C43='🔄 Rotação Duplas'!C58,IF('🔄 Rotação Duplas'!H58="-",0,'🔄 Rotação Duplas'!H58),IF('⚙️ Configuração'!C43='🔄 Rotação Duplas'!D58,IF('🔄 Rotação Duplas'!I58="-",0,'🔄 Rotação Duplas'!I58),0))+IF('⚙️ Configuração'!C43='🔄 Rotação Duplas'!C59,IF('🔄 Rotação Duplas'!H59="-",0,'🔄 Rotação Duplas'!H59),IF('⚙️ Configuração'!C43='🔄 Rotação Duplas'!D59,IF('🔄 Rotação Duplas'!I59="-",0,'🔄 Rotação Duplas'!I59),0))</f>
        <v>0</v>
      </c>
      <c r="G19" s="63">
        <f>IF('⚙️ Configuração'!C43='🔄 Rotação Duplas'!C64,IF('🔄 Rotação Duplas'!H64="-",0,'🔄 Rotação Duplas'!H64),IF('⚙️ Configuração'!C43='🔄 Rotação Duplas'!D64,IF('🔄 Rotação Duplas'!I64="-",0,'🔄 Rotação Duplas'!I64),0))+IF('⚙️ Configuração'!C43='🔄 Rotação Duplas'!C65,IF('🔄 Rotação Duplas'!H65="-",0,'🔄 Rotação Duplas'!H65),IF('⚙️ Configuração'!C43='🔄 Rotação Duplas'!D65,IF('🔄 Rotação Duplas'!I65="-",0,'🔄 Rotação Duplas'!I65),0))+IF('⚙️ Configuração'!C43='🔄 Rotação Duplas'!C66,IF('🔄 Rotação Duplas'!H66="-",0,'🔄 Rotação Duplas'!H66),IF('⚙️ Configuração'!C43='🔄 Rotação Duplas'!D66,IF('🔄 Rotação Duplas'!I66="-",0,'🔄 Rotação Duplas'!I66),0))+IF('⚙️ Configuração'!C43='🔄 Rotação Duplas'!C67,IF('🔄 Rotação Duplas'!H67="-",0,'🔄 Rotação Duplas'!H67),IF('⚙️ Configuração'!C43='🔄 Rotação Duplas'!D67,IF('🔄 Rotação Duplas'!I67="-",0,'🔄 Rotação Duplas'!I67),0))+IF('⚙️ Configuração'!C43='🔄 Rotação Duplas'!C68,IF('🔄 Rotação Duplas'!H68="-",0,'🔄 Rotação Duplas'!H68),IF('⚙️ Configuração'!C43='🔄 Rotação Duplas'!D68,IF('🔄 Rotação Duplas'!I68="-",0,'🔄 Rotação Duplas'!I68),0))+IF('⚙️ Configuração'!C43='🔄 Rotação Duplas'!C69,IF('🔄 Rotação Duplas'!H69="-",0,'🔄 Rotação Duplas'!H69),IF('⚙️ Configuração'!C43='🔄 Rotação Duplas'!D69,IF('🔄 Rotação Duplas'!I69="-",0,'🔄 Rotação Duplas'!I69),0))+IF('⚙️ Configuração'!C43='🔄 Rotação Duplas'!C70,IF('🔄 Rotação Duplas'!H70="-",0,'🔄 Rotação Duplas'!H70),IF('⚙️ Configuração'!C43='🔄 Rotação Duplas'!D70,IF('🔄 Rotação Duplas'!I70="-",0,'🔄 Rotação Duplas'!I70),0))+IF('⚙️ Configuração'!C43='🔄 Rotação Duplas'!C71,IF('🔄 Rotação Duplas'!H71="-",0,'🔄 Rotação Duplas'!H71),IF('⚙️ Configuração'!C43='🔄 Rotação Duplas'!D71,IF('🔄 Rotação Duplas'!I71="-",0,'🔄 Rotação Duplas'!I71),0))+IF('⚙️ Configuração'!C43='🔄 Rotação Duplas'!C72,IF('🔄 Rotação Duplas'!H72="-",0,'🔄 Rotação Duplas'!H72),IF('⚙️ Configuração'!C43='🔄 Rotação Duplas'!D72,IF('🔄 Rotação Duplas'!I72="-",0,'🔄 Rotação Duplas'!I72),0))+IF('⚙️ Configuração'!C43='🔄 Rotação Duplas'!C73,IF('🔄 Rotação Duplas'!H73="-",0,'🔄 Rotação Duplas'!H73),IF('⚙️ Configuração'!C43='🔄 Rotação Duplas'!D73,IF('🔄 Rotação Duplas'!I73="-",0,'🔄 Rotação Duplas'!I73),0))</f>
        <v>0</v>
      </c>
      <c r="H19" s="63">
        <f>IF('⚙️ Configuração'!C43='🔄 Rotação Duplas'!C78,IF('🔄 Rotação Duplas'!H78="-",0,'🔄 Rotação Duplas'!H78),IF('⚙️ Configuração'!C43='🔄 Rotação Duplas'!D78,IF('🔄 Rotação Duplas'!I78="-",0,'🔄 Rotação Duplas'!I78),0))+IF('⚙️ Configuração'!C43='🔄 Rotação Duplas'!C79,IF('🔄 Rotação Duplas'!H79="-",0,'🔄 Rotação Duplas'!H79),IF('⚙️ Configuração'!C43='🔄 Rotação Duplas'!D79,IF('🔄 Rotação Duplas'!I79="-",0,'🔄 Rotação Duplas'!I79),0))+IF('⚙️ Configuração'!C43='🔄 Rotação Duplas'!C80,IF('🔄 Rotação Duplas'!H80="-",0,'🔄 Rotação Duplas'!H80),IF('⚙️ Configuração'!C43='🔄 Rotação Duplas'!D80,IF('🔄 Rotação Duplas'!I80="-",0,'🔄 Rotação Duplas'!I80),0))+IF('⚙️ Configuração'!C43='🔄 Rotação Duplas'!C81,IF('🔄 Rotação Duplas'!H81="-",0,'🔄 Rotação Duplas'!H81),IF('⚙️ Configuração'!C43='🔄 Rotação Duplas'!D81,IF('🔄 Rotação Duplas'!I81="-",0,'🔄 Rotação Duplas'!I81),0))+IF('⚙️ Configuração'!C43='🔄 Rotação Duplas'!C82,IF('🔄 Rotação Duplas'!H82="-",0,'🔄 Rotação Duplas'!H82),IF('⚙️ Configuração'!C43='🔄 Rotação Duplas'!D82,IF('🔄 Rotação Duplas'!I82="-",0,'🔄 Rotação Duplas'!I82),0))+IF('⚙️ Configuração'!C43='🔄 Rotação Duplas'!C83,IF('🔄 Rotação Duplas'!H83="-",0,'🔄 Rotação Duplas'!H83),IF('⚙️ Configuração'!C43='🔄 Rotação Duplas'!D83,IF('🔄 Rotação Duplas'!I83="-",0,'🔄 Rotação Duplas'!I83),0))+IF('⚙️ Configuração'!C43='🔄 Rotação Duplas'!C84,IF('🔄 Rotação Duplas'!H84="-",0,'🔄 Rotação Duplas'!H84),IF('⚙️ Configuração'!C43='🔄 Rotação Duplas'!D84,IF('🔄 Rotação Duplas'!I84="-",0,'🔄 Rotação Duplas'!I84),0))+IF('⚙️ Configuração'!C43='🔄 Rotação Duplas'!C85,IF('🔄 Rotação Duplas'!H85="-",0,'🔄 Rotação Duplas'!H85),IF('⚙️ Configuração'!C43='🔄 Rotação Duplas'!D85,IF('🔄 Rotação Duplas'!I85="-",0,'🔄 Rotação Duplas'!I85),0))+IF('⚙️ Configuração'!C43='🔄 Rotação Duplas'!C86,IF('🔄 Rotação Duplas'!H86="-",0,'🔄 Rotação Duplas'!H86),IF('⚙️ Configuração'!C43='🔄 Rotação Duplas'!D86,IF('🔄 Rotação Duplas'!I86="-",0,'🔄 Rotação Duplas'!I86),0))+IF('⚙️ Configuração'!C43='🔄 Rotação Duplas'!C87,IF('🔄 Rotação Duplas'!H87="-",0,'🔄 Rotação Duplas'!H87),IF('⚙️ Configuração'!C43='🔄 Rotação Duplas'!D87,IF('🔄 Rotação Duplas'!I87="-",0,'🔄 Rotação Duplas'!I87),0))</f>
        <v>0</v>
      </c>
      <c r="I19" s="63">
        <f>IF('⚙️ Configuração'!C43='🔄 Rotação Duplas'!C92,IF('🔄 Rotação Duplas'!H92="-",0,'🔄 Rotação Duplas'!H92),IF('⚙️ Configuração'!C43='🔄 Rotação Duplas'!D92,IF('🔄 Rotação Duplas'!I92="-",0,'🔄 Rotação Duplas'!I92),0))+IF('⚙️ Configuração'!C43='🔄 Rotação Duplas'!C93,IF('🔄 Rotação Duplas'!H93="-",0,'🔄 Rotação Duplas'!H93),IF('⚙️ Configuração'!C43='🔄 Rotação Duplas'!D93,IF('🔄 Rotação Duplas'!I93="-",0,'🔄 Rotação Duplas'!I93),0))+IF('⚙️ Configuração'!C43='🔄 Rotação Duplas'!C94,IF('🔄 Rotação Duplas'!H94="-",0,'🔄 Rotação Duplas'!H94),IF('⚙️ Configuração'!C43='🔄 Rotação Duplas'!D94,IF('🔄 Rotação Duplas'!I94="-",0,'🔄 Rotação Duplas'!I94),0))+IF('⚙️ Configuração'!C43='🔄 Rotação Duplas'!C95,IF('🔄 Rotação Duplas'!H95="-",0,'🔄 Rotação Duplas'!H95),IF('⚙️ Configuração'!C43='🔄 Rotação Duplas'!D95,IF('🔄 Rotação Duplas'!I95="-",0,'🔄 Rotação Duplas'!I95),0))+IF('⚙️ Configuração'!C43='🔄 Rotação Duplas'!C96,IF('🔄 Rotação Duplas'!H96="-",0,'🔄 Rotação Duplas'!H96),IF('⚙️ Configuração'!C43='🔄 Rotação Duplas'!D96,IF('🔄 Rotação Duplas'!I96="-",0,'🔄 Rotação Duplas'!I96),0))+IF('⚙️ Configuração'!C43='🔄 Rotação Duplas'!C97,IF('🔄 Rotação Duplas'!H97="-",0,'🔄 Rotação Duplas'!H97),IF('⚙️ Configuração'!C43='🔄 Rotação Duplas'!D97,IF('🔄 Rotação Duplas'!I97="-",0,'🔄 Rotação Duplas'!I97),0))+IF('⚙️ Configuração'!C43='🔄 Rotação Duplas'!C98,IF('🔄 Rotação Duplas'!H98="-",0,'🔄 Rotação Duplas'!H98),IF('⚙️ Configuração'!C43='🔄 Rotação Duplas'!D98,IF('🔄 Rotação Duplas'!I98="-",0,'🔄 Rotação Duplas'!I98),0))+IF('⚙️ Configuração'!C43='🔄 Rotação Duplas'!C99,IF('🔄 Rotação Duplas'!H99="-",0,'🔄 Rotação Duplas'!H99),IF('⚙️ Configuração'!C43='🔄 Rotação Duplas'!D99,IF('🔄 Rotação Duplas'!I99="-",0,'🔄 Rotação Duplas'!I99),0))+IF('⚙️ Configuração'!C43='🔄 Rotação Duplas'!C100,IF('🔄 Rotação Duplas'!H100="-",0,'🔄 Rotação Duplas'!H100),IF('⚙️ Configuração'!C43='🔄 Rotação Duplas'!D100,IF('🔄 Rotação Duplas'!I100="-",0,'🔄 Rotação Duplas'!I100),0))+IF('⚙️ Configuração'!C43='🔄 Rotação Duplas'!C101,IF('🔄 Rotação Duplas'!H101="-",0,'🔄 Rotação Duplas'!H101),IF('⚙️ Configuração'!C43='🔄 Rotação Duplas'!D101,IF('🔄 Rotação Duplas'!I101="-",0,'🔄 Rotação Duplas'!I101),0))</f>
        <v>0</v>
      </c>
      <c r="J19" s="63">
        <f>IF('⚙️ Configuração'!C43='🔄 Rotação Duplas'!C106,IF('🔄 Rotação Duplas'!H106="-",0,'🔄 Rotação Duplas'!H106),IF('⚙️ Configuração'!C43='🔄 Rotação Duplas'!D106,IF('🔄 Rotação Duplas'!I106="-",0,'🔄 Rotação Duplas'!I106),0))+IF('⚙️ Configuração'!C43='🔄 Rotação Duplas'!C107,IF('🔄 Rotação Duplas'!H107="-",0,'🔄 Rotação Duplas'!H107),IF('⚙️ Configuração'!C43='🔄 Rotação Duplas'!D107,IF('🔄 Rotação Duplas'!I107="-",0,'🔄 Rotação Duplas'!I107),0))+IF('⚙️ Configuração'!C43='🔄 Rotação Duplas'!C108,IF('🔄 Rotação Duplas'!H108="-",0,'🔄 Rotação Duplas'!H108),IF('⚙️ Configuração'!C43='🔄 Rotação Duplas'!D108,IF('🔄 Rotação Duplas'!I108="-",0,'🔄 Rotação Duplas'!I108),0))+IF('⚙️ Configuração'!C43='🔄 Rotação Duplas'!C109,IF('🔄 Rotação Duplas'!H109="-",0,'🔄 Rotação Duplas'!H109),IF('⚙️ Configuração'!C43='🔄 Rotação Duplas'!D109,IF('🔄 Rotação Duplas'!I109="-",0,'🔄 Rotação Duplas'!I109),0))+IF('⚙️ Configuração'!C43='🔄 Rotação Duplas'!C110,IF('🔄 Rotação Duplas'!H110="-",0,'🔄 Rotação Duplas'!H110),IF('⚙️ Configuração'!C43='🔄 Rotação Duplas'!D110,IF('🔄 Rotação Duplas'!I110="-",0,'🔄 Rotação Duplas'!I110),0))+IF('⚙️ Configuração'!C43='🔄 Rotação Duplas'!C111,IF('🔄 Rotação Duplas'!H111="-",0,'🔄 Rotação Duplas'!H111),IF('⚙️ Configuração'!C43='🔄 Rotação Duplas'!D111,IF('🔄 Rotação Duplas'!I111="-",0,'🔄 Rotação Duplas'!I111),0))+IF('⚙️ Configuração'!C43='🔄 Rotação Duplas'!C112,IF('🔄 Rotação Duplas'!H112="-",0,'🔄 Rotação Duplas'!H112),IF('⚙️ Configuração'!C43='🔄 Rotação Duplas'!D112,IF('🔄 Rotação Duplas'!I112="-",0,'🔄 Rotação Duplas'!I112),0))+IF('⚙️ Configuração'!C43='🔄 Rotação Duplas'!C113,IF('🔄 Rotação Duplas'!H113="-",0,'🔄 Rotação Duplas'!H113),IF('⚙️ Configuração'!C43='🔄 Rotação Duplas'!D113,IF('🔄 Rotação Duplas'!I113="-",0,'🔄 Rotação Duplas'!I113),0))+IF('⚙️ Configuração'!C43='🔄 Rotação Duplas'!C114,IF('🔄 Rotação Duplas'!H114="-",0,'🔄 Rotação Duplas'!H114),IF('⚙️ Configuração'!C43='🔄 Rotação Duplas'!D114,IF('🔄 Rotação Duplas'!I114="-",0,'🔄 Rotação Duplas'!I114),0))+IF('⚙️ Configuração'!C43='🔄 Rotação Duplas'!C115,IF('🔄 Rotação Duplas'!H115="-",0,'🔄 Rotação Duplas'!H115),IF('⚙️ Configuração'!C43='🔄 Rotação Duplas'!D115,IF('🔄 Rotação Duplas'!I115="-",0,'🔄 Rotação Duplas'!I115),0))</f>
        <v>0</v>
      </c>
      <c r="K19" s="64">
        <f t="shared" si="0"/>
        <v>22</v>
      </c>
      <c r="L19" s="65">
        <f>SUMIF('📋 Registo Diário'!$D$7:$D$646,'⚙️ Configuração'!C43,'📋 Registo Diário'!$Q$7:$Q$646)</f>
        <v>20</v>
      </c>
      <c r="M19" s="66">
        <f t="shared" si="1"/>
        <v>42</v>
      </c>
      <c r="N19" s="59"/>
      <c r="O19" s="67"/>
      <c r="P19" s="68"/>
    </row>
    <row r="20" spans="1:16" ht="21.75" customHeight="1" x14ac:dyDescent="0.2">
      <c r="A20" s="59"/>
      <c r="B20" s="13" t="str">
        <f>'⚙️ Configuração'!C44</f>
        <v>Paula Miabara</v>
      </c>
      <c r="C20" s="63">
        <f>IF('⚙️ Configuração'!C44='🔄 Rotação Duplas'!C8,IF('🔄 Rotação Duplas'!H8="-",0,'🔄 Rotação Duplas'!H8),IF('⚙️ Configuração'!C44='🔄 Rotação Duplas'!D8,IF('🔄 Rotação Duplas'!I8="-",0,'🔄 Rotação Duplas'!I8),0))+IF('⚙️ Configuração'!C44='🔄 Rotação Duplas'!C9,IF('🔄 Rotação Duplas'!H9="-",0,'🔄 Rotação Duplas'!H9),IF('⚙️ Configuração'!C44='🔄 Rotação Duplas'!D9,IF('🔄 Rotação Duplas'!I9="-",0,'🔄 Rotação Duplas'!I9),0))+IF('⚙️ Configuração'!C44='🔄 Rotação Duplas'!C10,IF('🔄 Rotação Duplas'!H10="-",0,'🔄 Rotação Duplas'!H10),IF('⚙️ Configuração'!C44='🔄 Rotação Duplas'!D10,IF('🔄 Rotação Duplas'!I10="-",0,'🔄 Rotação Duplas'!I10),0))+IF('⚙️ Configuração'!C44='🔄 Rotação Duplas'!C11,IF('🔄 Rotação Duplas'!H11="-",0,'🔄 Rotação Duplas'!H11),IF('⚙️ Configuração'!C44='🔄 Rotação Duplas'!D11,IF('🔄 Rotação Duplas'!I11="-",0,'🔄 Rotação Duplas'!I11),0))+IF('⚙️ Configuração'!C44='🔄 Rotação Duplas'!C12,IF('🔄 Rotação Duplas'!H12="-",0,'🔄 Rotação Duplas'!H12),IF('⚙️ Configuração'!C44='🔄 Rotação Duplas'!D12,IF('🔄 Rotação Duplas'!I12="-",0,'🔄 Rotação Duplas'!I12),0))+IF('⚙️ Configuração'!C44='🔄 Rotação Duplas'!C13,IF('🔄 Rotação Duplas'!H13="-",0,'🔄 Rotação Duplas'!H13),IF('⚙️ Configuração'!C44='🔄 Rotação Duplas'!D13,IF('🔄 Rotação Duplas'!I13="-",0,'🔄 Rotação Duplas'!I13),0))+IF('⚙️ Configuração'!C44='🔄 Rotação Duplas'!C14,IF('🔄 Rotação Duplas'!H14="-",0,'🔄 Rotação Duplas'!H14),IF('⚙️ Configuração'!C44='🔄 Rotação Duplas'!D14,IF('🔄 Rotação Duplas'!I14="-",0,'🔄 Rotação Duplas'!I14),0))+IF('⚙️ Configuração'!C44='🔄 Rotação Duplas'!C15,IF('🔄 Rotação Duplas'!H15="-",0,'🔄 Rotação Duplas'!H15),IF('⚙️ Configuração'!C44='🔄 Rotação Duplas'!D15,IF('🔄 Rotação Duplas'!I15="-",0,'🔄 Rotação Duplas'!I15),0))+IF('⚙️ Configuração'!C44='🔄 Rotação Duplas'!C16,IF('🔄 Rotação Duplas'!H16="-",0,'🔄 Rotação Duplas'!H16),IF('⚙️ Configuração'!C44='🔄 Rotação Duplas'!D16,IF('🔄 Rotação Duplas'!I16="-",0,'🔄 Rotação Duplas'!I16),0))+IF('⚙️ Configuração'!C44='🔄 Rotação Duplas'!C17,IF('🔄 Rotação Duplas'!H17="-",0,'🔄 Rotação Duplas'!H17),IF('⚙️ Configuração'!C44='🔄 Rotação Duplas'!D17,IF('🔄 Rotação Duplas'!I17="-",0,'🔄 Rotação Duplas'!I17),0))</f>
        <v>41</v>
      </c>
      <c r="D20" s="63">
        <f>IF('⚙️ Configuração'!C44='🔄 Rotação Duplas'!C22,IF('🔄 Rotação Duplas'!H22="-",0,'🔄 Rotação Duplas'!H22),IF('⚙️ Configuração'!C44='🔄 Rotação Duplas'!D22,IF('🔄 Rotação Duplas'!I22="-",0,'🔄 Rotação Duplas'!I22),0))+IF('⚙️ Configuração'!C44='🔄 Rotação Duplas'!C23,IF('🔄 Rotação Duplas'!H23="-",0,'🔄 Rotação Duplas'!H23),IF('⚙️ Configuração'!C44='🔄 Rotação Duplas'!D23,IF('🔄 Rotação Duplas'!I23="-",0,'🔄 Rotação Duplas'!I23),0))+IF('⚙️ Configuração'!C44='🔄 Rotação Duplas'!C24,IF('🔄 Rotação Duplas'!H24="-",0,'🔄 Rotação Duplas'!H24),IF('⚙️ Configuração'!C44='🔄 Rotação Duplas'!D24,IF('🔄 Rotação Duplas'!I24="-",0,'🔄 Rotação Duplas'!I24),0))+IF('⚙️ Configuração'!C44='🔄 Rotação Duplas'!C25,IF('🔄 Rotação Duplas'!H25="-",0,'🔄 Rotação Duplas'!H25),IF('⚙️ Configuração'!C44='🔄 Rotação Duplas'!D25,IF('🔄 Rotação Duplas'!I25="-",0,'🔄 Rotação Duplas'!I25),0))+IF('⚙️ Configuração'!C44='🔄 Rotação Duplas'!C26,IF('🔄 Rotação Duplas'!H26="-",0,'🔄 Rotação Duplas'!H26),IF('⚙️ Configuração'!C44='🔄 Rotação Duplas'!D26,IF('🔄 Rotação Duplas'!I26="-",0,'🔄 Rotação Duplas'!I26),0))+IF('⚙️ Configuração'!C44='🔄 Rotação Duplas'!C27,IF('🔄 Rotação Duplas'!H27="-",0,'🔄 Rotação Duplas'!H27),IF('⚙️ Configuração'!C44='🔄 Rotação Duplas'!D27,IF('🔄 Rotação Duplas'!I27="-",0,'🔄 Rotação Duplas'!I27),0))+IF('⚙️ Configuração'!C44='🔄 Rotação Duplas'!C28,IF('🔄 Rotação Duplas'!H28="-",0,'🔄 Rotação Duplas'!H28),IF('⚙️ Configuração'!C44='🔄 Rotação Duplas'!D28,IF('🔄 Rotação Duplas'!I28="-",0,'🔄 Rotação Duplas'!I28),0))+IF('⚙️ Configuração'!C44='🔄 Rotação Duplas'!C29,IF('🔄 Rotação Duplas'!H29="-",0,'🔄 Rotação Duplas'!H29),IF('⚙️ Configuração'!C44='🔄 Rotação Duplas'!D29,IF('🔄 Rotação Duplas'!I29="-",0,'🔄 Rotação Duplas'!I29),0))+IF('⚙️ Configuração'!C44='🔄 Rotação Duplas'!C30,IF('🔄 Rotação Duplas'!H30="-",0,'🔄 Rotação Duplas'!H30),IF('⚙️ Configuração'!C44='🔄 Rotação Duplas'!D30,IF('🔄 Rotação Duplas'!I30="-",0,'🔄 Rotação Duplas'!I30),0))+IF('⚙️ Configuração'!C44='🔄 Rotação Duplas'!C31,IF('🔄 Rotação Duplas'!H31="-",0,'🔄 Rotação Duplas'!H31),IF('⚙️ Configuração'!C44='🔄 Rotação Duplas'!D31,IF('🔄 Rotação Duplas'!I31="-",0,'🔄 Rotação Duplas'!I31),0))</f>
        <v>0</v>
      </c>
      <c r="E20" s="63">
        <f>IF('⚙️ Configuração'!C44='🔄 Rotação Duplas'!C36,IF('🔄 Rotação Duplas'!H36="-",0,'🔄 Rotação Duplas'!H36),IF('⚙️ Configuração'!C44='🔄 Rotação Duplas'!D36,IF('🔄 Rotação Duplas'!I36="-",0,'🔄 Rotação Duplas'!I36),0))+IF('⚙️ Configuração'!C44='🔄 Rotação Duplas'!C37,IF('🔄 Rotação Duplas'!H37="-",0,'🔄 Rotação Duplas'!H37),IF('⚙️ Configuração'!C44='🔄 Rotação Duplas'!D37,IF('🔄 Rotação Duplas'!I37="-",0,'🔄 Rotação Duplas'!I37),0))+IF('⚙️ Configuração'!C44='🔄 Rotação Duplas'!C38,IF('🔄 Rotação Duplas'!H38="-",0,'🔄 Rotação Duplas'!H38),IF('⚙️ Configuração'!C44='🔄 Rotação Duplas'!D38,IF('🔄 Rotação Duplas'!I38="-",0,'🔄 Rotação Duplas'!I38),0))+IF('⚙️ Configuração'!C44='🔄 Rotação Duplas'!C39,IF('🔄 Rotação Duplas'!H39="-",0,'🔄 Rotação Duplas'!H39),IF('⚙️ Configuração'!C44='🔄 Rotação Duplas'!D39,IF('🔄 Rotação Duplas'!I39="-",0,'🔄 Rotação Duplas'!I39),0))+IF('⚙️ Configuração'!C44='🔄 Rotação Duplas'!C40,IF('🔄 Rotação Duplas'!H40="-",0,'🔄 Rotação Duplas'!H40),IF('⚙️ Configuração'!C44='🔄 Rotação Duplas'!D40,IF('🔄 Rotação Duplas'!I40="-",0,'🔄 Rotação Duplas'!I40),0))+IF('⚙️ Configuração'!C44='🔄 Rotação Duplas'!C41,IF('🔄 Rotação Duplas'!H41="-",0,'🔄 Rotação Duplas'!H41),IF('⚙️ Configuração'!C44='🔄 Rotação Duplas'!D41,IF('🔄 Rotação Duplas'!I41="-",0,'🔄 Rotação Duplas'!I41),0))+IF('⚙️ Configuração'!C44='🔄 Rotação Duplas'!C42,IF('🔄 Rotação Duplas'!H42="-",0,'🔄 Rotação Duplas'!H42),IF('⚙️ Configuração'!C44='🔄 Rotação Duplas'!D42,IF('🔄 Rotação Duplas'!I42="-",0,'🔄 Rotação Duplas'!I42),0))+IF('⚙️ Configuração'!C44='🔄 Rotação Duplas'!C43,IF('🔄 Rotação Duplas'!H43="-",0,'🔄 Rotação Duplas'!H43),IF('⚙️ Configuração'!C44='🔄 Rotação Duplas'!D43,IF('🔄 Rotação Duplas'!I43="-",0,'🔄 Rotação Duplas'!I43),0))+IF('⚙️ Configuração'!C44='🔄 Rotação Duplas'!C44,IF('🔄 Rotação Duplas'!H44="-",0,'🔄 Rotação Duplas'!H44),IF('⚙️ Configuração'!C44='🔄 Rotação Duplas'!D44,IF('🔄 Rotação Duplas'!I44="-",0,'🔄 Rotação Duplas'!I44),0))+IF('⚙️ Configuração'!C44='🔄 Rotação Duplas'!C45,IF('🔄 Rotação Duplas'!H45="-",0,'🔄 Rotação Duplas'!H45),IF('⚙️ Configuração'!C44='🔄 Rotação Duplas'!D45,IF('🔄 Rotação Duplas'!I45="-",0,'🔄 Rotação Duplas'!I45),0))</f>
        <v>0</v>
      </c>
      <c r="F20" s="63">
        <f>IF('⚙️ Configuração'!C44='🔄 Rotação Duplas'!C50,IF('🔄 Rotação Duplas'!H50="-",0,'🔄 Rotação Duplas'!H50),IF('⚙️ Configuração'!C44='🔄 Rotação Duplas'!D50,IF('🔄 Rotação Duplas'!I50="-",0,'🔄 Rotação Duplas'!I50),0))+IF('⚙️ Configuração'!C44='🔄 Rotação Duplas'!C51,IF('🔄 Rotação Duplas'!H51="-",0,'🔄 Rotação Duplas'!H51),IF('⚙️ Configuração'!C44='🔄 Rotação Duplas'!D51,IF('🔄 Rotação Duplas'!I51="-",0,'🔄 Rotação Duplas'!I51),0))+IF('⚙️ Configuração'!C44='🔄 Rotação Duplas'!C52,IF('🔄 Rotação Duplas'!H52="-",0,'🔄 Rotação Duplas'!H52),IF('⚙️ Configuração'!C44='🔄 Rotação Duplas'!D52,IF('🔄 Rotação Duplas'!I52="-",0,'🔄 Rotação Duplas'!I52),0))+IF('⚙️ Configuração'!C44='🔄 Rotação Duplas'!C53,IF('🔄 Rotação Duplas'!H53="-",0,'🔄 Rotação Duplas'!H53),IF('⚙️ Configuração'!C44='🔄 Rotação Duplas'!D53,IF('🔄 Rotação Duplas'!I53="-",0,'🔄 Rotação Duplas'!I53),0))+IF('⚙️ Configuração'!C44='🔄 Rotação Duplas'!C54,IF('🔄 Rotação Duplas'!H54="-",0,'🔄 Rotação Duplas'!H54),IF('⚙️ Configuração'!C44='🔄 Rotação Duplas'!D54,IF('🔄 Rotação Duplas'!I54="-",0,'🔄 Rotação Duplas'!I54),0))+IF('⚙️ Configuração'!C44='🔄 Rotação Duplas'!C55,IF('🔄 Rotação Duplas'!H55="-",0,'🔄 Rotação Duplas'!H55),IF('⚙️ Configuração'!C44='🔄 Rotação Duplas'!D55,IF('🔄 Rotação Duplas'!I55="-",0,'🔄 Rotação Duplas'!I55),0))+IF('⚙️ Configuração'!C44='🔄 Rotação Duplas'!C56,IF('🔄 Rotação Duplas'!H56="-",0,'🔄 Rotação Duplas'!H56),IF('⚙️ Configuração'!C44='🔄 Rotação Duplas'!D56,IF('🔄 Rotação Duplas'!I56="-",0,'🔄 Rotação Duplas'!I56),0))+IF('⚙️ Configuração'!C44='🔄 Rotação Duplas'!C57,IF('🔄 Rotação Duplas'!H57="-",0,'🔄 Rotação Duplas'!H57),IF('⚙️ Configuração'!C44='🔄 Rotação Duplas'!D57,IF('🔄 Rotação Duplas'!I57="-",0,'🔄 Rotação Duplas'!I57),0))+IF('⚙️ Configuração'!C44='🔄 Rotação Duplas'!C58,IF('🔄 Rotação Duplas'!H58="-",0,'🔄 Rotação Duplas'!H58),IF('⚙️ Configuração'!C44='🔄 Rotação Duplas'!D58,IF('🔄 Rotação Duplas'!I58="-",0,'🔄 Rotação Duplas'!I58),0))+IF('⚙️ Configuração'!C44='🔄 Rotação Duplas'!C59,IF('🔄 Rotação Duplas'!H59="-",0,'🔄 Rotação Duplas'!H59),IF('⚙️ Configuração'!C44='🔄 Rotação Duplas'!D59,IF('🔄 Rotação Duplas'!I59="-",0,'🔄 Rotação Duplas'!I59),0))</f>
        <v>0</v>
      </c>
      <c r="G20" s="63">
        <f>IF('⚙️ Configuração'!C44='🔄 Rotação Duplas'!C64,IF('🔄 Rotação Duplas'!H64="-",0,'🔄 Rotação Duplas'!H64),IF('⚙️ Configuração'!C44='🔄 Rotação Duplas'!D64,IF('🔄 Rotação Duplas'!I64="-",0,'🔄 Rotação Duplas'!I64),0))+IF('⚙️ Configuração'!C44='🔄 Rotação Duplas'!C65,IF('🔄 Rotação Duplas'!H65="-",0,'🔄 Rotação Duplas'!H65),IF('⚙️ Configuração'!C44='🔄 Rotação Duplas'!D65,IF('🔄 Rotação Duplas'!I65="-",0,'🔄 Rotação Duplas'!I65),0))+IF('⚙️ Configuração'!C44='🔄 Rotação Duplas'!C66,IF('🔄 Rotação Duplas'!H66="-",0,'🔄 Rotação Duplas'!H66),IF('⚙️ Configuração'!C44='🔄 Rotação Duplas'!D66,IF('🔄 Rotação Duplas'!I66="-",0,'🔄 Rotação Duplas'!I66),0))+IF('⚙️ Configuração'!C44='🔄 Rotação Duplas'!C67,IF('🔄 Rotação Duplas'!H67="-",0,'🔄 Rotação Duplas'!H67),IF('⚙️ Configuração'!C44='🔄 Rotação Duplas'!D67,IF('🔄 Rotação Duplas'!I67="-",0,'🔄 Rotação Duplas'!I67),0))+IF('⚙️ Configuração'!C44='🔄 Rotação Duplas'!C68,IF('🔄 Rotação Duplas'!H68="-",0,'🔄 Rotação Duplas'!H68),IF('⚙️ Configuração'!C44='🔄 Rotação Duplas'!D68,IF('🔄 Rotação Duplas'!I68="-",0,'🔄 Rotação Duplas'!I68),0))+IF('⚙️ Configuração'!C44='🔄 Rotação Duplas'!C69,IF('🔄 Rotação Duplas'!H69="-",0,'🔄 Rotação Duplas'!H69),IF('⚙️ Configuração'!C44='🔄 Rotação Duplas'!D69,IF('🔄 Rotação Duplas'!I69="-",0,'🔄 Rotação Duplas'!I69),0))+IF('⚙️ Configuração'!C44='🔄 Rotação Duplas'!C70,IF('🔄 Rotação Duplas'!H70="-",0,'🔄 Rotação Duplas'!H70),IF('⚙️ Configuração'!C44='🔄 Rotação Duplas'!D70,IF('🔄 Rotação Duplas'!I70="-",0,'🔄 Rotação Duplas'!I70),0))+IF('⚙️ Configuração'!C44='🔄 Rotação Duplas'!C71,IF('🔄 Rotação Duplas'!H71="-",0,'🔄 Rotação Duplas'!H71),IF('⚙️ Configuração'!C44='🔄 Rotação Duplas'!D71,IF('🔄 Rotação Duplas'!I71="-",0,'🔄 Rotação Duplas'!I71),0))+IF('⚙️ Configuração'!C44='🔄 Rotação Duplas'!C72,IF('🔄 Rotação Duplas'!H72="-",0,'🔄 Rotação Duplas'!H72),IF('⚙️ Configuração'!C44='🔄 Rotação Duplas'!D72,IF('🔄 Rotação Duplas'!I72="-",0,'🔄 Rotação Duplas'!I72),0))+IF('⚙️ Configuração'!C44='🔄 Rotação Duplas'!C73,IF('🔄 Rotação Duplas'!H73="-",0,'🔄 Rotação Duplas'!H73),IF('⚙️ Configuração'!C44='🔄 Rotação Duplas'!D73,IF('🔄 Rotação Duplas'!I73="-",0,'🔄 Rotação Duplas'!I73),0))</f>
        <v>0</v>
      </c>
      <c r="H20" s="63">
        <f>IF('⚙️ Configuração'!C44='🔄 Rotação Duplas'!C78,IF('🔄 Rotação Duplas'!H78="-",0,'🔄 Rotação Duplas'!H78),IF('⚙️ Configuração'!C44='🔄 Rotação Duplas'!D78,IF('🔄 Rotação Duplas'!I78="-",0,'🔄 Rotação Duplas'!I78),0))+IF('⚙️ Configuração'!C44='🔄 Rotação Duplas'!C79,IF('🔄 Rotação Duplas'!H79="-",0,'🔄 Rotação Duplas'!H79),IF('⚙️ Configuração'!C44='🔄 Rotação Duplas'!D79,IF('🔄 Rotação Duplas'!I79="-",0,'🔄 Rotação Duplas'!I79),0))+IF('⚙️ Configuração'!C44='🔄 Rotação Duplas'!C80,IF('🔄 Rotação Duplas'!H80="-",0,'🔄 Rotação Duplas'!H80),IF('⚙️ Configuração'!C44='🔄 Rotação Duplas'!D80,IF('🔄 Rotação Duplas'!I80="-",0,'🔄 Rotação Duplas'!I80),0))+IF('⚙️ Configuração'!C44='🔄 Rotação Duplas'!C81,IF('🔄 Rotação Duplas'!H81="-",0,'🔄 Rotação Duplas'!H81),IF('⚙️ Configuração'!C44='🔄 Rotação Duplas'!D81,IF('🔄 Rotação Duplas'!I81="-",0,'🔄 Rotação Duplas'!I81),0))+IF('⚙️ Configuração'!C44='🔄 Rotação Duplas'!C82,IF('🔄 Rotação Duplas'!H82="-",0,'🔄 Rotação Duplas'!H82),IF('⚙️ Configuração'!C44='🔄 Rotação Duplas'!D82,IF('🔄 Rotação Duplas'!I82="-",0,'🔄 Rotação Duplas'!I82),0))+IF('⚙️ Configuração'!C44='🔄 Rotação Duplas'!C83,IF('🔄 Rotação Duplas'!H83="-",0,'🔄 Rotação Duplas'!H83),IF('⚙️ Configuração'!C44='🔄 Rotação Duplas'!D83,IF('🔄 Rotação Duplas'!I83="-",0,'🔄 Rotação Duplas'!I83),0))+IF('⚙️ Configuração'!C44='🔄 Rotação Duplas'!C84,IF('🔄 Rotação Duplas'!H84="-",0,'🔄 Rotação Duplas'!H84),IF('⚙️ Configuração'!C44='🔄 Rotação Duplas'!D84,IF('🔄 Rotação Duplas'!I84="-",0,'🔄 Rotação Duplas'!I84),0))+IF('⚙️ Configuração'!C44='🔄 Rotação Duplas'!C85,IF('🔄 Rotação Duplas'!H85="-",0,'🔄 Rotação Duplas'!H85),IF('⚙️ Configuração'!C44='🔄 Rotação Duplas'!D85,IF('🔄 Rotação Duplas'!I85="-",0,'🔄 Rotação Duplas'!I85),0))+IF('⚙️ Configuração'!C44='🔄 Rotação Duplas'!C86,IF('🔄 Rotação Duplas'!H86="-",0,'🔄 Rotação Duplas'!H86),IF('⚙️ Configuração'!C44='🔄 Rotação Duplas'!D86,IF('🔄 Rotação Duplas'!I86="-",0,'🔄 Rotação Duplas'!I86),0))+IF('⚙️ Configuração'!C44='🔄 Rotação Duplas'!C87,IF('🔄 Rotação Duplas'!H87="-",0,'🔄 Rotação Duplas'!H87),IF('⚙️ Configuração'!C44='🔄 Rotação Duplas'!D87,IF('🔄 Rotação Duplas'!I87="-",0,'🔄 Rotação Duplas'!I87),0))</f>
        <v>0</v>
      </c>
      <c r="I20" s="63">
        <f>IF('⚙️ Configuração'!C44='🔄 Rotação Duplas'!C92,IF('🔄 Rotação Duplas'!H92="-",0,'🔄 Rotação Duplas'!H92),IF('⚙️ Configuração'!C44='🔄 Rotação Duplas'!D92,IF('🔄 Rotação Duplas'!I92="-",0,'🔄 Rotação Duplas'!I92),0))+IF('⚙️ Configuração'!C44='🔄 Rotação Duplas'!C93,IF('🔄 Rotação Duplas'!H93="-",0,'🔄 Rotação Duplas'!H93),IF('⚙️ Configuração'!C44='🔄 Rotação Duplas'!D93,IF('🔄 Rotação Duplas'!I93="-",0,'🔄 Rotação Duplas'!I93),0))+IF('⚙️ Configuração'!C44='🔄 Rotação Duplas'!C94,IF('🔄 Rotação Duplas'!H94="-",0,'🔄 Rotação Duplas'!H94),IF('⚙️ Configuração'!C44='🔄 Rotação Duplas'!D94,IF('🔄 Rotação Duplas'!I94="-",0,'🔄 Rotação Duplas'!I94),0))+IF('⚙️ Configuração'!C44='🔄 Rotação Duplas'!C95,IF('🔄 Rotação Duplas'!H95="-",0,'🔄 Rotação Duplas'!H95),IF('⚙️ Configuração'!C44='🔄 Rotação Duplas'!D95,IF('🔄 Rotação Duplas'!I95="-",0,'🔄 Rotação Duplas'!I95),0))+IF('⚙️ Configuração'!C44='🔄 Rotação Duplas'!C96,IF('🔄 Rotação Duplas'!H96="-",0,'🔄 Rotação Duplas'!H96),IF('⚙️ Configuração'!C44='🔄 Rotação Duplas'!D96,IF('🔄 Rotação Duplas'!I96="-",0,'🔄 Rotação Duplas'!I96),0))+IF('⚙️ Configuração'!C44='🔄 Rotação Duplas'!C97,IF('🔄 Rotação Duplas'!H97="-",0,'🔄 Rotação Duplas'!H97),IF('⚙️ Configuração'!C44='🔄 Rotação Duplas'!D97,IF('🔄 Rotação Duplas'!I97="-",0,'🔄 Rotação Duplas'!I97),0))+IF('⚙️ Configuração'!C44='🔄 Rotação Duplas'!C98,IF('🔄 Rotação Duplas'!H98="-",0,'🔄 Rotação Duplas'!H98),IF('⚙️ Configuração'!C44='🔄 Rotação Duplas'!D98,IF('🔄 Rotação Duplas'!I98="-",0,'🔄 Rotação Duplas'!I98),0))+IF('⚙️ Configuração'!C44='🔄 Rotação Duplas'!C99,IF('🔄 Rotação Duplas'!H99="-",0,'🔄 Rotação Duplas'!H99),IF('⚙️ Configuração'!C44='🔄 Rotação Duplas'!D99,IF('🔄 Rotação Duplas'!I99="-",0,'🔄 Rotação Duplas'!I99),0))+IF('⚙️ Configuração'!C44='🔄 Rotação Duplas'!C100,IF('🔄 Rotação Duplas'!H100="-",0,'🔄 Rotação Duplas'!H100),IF('⚙️ Configuração'!C44='🔄 Rotação Duplas'!D100,IF('🔄 Rotação Duplas'!I100="-",0,'🔄 Rotação Duplas'!I100),0))+IF('⚙️ Configuração'!C44='🔄 Rotação Duplas'!C101,IF('🔄 Rotação Duplas'!H101="-",0,'🔄 Rotação Duplas'!H101),IF('⚙️ Configuração'!C44='🔄 Rotação Duplas'!D101,IF('🔄 Rotação Duplas'!I101="-",0,'🔄 Rotação Duplas'!I101),0))</f>
        <v>0</v>
      </c>
      <c r="J20" s="63">
        <f>IF('⚙️ Configuração'!C44='🔄 Rotação Duplas'!C106,IF('🔄 Rotação Duplas'!H106="-",0,'🔄 Rotação Duplas'!H106),IF('⚙️ Configuração'!C44='🔄 Rotação Duplas'!D106,IF('🔄 Rotação Duplas'!I106="-",0,'🔄 Rotação Duplas'!I106),0))+IF('⚙️ Configuração'!C44='🔄 Rotação Duplas'!C107,IF('🔄 Rotação Duplas'!H107="-",0,'🔄 Rotação Duplas'!H107),IF('⚙️ Configuração'!C44='🔄 Rotação Duplas'!D107,IF('🔄 Rotação Duplas'!I107="-",0,'🔄 Rotação Duplas'!I107),0))+IF('⚙️ Configuração'!C44='🔄 Rotação Duplas'!C108,IF('🔄 Rotação Duplas'!H108="-",0,'🔄 Rotação Duplas'!H108),IF('⚙️ Configuração'!C44='🔄 Rotação Duplas'!D108,IF('🔄 Rotação Duplas'!I108="-",0,'🔄 Rotação Duplas'!I108),0))+IF('⚙️ Configuração'!C44='🔄 Rotação Duplas'!C109,IF('🔄 Rotação Duplas'!H109="-",0,'🔄 Rotação Duplas'!H109),IF('⚙️ Configuração'!C44='🔄 Rotação Duplas'!D109,IF('🔄 Rotação Duplas'!I109="-",0,'🔄 Rotação Duplas'!I109),0))+IF('⚙️ Configuração'!C44='🔄 Rotação Duplas'!C110,IF('🔄 Rotação Duplas'!H110="-",0,'🔄 Rotação Duplas'!H110),IF('⚙️ Configuração'!C44='🔄 Rotação Duplas'!D110,IF('🔄 Rotação Duplas'!I110="-",0,'🔄 Rotação Duplas'!I110),0))+IF('⚙️ Configuração'!C44='🔄 Rotação Duplas'!C111,IF('🔄 Rotação Duplas'!H111="-",0,'🔄 Rotação Duplas'!H111),IF('⚙️ Configuração'!C44='🔄 Rotação Duplas'!D111,IF('🔄 Rotação Duplas'!I111="-",0,'🔄 Rotação Duplas'!I111),0))+IF('⚙️ Configuração'!C44='🔄 Rotação Duplas'!C112,IF('🔄 Rotação Duplas'!H112="-",0,'🔄 Rotação Duplas'!H112),IF('⚙️ Configuração'!C44='🔄 Rotação Duplas'!D112,IF('🔄 Rotação Duplas'!I112="-",0,'🔄 Rotação Duplas'!I112),0))+IF('⚙️ Configuração'!C44='🔄 Rotação Duplas'!C113,IF('🔄 Rotação Duplas'!H113="-",0,'🔄 Rotação Duplas'!H113),IF('⚙️ Configuração'!C44='🔄 Rotação Duplas'!D113,IF('🔄 Rotação Duplas'!I113="-",0,'🔄 Rotação Duplas'!I113),0))+IF('⚙️ Configuração'!C44='🔄 Rotação Duplas'!C114,IF('🔄 Rotação Duplas'!H114="-",0,'🔄 Rotação Duplas'!H114),IF('⚙️ Configuração'!C44='🔄 Rotação Duplas'!D114,IF('🔄 Rotação Duplas'!I114="-",0,'🔄 Rotação Duplas'!I114),0))+IF('⚙️ Configuração'!C44='🔄 Rotação Duplas'!C115,IF('🔄 Rotação Duplas'!H115="-",0,'🔄 Rotação Duplas'!H115),IF('⚙️ Configuração'!C44='🔄 Rotação Duplas'!D115,IF('🔄 Rotação Duplas'!I115="-",0,'🔄 Rotação Duplas'!I115),0))</f>
        <v>0</v>
      </c>
      <c r="K20" s="64">
        <f t="shared" si="0"/>
        <v>41</v>
      </c>
      <c r="L20" s="65">
        <f>SUMIF('📋 Registo Diário'!$D$7:$D$646,'⚙️ Configuração'!C44,'📋 Registo Diário'!$Q$7:$Q$646)</f>
        <v>28</v>
      </c>
      <c r="M20" s="66">
        <f t="shared" si="1"/>
        <v>69</v>
      </c>
      <c r="N20" s="59"/>
      <c r="O20" s="67"/>
      <c r="P20" s="68"/>
    </row>
    <row r="21" spans="1:16" ht="21.75" customHeight="1" x14ac:dyDescent="0.2">
      <c r="A21" s="59"/>
      <c r="B21" s="4" t="str">
        <f>'⚙️ Configuração'!C45</f>
        <v>Rita Carmo</v>
      </c>
      <c r="C21" s="63">
        <f>IF('⚙️ Configuração'!C45='🔄 Rotação Duplas'!C8,IF('🔄 Rotação Duplas'!H8="-",0,'🔄 Rotação Duplas'!H8),IF('⚙️ Configuração'!C45='🔄 Rotação Duplas'!D8,IF('🔄 Rotação Duplas'!I8="-",0,'🔄 Rotação Duplas'!I8),0))+IF('⚙️ Configuração'!C45='🔄 Rotação Duplas'!C9,IF('🔄 Rotação Duplas'!H9="-",0,'🔄 Rotação Duplas'!H9),IF('⚙️ Configuração'!C45='🔄 Rotação Duplas'!D9,IF('🔄 Rotação Duplas'!I9="-",0,'🔄 Rotação Duplas'!I9),0))+IF('⚙️ Configuração'!C45='🔄 Rotação Duplas'!C10,IF('🔄 Rotação Duplas'!H10="-",0,'🔄 Rotação Duplas'!H10),IF('⚙️ Configuração'!C45='🔄 Rotação Duplas'!D10,IF('🔄 Rotação Duplas'!I10="-",0,'🔄 Rotação Duplas'!I10),0))+IF('⚙️ Configuração'!C45='🔄 Rotação Duplas'!C11,IF('🔄 Rotação Duplas'!H11="-",0,'🔄 Rotação Duplas'!H11),IF('⚙️ Configuração'!C45='🔄 Rotação Duplas'!D11,IF('🔄 Rotação Duplas'!I11="-",0,'🔄 Rotação Duplas'!I11),0))+IF('⚙️ Configuração'!C45='🔄 Rotação Duplas'!C12,IF('🔄 Rotação Duplas'!H12="-",0,'🔄 Rotação Duplas'!H12),IF('⚙️ Configuração'!C45='🔄 Rotação Duplas'!D12,IF('🔄 Rotação Duplas'!I12="-",0,'🔄 Rotação Duplas'!I12),0))+IF('⚙️ Configuração'!C45='🔄 Rotação Duplas'!C13,IF('🔄 Rotação Duplas'!H13="-",0,'🔄 Rotação Duplas'!H13),IF('⚙️ Configuração'!C45='🔄 Rotação Duplas'!D13,IF('🔄 Rotação Duplas'!I13="-",0,'🔄 Rotação Duplas'!I13),0))+IF('⚙️ Configuração'!C45='🔄 Rotação Duplas'!C14,IF('🔄 Rotação Duplas'!H14="-",0,'🔄 Rotação Duplas'!H14),IF('⚙️ Configuração'!C45='🔄 Rotação Duplas'!D14,IF('🔄 Rotação Duplas'!I14="-",0,'🔄 Rotação Duplas'!I14),0))+IF('⚙️ Configuração'!C45='🔄 Rotação Duplas'!C15,IF('🔄 Rotação Duplas'!H15="-",0,'🔄 Rotação Duplas'!H15),IF('⚙️ Configuração'!C45='🔄 Rotação Duplas'!D15,IF('🔄 Rotação Duplas'!I15="-",0,'🔄 Rotação Duplas'!I15),0))+IF('⚙️ Configuração'!C45='🔄 Rotação Duplas'!C16,IF('🔄 Rotação Duplas'!H16="-",0,'🔄 Rotação Duplas'!H16),IF('⚙️ Configuração'!C45='🔄 Rotação Duplas'!D16,IF('🔄 Rotação Duplas'!I16="-",0,'🔄 Rotação Duplas'!I16),0))+IF('⚙️ Configuração'!C45='🔄 Rotação Duplas'!C17,IF('🔄 Rotação Duplas'!H17="-",0,'🔄 Rotação Duplas'!H17),IF('⚙️ Configuração'!C45='🔄 Rotação Duplas'!D17,IF('🔄 Rotação Duplas'!I17="-",0,'🔄 Rotação Duplas'!I17),0))</f>
        <v>68</v>
      </c>
      <c r="D21" s="63">
        <f>IF('⚙️ Configuração'!C45='🔄 Rotação Duplas'!C22,IF('🔄 Rotação Duplas'!H22="-",0,'🔄 Rotação Duplas'!H22),IF('⚙️ Configuração'!C45='🔄 Rotação Duplas'!D22,IF('🔄 Rotação Duplas'!I22="-",0,'🔄 Rotação Duplas'!I22),0))+IF('⚙️ Configuração'!C45='🔄 Rotação Duplas'!C23,IF('🔄 Rotação Duplas'!H23="-",0,'🔄 Rotação Duplas'!H23),IF('⚙️ Configuração'!C45='🔄 Rotação Duplas'!D23,IF('🔄 Rotação Duplas'!I23="-",0,'🔄 Rotação Duplas'!I23),0))+IF('⚙️ Configuração'!C45='🔄 Rotação Duplas'!C24,IF('🔄 Rotação Duplas'!H24="-",0,'🔄 Rotação Duplas'!H24),IF('⚙️ Configuração'!C45='🔄 Rotação Duplas'!D24,IF('🔄 Rotação Duplas'!I24="-",0,'🔄 Rotação Duplas'!I24),0))+IF('⚙️ Configuração'!C45='🔄 Rotação Duplas'!C25,IF('🔄 Rotação Duplas'!H25="-",0,'🔄 Rotação Duplas'!H25),IF('⚙️ Configuração'!C45='🔄 Rotação Duplas'!D25,IF('🔄 Rotação Duplas'!I25="-",0,'🔄 Rotação Duplas'!I25),0))+IF('⚙️ Configuração'!C45='🔄 Rotação Duplas'!C26,IF('🔄 Rotação Duplas'!H26="-",0,'🔄 Rotação Duplas'!H26),IF('⚙️ Configuração'!C45='🔄 Rotação Duplas'!D26,IF('🔄 Rotação Duplas'!I26="-",0,'🔄 Rotação Duplas'!I26),0))+IF('⚙️ Configuração'!C45='🔄 Rotação Duplas'!C27,IF('🔄 Rotação Duplas'!H27="-",0,'🔄 Rotação Duplas'!H27),IF('⚙️ Configuração'!C45='🔄 Rotação Duplas'!D27,IF('🔄 Rotação Duplas'!I27="-",0,'🔄 Rotação Duplas'!I27),0))+IF('⚙️ Configuração'!C45='🔄 Rotação Duplas'!C28,IF('🔄 Rotação Duplas'!H28="-",0,'🔄 Rotação Duplas'!H28),IF('⚙️ Configuração'!C45='🔄 Rotação Duplas'!D28,IF('🔄 Rotação Duplas'!I28="-",0,'🔄 Rotação Duplas'!I28),0))+IF('⚙️ Configuração'!C45='🔄 Rotação Duplas'!C29,IF('🔄 Rotação Duplas'!H29="-",0,'🔄 Rotação Duplas'!H29),IF('⚙️ Configuração'!C45='🔄 Rotação Duplas'!D29,IF('🔄 Rotação Duplas'!I29="-",0,'🔄 Rotação Duplas'!I29),0))+IF('⚙️ Configuração'!C45='🔄 Rotação Duplas'!C30,IF('🔄 Rotação Duplas'!H30="-",0,'🔄 Rotação Duplas'!H30),IF('⚙️ Configuração'!C45='🔄 Rotação Duplas'!D30,IF('🔄 Rotação Duplas'!I30="-",0,'🔄 Rotação Duplas'!I30),0))+IF('⚙️ Configuração'!C45='🔄 Rotação Duplas'!C31,IF('🔄 Rotação Duplas'!H31="-",0,'🔄 Rotação Duplas'!H31),IF('⚙️ Configuração'!C45='🔄 Rotação Duplas'!D31,IF('🔄 Rotação Duplas'!I31="-",0,'🔄 Rotação Duplas'!I31),0))</f>
        <v>0</v>
      </c>
      <c r="E21" s="63">
        <f>IF('⚙️ Configuração'!C45='🔄 Rotação Duplas'!C36,IF('🔄 Rotação Duplas'!H36="-",0,'🔄 Rotação Duplas'!H36),IF('⚙️ Configuração'!C45='🔄 Rotação Duplas'!D36,IF('🔄 Rotação Duplas'!I36="-",0,'🔄 Rotação Duplas'!I36),0))+IF('⚙️ Configuração'!C45='🔄 Rotação Duplas'!C37,IF('🔄 Rotação Duplas'!H37="-",0,'🔄 Rotação Duplas'!H37),IF('⚙️ Configuração'!C45='🔄 Rotação Duplas'!D37,IF('🔄 Rotação Duplas'!I37="-",0,'🔄 Rotação Duplas'!I37),0))+IF('⚙️ Configuração'!C45='🔄 Rotação Duplas'!C38,IF('🔄 Rotação Duplas'!H38="-",0,'🔄 Rotação Duplas'!H38),IF('⚙️ Configuração'!C45='🔄 Rotação Duplas'!D38,IF('🔄 Rotação Duplas'!I38="-",0,'🔄 Rotação Duplas'!I38),0))+IF('⚙️ Configuração'!C45='🔄 Rotação Duplas'!C39,IF('🔄 Rotação Duplas'!H39="-",0,'🔄 Rotação Duplas'!H39),IF('⚙️ Configuração'!C45='🔄 Rotação Duplas'!D39,IF('🔄 Rotação Duplas'!I39="-",0,'🔄 Rotação Duplas'!I39),0))+IF('⚙️ Configuração'!C45='🔄 Rotação Duplas'!C40,IF('🔄 Rotação Duplas'!H40="-",0,'🔄 Rotação Duplas'!H40),IF('⚙️ Configuração'!C45='🔄 Rotação Duplas'!D40,IF('🔄 Rotação Duplas'!I40="-",0,'🔄 Rotação Duplas'!I40),0))+IF('⚙️ Configuração'!C45='🔄 Rotação Duplas'!C41,IF('🔄 Rotação Duplas'!H41="-",0,'🔄 Rotação Duplas'!H41),IF('⚙️ Configuração'!C45='🔄 Rotação Duplas'!D41,IF('🔄 Rotação Duplas'!I41="-",0,'🔄 Rotação Duplas'!I41),0))+IF('⚙️ Configuração'!C45='🔄 Rotação Duplas'!C42,IF('🔄 Rotação Duplas'!H42="-",0,'🔄 Rotação Duplas'!H42),IF('⚙️ Configuração'!C45='🔄 Rotação Duplas'!D42,IF('🔄 Rotação Duplas'!I42="-",0,'🔄 Rotação Duplas'!I42),0))+IF('⚙️ Configuração'!C45='🔄 Rotação Duplas'!C43,IF('🔄 Rotação Duplas'!H43="-",0,'🔄 Rotação Duplas'!H43),IF('⚙️ Configuração'!C45='🔄 Rotação Duplas'!D43,IF('🔄 Rotação Duplas'!I43="-",0,'🔄 Rotação Duplas'!I43),0))+IF('⚙️ Configuração'!C45='🔄 Rotação Duplas'!C44,IF('🔄 Rotação Duplas'!H44="-",0,'🔄 Rotação Duplas'!H44),IF('⚙️ Configuração'!C45='🔄 Rotação Duplas'!D44,IF('🔄 Rotação Duplas'!I44="-",0,'🔄 Rotação Duplas'!I44),0))+IF('⚙️ Configuração'!C45='🔄 Rotação Duplas'!C45,IF('🔄 Rotação Duplas'!H45="-",0,'🔄 Rotação Duplas'!H45),IF('⚙️ Configuração'!C45='🔄 Rotação Duplas'!D45,IF('🔄 Rotação Duplas'!I45="-",0,'🔄 Rotação Duplas'!I45),0))</f>
        <v>0</v>
      </c>
      <c r="F21" s="63">
        <f>IF('⚙️ Configuração'!C45='🔄 Rotação Duplas'!C50,IF('🔄 Rotação Duplas'!H50="-",0,'🔄 Rotação Duplas'!H50),IF('⚙️ Configuração'!C45='🔄 Rotação Duplas'!D50,IF('🔄 Rotação Duplas'!I50="-",0,'🔄 Rotação Duplas'!I50),0))+IF('⚙️ Configuração'!C45='🔄 Rotação Duplas'!C51,IF('🔄 Rotação Duplas'!H51="-",0,'🔄 Rotação Duplas'!H51),IF('⚙️ Configuração'!C45='🔄 Rotação Duplas'!D51,IF('🔄 Rotação Duplas'!I51="-",0,'🔄 Rotação Duplas'!I51),0))+IF('⚙️ Configuração'!C45='🔄 Rotação Duplas'!C52,IF('🔄 Rotação Duplas'!H52="-",0,'🔄 Rotação Duplas'!H52),IF('⚙️ Configuração'!C45='🔄 Rotação Duplas'!D52,IF('🔄 Rotação Duplas'!I52="-",0,'🔄 Rotação Duplas'!I52),0))+IF('⚙️ Configuração'!C45='🔄 Rotação Duplas'!C53,IF('🔄 Rotação Duplas'!H53="-",0,'🔄 Rotação Duplas'!H53),IF('⚙️ Configuração'!C45='🔄 Rotação Duplas'!D53,IF('🔄 Rotação Duplas'!I53="-",0,'🔄 Rotação Duplas'!I53),0))+IF('⚙️ Configuração'!C45='🔄 Rotação Duplas'!C54,IF('🔄 Rotação Duplas'!H54="-",0,'🔄 Rotação Duplas'!H54),IF('⚙️ Configuração'!C45='🔄 Rotação Duplas'!D54,IF('🔄 Rotação Duplas'!I54="-",0,'🔄 Rotação Duplas'!I54),0))+IF('⚙️ Configuração'!C45='🔄 Rotação Duplas'!C55,IF('🔄 Rotação Duplas'!H55="-",0,'🔄 Rotação Duplas'!H55),IF('⚙️ Configuração'!C45='🔄 Rotação Duplas'!D55,IF('🔄 Rotação Duplas'!I55="-",0,'🔄 Rotação Duplas'!I55),0))+IF('⚙️ Configuração'!C45='🔄 Rotação Duplas'!C56,IF('🔄 Rotação Duplas'!H56="-",0,'🔄 Rotação Duplas'!H56),IF('⚙️ Configuração'!C45='🔄 Rotação Duplas'!D56,IF('🔄 Rotação Duplas'!I56="-",0,'🔄 Rotação Duplas'!I56),0))+IF('⚙️ Configuração'!C45='🔄 Rotação Duplas'!C57,IF('🔄 Rotação Duplas'!H57="-",0,'🔄 Rotação Duplas'!H57),IF('⚙️ Configuração'!C45='🔄 Rotação Duplas'!D57,IF('🔄 Rotação Duplas'!I57="-",0,'🔄 Rotação Duplas'!I57),0))+IF('⚙️ Configuração'!C45='🔄 Rotação Duplas'!C58,IF('🔄 Rotação Duplas'!H58="-",0,'🔄 Rotação Duplas'!H58),IF('⚙️ Configuração'!C45='🔄 Rotação Duplas'!D58,IF('🔄 Rotação Duplas'!I58="-",0,'🔄 Rotação Duplas'!I58),0))+IF('⚙️ Configuração'!C45='🔄 Rotação Duplas'!C59,IF('🔄 Rotação Duplas'!H59="-",0,'🔄 Rotação Duplas'!H59),IF('⚙️ Configuração'!C45='🔄 Rotação Duplas'!D59,IF('🔄 Rotação Duplas'!I59="-",0,'🔄 Rotação Duplas'!I59),0))</f>
        <v>0</v>
      </c>
      <c r="G21" s="63">
        <f>IF('⚙️ Configuração'!C45='🔄 Rotação Duplas'!C64,IF('🔄 Rotação Duplas'!H64="-",0,'🔄 Rotação Duplas'!H64),IF('⚙️ Configuração'!C45='🔄 Rotação Duplas'!D64,IF('🔄 Rotação Duplas'!I64="-",0,'🔄 Rotação Duplas'!I64),0))+IF('⚙️ Configuração'!C45='🔄 Rotação Duplas'!C65,IF('🔄 Rotação Duplas'!H65="-",0,'🔄 Rotação Duplas'!H65),IF('⚙️ Configuração'!C45='🔄 Rotação Duplas'!D65,IF('🔄 Rotação Duplas'!I65="-",0,'🔄 Rotação Duplas'!I65),0))+IF('⚙️ Configuração'!C45='🔄 Rotação Duplas'!C66,IF('🔄 Rotação Duplas'!H66="-",0,'🔄 Rotação Duplas'!H66),IF('⚙️ Configuração'!C45='🔄 Rotação Duplas'!D66,IF('🔄 Rotação Duplas'!I66="-",0,'🔄 Rotação Duplas'!I66),0))+IF('⚙️ Configuração'!C45='🔄 Rotação Duplas'!C67,IF('🔄 Rotação Duplas'!H67="-",0,'🔄 Rotação Duplas'!H67),IF('⚙️ Configuração'!C45='🔄 Rotação Duplas'!D67,IF('🔄 Rotação Duplas'!I67="-",0,'🔄 Rotação Duplas'!I67),0))+IF('⚙️ Configuração'!C45='🔄 Rotação Duplas'!C68,IF('🔄 Rotação Duplas'!H68="-",0,'🔄 Rotação Duplas'!H68),IF('⚙️ Configuração'!C45='🔄 Rotação Duplas'!D68,IF('🔄 Rotação Duplas'!I68="-",0,'🔄 Rotação Duplas'!I68),0))+IF('⚙️ Configuração'!C45='🔄 Rotação Duplas'!C69,IF('🔄 Rotação Duplas'!H69="-",0,'🔄 Rotação Duplas'!H69),IF('⚙️ Configuração'!C45='🔄 Rotação Duplas'!D69,IF('🔄 Rotação Duplas'!I69="-",0,'🔄 Rotação Duplas'!I69),0))+IF('⚙️ Configuração'!C45='🔄 Rotação Duplas'!C70,IF('🔄 Rotação Duplas'!H70="-",0,'🔄 Rotação Duplas'!H70),IF('⚙️ Configuração'!C45='🔄 Rotação Duplas'!D70,IF('🔄 Rotação Duplas'!I70="-",0,'🔄 Rotação Duplas'!I70),0))+IF('⚙️ Configuração'!C45='🔄 Rotação Duplas'!C71,IF('🔄 Rotação Duplas'!H71="-",0,'🔄 Rotação Duplas'!H71),IF('⚙️ Configuração'!C45='🔄 Rotação Duplas'!D71,IF('🔄 Rotação Duplas'!I71="-",0,'🔄 Rotação Duplas'!I71),0))+IF('⚙️ Configuração'!C45='🔄 Rotação Duplas'!C72,IF('🔄 Rotação Duplas'!H72="-",0,'🔄 Rotação Duplas'!H72),IF('⚙️ Configuração'!C45='🔄 Rotação Duplas'!D72,IF('🔄 Rotação Duplas'!I72="-",0,'🔄 Rotação Duplas'!I72),0))+IF('⚙️ Configuração'!C45='🔄 Rotação Duplas'!C73,IF('🔄 Rotação Duplas'!H73="-",0,'🔄 Rotação Duplas'!H73),IF('⚙️ Configuração'!C45='🔄 Rotação Duplas'!D73,IF('🔄 Rotação Duplas'!I73="-",0,'🔄 Rotação Duplas'!I73),0))</f>
        <v>0</v>
      </c>
      <c r="H21" s="63">
        <f>IF('⚙️ Configuração'!C45='🔄 Rotação Duplas'!C78,IF('🔄 Rotação Duplas'!H78="-",0,'🔄 Rotação Duplas'!H78),IF('⚙️ Configuração'!C45='🔄 Rotação Duplas'!D78,IF('🔄 Rotação Duplas'!I78="-",0,'🔄 Rotação Duplas'!I78),0))+IF('⚙️ Configuração'!C45='🔄 Rotação Duplas'!C79,IF('🔄 Rotação Duplas'!H79="-",0,'🔄 Rotação Duplas'!H79),IF('⚙️ Configuração'!C45='🔄 Rotação Duplas'!D79,IF('🔄 Rotação Duplas'!I79="-",0,'🔄 Rotação Duplas'!I79),0))+IF('⚙️ Configuração'!C45='🔄 Rotação Duplas'!C80,IF('🔄 Rotação Duplas'!H80="-",0,'🔄 Rotação Duplas'!H80),IF('⚙️ Configuração'!C45='🔄 Rotação Duplas'!D80,IF('🔄 Rotação Duplas'!I80="-",0,'🔄 Rotação Duplas'!I80),0))+IF('⚙️ Configuração'!C45='🔄 Rotação Duplas'!C81,IF('🔄 Rotação Duplas'!H81="-",0,'🔄 Rotação Duplas'!H81),IF('⚙️ Configuração'!C45='🔄 Rotação Duplas'!D81,IF('🔄 Rotação Duplas'!I81="-",0,'🔄 Rotação Duplas'!I81),0))+IF('⚙️ Configuração'!C45='🔄 Rotação Duplas'!C82,IF('🔄 Rotação Duplas'!H82="-",0,'🔄 Rotação Duplas'!H82),IF('⚙️ Configuração'!C45='🔄 Rotação Duplas'!D82,IF('🔄 Rotação Duplas'!I82="-",0,'🔄 Rotação Duplas'!I82),0))+IF('⚙️ Configuração'!C45='🔄 Rotação Duplas'!C83,IF('🔄 Rotação Duplas'!H83="-",0,'🔄 Rotação Duplas'!H83),IF('⚙️ Configuração'!C45='🔄 Rotação Duplas'!D83,IF('🔄 Rotação Duplas'!I83="-",0,'🔄 Rotação Duplas'!I83),0))+IF('⚙️ Configuração'!C45='🔄 Rotação Duplas'!C84,IF('🔄 Rotação Duplas'!H84="-",0,'🔄 Rotação Duplas'!H84),IF('⚙️ Configuração'!C45='🔄 Rotação Duplas'!D84,IF('🔄 Rotação Duplas'!I84="-",0,'🔄 Rotação Duplas'!I84),0))+IF('⚙️ Configuração'!C45='🔄 Rotação Duplas'!C85,IF('🔄 Rotação Duplas'!H85="-",0,'🔄 Rotação Duplas'!H85),IF('⚙️ Configuração'!C45='🔄 Rotação Duplas'!D85,IF('🔄 Rotação Duplas'!I85="-",0,'🔄 Rotação Duplas'!I85),0))+IF('⚙️ Configuração'!C45='🔄 Rotação Duplas'!C86,IF('🔄 Rotação Duplas'!H86="-",0,'🔄 Rotação Duplas'!H86),IF('⚙️ Configuração'!C45='🔄 Rotação Duplas'!D86,IF('🔄 Rotação Duplas'!I86="-",0,'🔄 Rotação Duplas'!I86),0))+IF('⚙️ Configuração'!C45='🔄 Rotação Duplas'!C87,IF('🔄 Rotação Duplas'!H87="-",0,'🔄 Rotação Duplas'!H87),IF('⚙️ Configuração'!C45='🔄 Rotação Duplas'!D87,IF('🔄 Rotação Duplas'!I87="-",0,'🔄 Rotação Duplas'!I87),0))</f>
        <v>0</v>
      </c>
      <c r="I21" s="63">
        <f>IF('⚙️ Configuração'!C45='🔄 Rotação Duplas'!C92,IF('🔄 Rotação Duplas'!H92="-",0,'🔄 Rotação Duplas'!H92),IF('⚙️ Configuração'!C45='🔄 Rotação Duplas'!D92,IF('🔄 Rotação Duplas'!I92="-",0,'🔄 Rotação Duplas'!I92),0))+IF('⚙️ Configuração'!C45='🔄 Rotação Duplas'!C93,IF('🔄 Rotação Duplas'!H93="-",0,'🔄 Rotação Duplas'!H93),IF('⚙️ Configuração'!C45='🔄 Rotação Duplas'!D93,IF('🔄 Rotação Duplas'!I93="-",0,'🔄 Rotação Duplas'!I93),0))+IF('⚙️ Configuração'!C45='🔄 Rotação Duplas'!C94,IF('🔄 Rotação Duplas'!H94="-",0,'🔄 Rotação Duplas'!H94),IF('⚙️ Configuração'!C45='🔄 Rotação Duplas'!D94,IF('🔄 Rotação Duplas'!I94="-",0,'🔄 Rotação Duplas'!I94),0))+IF('⚙️ Configuração'!C45='🔄 Rotação Duplas'!C95,IF('🔄 Rotação Duplas'!H95="-",0,'🔄 Rotação Duplas'!H95),IF('⚙️ Configuração'!C45='🔄 Rotação Duplas'!D95,IF('🔄 Rotação Duplas'!I95="-",0,'🔄 Rotação Duplas'!I95),0))+IF('⚙️ Configuração'!C45='🔄 Rotação Duplas'!C96,IF('🔄 Rotação Duplas'!H96="-",0,'🔄 Rotação Duplas'!H96),IF('⚙️ Configuração'!C45='🔄 Rotação Duplas'!D96,IF('🔄 Rotação Duplas'!I96="-",0,'🔄 Rotação Duplas'!I96),0))+IF('⚙️ Configuração'!C45='🔄 Rotação Duplas'!C97,IF('🔄 Rotação Duplas'!H97="-",0,'🔄 Rotação Duplas'!H97),IF('⚙️ Configuração'!C45='🔄 Rotação Duplas'!D97,IF('🔄 Rotação Duplas'!I97="-",0,'🔄 Rotação Duplas'!I97),0))+IF('⚙️ Configuração'!C45='🔄 Rotação Duplas'!C98,IF('🔄 Rotação Duplas'!H98="-",0,'🔄 Rotação Duplas'!H98),IF('⚙️ Configuração'!C45='🔄 Rotação Duplas'!D98,IF('🔄 Rotação Duplas'!I98="-",0,'🔄 Rotação Duplas'!I98),0))+IF('⚙️ Configuração'!C45='🔄 Rotação Duplas'!C99,IF('🔄 Rotação Duplas'!H99="-",0,'🔄 Rotação Duplas'!H99),IF('⚙️ Configuração'!C45='🔄 Rotação Duplas'!D99,IF('🔄 Rotação Duplas'!I99="-",0,'🔄 Rotação Duplas'!I99),0))+IF('⚙️ Configuração'!C45='🔄 Rotação Duplas'!C100,IF('🔄 Rotação Duplas'!H100="-",0,'🔄 Rotação Duplas'!H100),IF('⚙️ Configuração'!C45='🔄 Rotação Duplas'!D100,IF('🔄 Rotação Duplas'!I100="-",0,'🔄 Rotação Duplas'!I100),0))+IF('⚙️ Configuração'!C45='🔄 Rotação Duplas'!C101,IF('🔄 Rotação Duplas'!H101="-",0,'🔄 Rotação Duplas'!H101),IF('⚙️ Configuração'!C45='🔄 Rotação Duplas'!D101,IF('🔄 Rotação Duplas'!I101="-",0,'🔄 Rotação Duplas'!I101),0))</f>
        <v>0</v>
      </c>
      <c r="J21" s="63">
        <f>IF('⚙️ Configuração'!C45='🔄 Rotação Duplas'!C106,IF('🔄 Rotação Duplas'!H106="-",0,'🔄 Rotação Duplas'!H106),IF('⚙️ Configuração'!C45='🔄 Rotação Duplas'!D106,IF('🔄 Rotação Duplas'!I106="-",0,'🔄 Rotação Duplas'!I106),0))+IF('⚙️ Configuração'!C45='🔄 Rotação Duplas'!C107,IF('🔄 Rotação Duplas'!H107="-",0,'🔄 Rotação Duplas'!H107),IF('⚙️ Configuração'!C45='🔄 Rotação Duplas'!D107,IF('🔄 Rotação Duplas'!I107="-",0,'🔄 Rotação Duplas'!I107),0))+IF('⚙️ Configuração'!C45='🔄 Rotação Duplas'!C108,IF('🔄 Rotação Duplas'!H108="-",0,'🔄 Rotação Duplas'!H108),IF('⚙️ Configuração'!C45='🔄 Rotação Duplas'!D108,IF('🔄 Rotação Duplas'!I108="-",0,'🔄 Rotação Duplas'!I108),0))+IF('⚙️ Configuração'!C45='🔄 Rotação Duplas'!C109,IF('🔄 Rotação Duplas'!H109="-",0,'🔄 Rotação Duplas'!H109),IF('⚙️ Configuração'!C45='🔄 Rotação Duplas'!D109,IF('🔄 Rotação Duplas'!I109="-",0,'🔄 Rotação Duplas'!I109),0))+IF('⚙️ Configuração'!C45='🔄 Rotação Duplas'!C110,IF('🔄 Rotação Duplas'!H110="-",0,'🔄 Rotação Duplas'!H110),IF('⚙️ Configuração'!C45='🔄 Rotação Duplas'!D110,IF('🔄 Rotação Duplas'!I110="-",0,'🔄 Rotação Duplas'!I110),0))+IF('⚙️ Configuração'!C45='🔄 Rotação Duplas'!C111,IF('🔄 Rotação Duplas'!H111="-",0,'🔄 Rotação Duplas'!H111),IF('⚙️ Configuração'!C45='🔄 Rotação Duplas'!D111,IF('🔄 Rotação Duplas'!I111="-",0,'🔄 Rotação Duplas'!I111),0))+IF('⚙️ Configuração'!C45='🔄 Rotação Duplas'!C112,IF('🔄 Rotação Duplas'!H112="-",0,'🔄 Rotação Duplas'!H112),IF('⚙️ Configuração'!C45='🔄 Rotação Duplas'!D112,IF('🔄 Rotação Duplas'!I112="-",0,'🔄 Rotação Duplas'!I112),0))+IF('⚙️ Configuração'!C45='🔄 Rotação Duplas'!C113,IF('🔄 Rotação Duplas'!H113="-",0,'🔄 Rotação Duplas'!H113),IF('⚙️ Configuração'!C45='🔄 Rotação Duplas'!D113,IF('🔄 Rotação Duplas'!I113="-",0,'🔄 Rotação Duplas'!I113),0))+IF('⚙️ Configuração'!C45='🔄 Rotação Duplas'!C114,IF('🔄 Rotação Duplas'!H114="-",0,'🔄 Rotação Duplas'!H114),IF('⚙️ Configuração'!C45='🔄 Rotação Duplas'!D114,IF('🔄 Rotação Duplas'!I114="-",0,'🔄 Rotação Duplas'!I114),0))+IF('⚙️ Configuração'!C45='🔄 Rotação Duplas'!C115,IF('🔄 Rotação Duplas'!H115="-",0,'🔄 Rotação Duplas'!H115),IF('⚙️ Configuração'!C45='🔄 Rotação Duplas'!D115,IF('🔄 Rotação Duplas'!I115="-",0,'🔄 Rotação Duplas'!I115),0))</f>
        <v>0</v>
      </c>
      <c r="K21" s="64">
        <f t="shared" si="0"/>
        <v>68</v>
      </c>
      <c r="L21" s="65">
        <f>SUMIF('📋 Registo Diário'!$D$7:$D$646,'⚙️ Configuração'!C45,'📋 Registo Diário'!$Q$7:$Q$646)</f>
        <v>53</v>
      </c>
      <c r="M21" s="66">
        <f t="shared" si="1"/>
        <v>121</v>
      </c>
      <c r="N21" s="59"/>
      <c r="O21" s="67"/>
      <c r="P21" s="68"/>
    </row>
    <row r="22" spans="1:16" ht="21.75" customHeight="1" x14ac:dyDescent="0.2">
      <c r="A22" s="59"/>
      <c r="B22" s="13" t="str">
        <f>'⚙️ Configuração'!C46</f>
        <v>William Fernandes</v>
      </c>
      <c r="C22" s="63">
        <f>IF('⚙️ Configuração'!C46='🔄 Rotação Duplas'!C8,IF('🔄 Rotação Duplas'!H8="-",0,'🔄 Rotação Duplas'!H8),IF('⚙️ Configuração'!C46='🔄 Rotação Duplas'!D8,IF('🔄 Rotação Duplas'!I8="-",0,'🔄 Rotação Duplas'!I8),0))+IF('⚙️ Configuração'!C46='🔄 Rotação Duplas'!C9,IF('🔄 Rotação Duplas'!H9="-",0,'🔄 Rotação Duplas'!H9),IF('⚙️ Configuração'!C46='🔄 Rotação Duplas'!D9,IF('🔄 Rotação Duplas'!I9="-",0,'🔄 Rotação Duplas'!I9),0))+IF('⚙️ Configuração'!C46='🔄 Rotação Duplas'!C10,IF('🔄 Rotação Duplas'!H10="-",0,'🔄 Rotação Duplas'!H10),IF('⚙️ Configuração'!C46='🔄 Rotação Duplas'!D10,IF('🔄 Rotação Duplas'!I10="-",0,'🔄 Rotação Duplas'!I10),0))+IF('⚙️ Configuração'!C46='🔄 Rotação Duplas'!C11,IF('🔄 Rotação Duplas'!H11="-",0,'🔄 Rotação Duplas'!H11),IF('⚙️ Configuração'!C46='🔄 Rotação Duplas'!D11,IF('🔄 Rotação Duplas'!I11="-",0,'🔄 Rotação Duplas'!I11),0))+IF('⚙️ Configuração'!C46='🔄 Rotação Duplas'!C12,IF('🔄 Rotação Duplas'!H12="-",0,'🔄 Rotação Duplas'!H12),IF('⚙️ Configuração'!C46='🔄 Rotação Duplas'!D12,IF('🔄 Rotação Duplas'!I12="-",0,'🔄 Rotação Duplas'!I12),0))+IF('⚙️ Configuração'!C46='🔄 Rotação Duplas'!C13,IF('🔄 Rotação Duplas'!H13="-",0,'🔄 Rotação Duplas'!H13),IF('⚙️ Configuração'!C46='🔄 Rotação Duplas'!D13,IF('🔄 Rotação Duplas'!I13="-",0,'🔄 Rotação Duplas'!I13),0))+IF('⚙️ Configuração'!C46='🔄 Rotação Duplas'!C14,IF('🔄 Rotação Duplas'!H14="-",0,'🔄 Rotação Duplas'!H14),IF('⚙️ Configuração'!C46='🔄 Rotação Duplas'!D14,IF('🔄 Rotação Duplas'!I14="-",0,'🔄 Rotação Duplas'!I14),0))+IF('⚙️ Configuração'!C46='🔄 Rotação Duplas'!C15,IF('🔄 Rotação Duplas'!H15="-",0,'🔄 Rotação Duplas'!H15),IF('⚙️ Configuração'!C46='🔄 Rotação Duplas'!D15,IF('🔄 Rotação Duplas'!I15="-",0,'🔄 Rotação Duplas'!I15),0))+IF('⚙️ Configuração'!C46='🔄 Rotação Duplas'!C16,IF('🔄 Rotação Duplas'!H16="-",0,'🔄 Rotação Duplas'!H16),IF('⚙️ Configuração'!C46='🔄 Rotação Duplas'!D16,IF('🔄 Rotação Duplas'!I16="-",0,'🔄 Rotação Duplas'!I16),0))+IF('⚙️ Configuração'!C46='🔄 Rotação Duplas'!C17,IF('🔄 Rotação Duplas'!H17="-",0,'🔄 Rotação Duplas'!H17),IF('⚙️ Configuração'!C46='🔄 Rotação Duplas'!D17,IF('🔄 Rotação Duplas'!I17="-",0,'🔄 Rotação Duplas'!I17),0))</f>
        <v>55</v>
      </c>
      <c r="D22" s="63">
        <f>IF('⚙️ Configuração'!C46='🔄 Rotação Duplas'!C22,IF('🔄 Rotação Duplas'!H22="-",0,'🔄 Rotação Duplas'!H22),IF('⚙️ Configuração'!C46='🔄 Rotação Duplas'!D22,IF('🔄 Rotação Duplas'!I22="-",0,'🔄 Rotação Duplas'!I22),0))+IF('⚙️ Configuração'!C46='🔄 Rotação Duplas'!C23,IF('🔄 Rotação Duplas'!H23="-",0,'🔄 Rotação Duplas'!H23),IF('⚙️ Configuração'!C46='🔄 Rotação Duplas'!D23,IF('🔄 Rotação Duplas'!I23="-",0,'🔄 Rotação Duplas'!I23),0))+IF('⚙️ Configuração'!C46='🔄 Rotação Duplas'!C24,IF('🔄 Rotação Duplas'!H24="-",0,'🔄 Rotação Duplas'!H24),IF('⚙️ Configuração'!C46='🔄 Rotação Duplas'!D24,IF('🔄 Rotação Duplas'!I24="-",0,'🔄 Rotação Duplas'!I24),0))+IF('⚙️ Configuração'!C46='🔄 Rotação Duplas'!C25,IF('🔄 Rotação Duplas'!H25="-",0,'🔄 Rotação Duplas'!H25),IF('⚙️ Configuração'!C46='🔄 Rotação Duplas'!D25,IF('🔄 Rotação Duplas'!I25="-",0,'🔄 Rotação Duplas'!I25),0))+IF('⚙️ Configuração'!C46='🔄 Rotação Duplas'!C26,IF('🔄 Rotação Duplas'!H26="-",0,'🔄 Rotação Duplas'!H26),IF('⚙️ Configuração'!C46='🔄 Rotação Duplas'!D26,IF('🔄 Rotação Duplas'!I26="-",0,'🔄 Rotação Duplas'!I26),0))+IF('⚙️ Configuração'!C46='🔄 Rotação Duplas'!C27,IF('🔄 Rotação Duplas'!H27="-",0,'🔄 Rotação Duplas'!H27),IF('⚙️ Configuração'!C46='🔄 Rotação Duplas'!D27,IF('🔄 Rotação Duplas'!I27="-",0,'🔄 Rotação Duplas'!I27),0))+IF('⚙️ Configuração'!C46='🔄 Rotação Duplas'!C28,IF('🔄 Rotação Duplas'!H28="-",0,'🔄 Rotação Duplas'!H28),IF('⚙️ Configuração'!C46='🔄 Rotação Duplas'!D28,IF('🔄 Rotação Duplas'!I28="-",0,'🔄 Rotação Duplas'!I28),0))+IF('⚙️ Configuração'!C46='🔄 Rotação Duplas'!C29,IF('🔄 Rotação Duplas'!H29="-",0,'🔄 Rotação Duplas'!H29),IF('⚙️ Configuração'!C46='🔄 Rotação Duplas'!D29,IF('🔄 Rotação Duplas'!I29="-",0,'🔄 Rotação Duplas'!I29),0))+IF('⚙️ Configuração'!C46='🔄 Rotação Duplas'!C30,IF('🔄 Rotação Duplas'!H30="-",0,'🔄 Rotação Duplas'!H30),IF('⚙️ Configuração'!C46='🔄 Rotação Duplas'!D30,IF('🔄 Rotação Duplas'!I30="-",0,'🔄 Rotação Duplas'!I30),0))+IF('⚙️ Configuração'!C46='🔄 Rotação Duplas'!C31,IF('🔄 Rotação Duplas'!H31="-",0,'🔄 Rotação Duplas'!H31),IF('⚙️ Configuração'!C46='🔄 Rotação Duplas'!D31,IF('🔄 Rotação Duplas'!I31="-",0,'🔄 Rotação Duplas'!I31),0))</f>
        <v>0</v>
      </c>
      <c r="E22" s="63">
        <f>IF('⚙️ Configuração'!C46='🔄 Rotação Duplas'!C36,IF('🔄 Rotação Duplas'!H36="-",0,'🔄 Rotação Duplas'!H36),IF('⚙️ Configuração'!C46='🔄 Rotação Duplas'!D36,IF('🔄 Rotação Duplas'!I36="-",0,'🔄 Rotação Duplas'!I36),0))+IF('⚙️ Configuração'!C46='🔄 Rotação Duplas'!C37,IF('🔄 Rotação Duplas'!H37="-",0,'🔄 Rotação Duplas'!H37),IF('⚙️ Configuração'!C46='🔄 Rotação Duplas'!D37,IF('🔄 Rotação Duplas'!I37="-",0,'🔄 Rotação Duplas'!I37),0))+IF('⚙️ Configuração'!C46='🔄 Rotação Duplas'!C38,IF('🔄 Rotação Duplas'!H38="-",0,'🔄 Rotação Duplas'!H38),IF('⚙️ Configuração'!C46='🔄 Rotação Duplas'!D38,IF('🔄 Rotação Duplas'!I38="-",0,'🔄 Rotação Duplas'!I38),0))+IF('⚙️ Configuração'!C46='🔄 Rotação Duplas'!C39,IF('🔄 Rotação Duplas'!H39="-",0,'🔄 Rotação Duplas'!H39),IF('⚙️ Configuração'!C46='🔄 Rotação Duplas'!D39,IF('🔄 Rotação Duplas'!I39="-",0,'🔄 Rotação Duplas'!I39),0))+IF('⚙️ Configuração'!C46='🔄 Rotação Duplas'!C40,IF('🔄 Rotação Duplas'!H40="-",0,'🔄 Rotação Duplas'!H40),IF('⚙️ Configuração'!C46='🔄 Rotação Duplas'!D40,IF('🔄 Rotação Duplas'!I40="-",0,'🔄 Rotação Duplas'!I40),0))+IF('⚙️ Configuração'!C46='🔄 Rotação Duplas'!C41,IF('🔄 Rotação Duplas'!H41="-",0,'🔄 Rotação Duplas'!H41),IF('⚙️ Configuração'!C46='🔄 Rotação Duplas'!D41,IF('🔄 Rotação Duplas'!I41="-",0,'🔄 Rotação Duplas'!I41),0))+IF('⚙️ Configuração'!C46='🔄 Rotação Duplas'!C42,IF('🔄 Rotação Duplas'!H42="-",0,'🔄 Rotação Duplas'!H42),IF('⚙️ Configuração'!C46='🔄 Rotação Duplas'!D42,IF('🔄 Rotação Duplas'!I42="-",0,'🔄 Rotação Duplas'!I42),0))+IF('⚙️ Configuração'!C46='🔄 Rotação Duplas'!C43,IF('🔄 Rotação Duplas'!H43="-",0,'🔄 Rotação Duplas'!H43),IF('⚙️ Configuração'!C46='🔄 Rotação Duplas'!D43,IF('🔄 Rotação Duplas'!I43="-",0,'🔄 Rotação Duplas'!I43),0))+IF('⚙️ Configuração'!C46='🔄 Rotação Duplas'!C44,IF('🔄 Rotação Duplas'!H44="-",0,'🔄 Rotação Duplas'!H44),IF('⚙️ Configuração'!C46='🔄 Rotação Duplas'!D44,IF('🔄 Rotação Duplas'!I44="-",0,'🔄 Rotação Duplas'!I44),0))+IF('⚙️ Configuração'!C46='🔄 Rotação Duplas'!C45,IF('🔄 Rotação Duplas'!H45="-",0,'🔄 Rotação Duplas'!H45),IF('⚙️ Configuração'!C46='🔄 Rotação Duplas'!D45,IF('🔄 Rotação Duplas'!I45="-",0,'🔄 Rotação Duplas'!I45),0))</f>
        <v>0</v>
      </c>
      <c r="F22" s="63">
        <f>IF('⚙️ Configuração'!C46='🔄 Rotação Duplas'!C50,IF('🔄 Rotação Duplas'!H50="-",0,'🔄 Rotação Duplas'!H50),IF('⚙️ Configuração'!C46='🔄 Rotação Duplas'!D50,IF('🔄 Rotação Duplas'!I50="-",0,'🔄 Rotação Duplas'!I50),0))+IF('⚙️ Configuração'!C46='🔄 Rotação Duplas'!C51,IF('🔄 Rotação Duplas'!H51="-",0,'🔄 Rotação Duplas'!H51),IF('⚙️ Configuração'!C46='🔄 Rotação Duplas'!D51,IF('🔄 Rotação Duplas'!I51="-",0,'🔄 Rotação Duplas'!I51),0))+IF('⚙️ Configuração'!C46='🔄 Rotação Duplas'!C52,IF('🔄 Rotação Duplas'!H52="-",0,'🔄 Rotação Duplas'!H52),IF('⚙️ Configuração'!C46='🔄 Rotação Duplas'!D52,IF('🔄 Rotação Duplas'!I52="-",0,'🔄 Rotação Duplas'!I52),0))+IF('⚙️ Configuração'!C46='🔄 Rotação Duplas'!C53,IF('🔄 Rotação Duplas'!H53="-",0,'🔄 Rotação Duplas'!H53),IF('⚙️ Configuração'!C46='🔄 Rotação Duplas'!D53,IF('🔄 Rotação Duplas'!I53="-",0,'🔄 Rotação Duplas'!I53),0))+IF('⚙️ Configuração'!C46='🔄 Rotação Duplas'!C54,IF('🔄 Rotação Duplas'!H54="-",0,'🔄 Rotação Duplas'!H54),IF('⚙️ Configuração'!C46='🔄 Rotação Duplas'!D54,IF('🔄 Rotação Duplas'!I54="-",0,'🔄 Rotação Duplas'!I54),0))+IF('⚙️ Configuração'!C46='🔄 Rotação Duplas'!C55,IF('🔄 Rotação Duplas'!H55="-",0,'🔄 Rotação Duplas'!H55),IF('⚙️ Configuração'!C46='🔄 Rotação Duplas'!D55,IF('🔄 Rotação Duplas'!I55="-",0,'🔄 Rotação Duplas'!I55),0))+IF('⚙️ Configuração'!C46='🔄 Rotação Duplas'!C56,IF('🔄 Rotação Duplas'!H56="-",0,'🔄 Rotação Duplas'!H56),IF('⚙️ Configuração'!C46='🔄 Rotação Duplas'!D56,IF('🔄 Rotação Duplas'!I56="-",0,'🔄 Rotação Duplas'!I56),0))+IF('⚙️ Configuração'!C46='🔄 Rotação Duplas'!C57,IF('🔄 Rotação Duplas'!H57="-",0,'🔄 Rotação Duplas'!H57),IF('⚙️ Configuração'!C46='🔄 Rotação Duplas'!D57,IF('🔄 Rotação Duplas'!I57="-",0,'🔄 Rotação Duplas'!I57),0))+IF('⚙️ Configuração'!C46='🔄 Rotação Duplas'!C58,IF('🔄 Rotação Duplas'!H58="-",0,'🔄 Rotação Duplas'!H58),IF('⚙️ Configuração'!C46='🔄 Rotação Duplas'!D58,IF('🔄 Rotação Duplas'!I58="-",0,'🔄 Rotação Duplas'!I58),0))+IF('⚙️ Configuração'!C46='🔄 Rotação Duplas'!C59,IF('🔄 Rotação Duplas'!H59="-",0,'🔄 Rotação Duplas'!H59),IF('⚙️ Configuração'!C46='🔄 Rotação Duplas'!D59,IF('🔄 Rotação Duplas'!I59="-",0,'🔄 Rotação Duplas'!I59),0))</f>
        <v>0</v>
      </c>
      <c r="G22" s="63">
        <f>IF('⚙️ Configuração'!C46='🔄 Rotação Duplas'!C64,IF('🔄 Rotação Duplas'!H64="-",0,'🔄 Rotação Duplas'!H64),IF('⚙️ Configuração'!C46='🔄 Rotação Duplas'!D64,IF('🔄 Rotação Duplas'!I64="-",0,'🔄 Rotação Duplas'!I64),0))+IF('⚙️ Configuração'!C46='🔄 Rotação Duplas'!C65,IF('🔄 Rotação Duplas'!H65="-",0,'🔄 Rotação Duplas'!H65),IF('⚙️ Configuração'!C46='🔄 Rotação Duplas'!D65,IF('🔄 Rotação Duplas'!I65="-",0,'🔄 Rotação Duplas'!I65),0))+IF('⚙️ Configuração'!C46='🔄 Rotação Duplas'!C66,IF('🔄 Rotação Duplas'!H66="-",0,'🔄 Rotação Duplas'!H66),IF('⚙️ Configuração'!C46='🔄 Rotação Duplas'!D66,IF('🔄 Rotação Duplas'!I66="-",0,'🔄 Rotação Duplas'!I66),0))+IF('⚙️ Configuração'!C46='🔄 Rotação Duplas'!C67,IF('🔄 Rotação Duplas'!H67="-",0,'🔄 Rotação Duplas'!H67),IF('⚙️ Configuração'!C46='🔄 Rotação Duplas'!D67,IF('🔄 Rotação Duplas'!I67="-",0,'🔄 Rotação Duplas'!I67),0))+IF('⚙️ Configuração'!C46='🔄 Rotação Duplas'!C68,IF('🔄 Rotação Duplas'!H68="-",0,'🔄 Rotação Duplas'!H68),IF('⚙️ Configuração'!C46='🔄 Rotação Duplas'!D68,IF('🔄 Rotação Duplas'!I68="-",0,'🔄 Rotação Duplas'!I68),0))+IF('⚙️ Configuração'!C46='🔄 Rotação Duplas'!C69,IF('🔄 Rotação Duplas'!H69="-",0,'🔄 Rotação Duplas'!H69),IF('⚙️ Configuração'!C46='🔄 Rotação Duplas'!D69,IF('🔄 Rotação Duplas'!I69="-",0,'🔄 Rotação Duplas'!I69),0))+IF('⚙️ Configuração'!C46='🔄 Rotação Duplas'!C70,IF('🔄 Rotação Duplas'!H70="-",0,'🔄 Rotação Duplas'!H70),IF('⚙️ Configuração'!C46='🔄 Rotação Duplas'!D70,IF('🔄 Rotação Duplas'!I70="-",0,'🔄 Rotação Duplas'!I70),0))+IF('⚙️ Configuração'!C46='🔄 Rotação Duplas'!C71,IF('🔄 Rotação Duplas'!H71="-",0,'🔄 Rotação Duplas'!H71),IF('⚙️ Configuração'!C46='🔄 Rotação Duplas'!D71,IF('🔄 Rotação Duplas'!I71="-",0,'🔄 Rotação Duplas'!I71),0))+IF('⚙️ Configuração'!C46='🔄 Rotação Duplas'!C72,IF('🔄 Rotação Duplas'!H72="-",0,'🔄 Rotação Duplas'!H72),IF('⚙️ Configuração'!C46='🔄 Rotação Duplas'!D72,IF('🔄 Rotação Duplas'!I72="-",0,'🔄 Rotação Duplas'!I72),0))+IF('⚙️ Configuração'!C46='🔄 Rotação Duplas'!C73,IF('🔄 Rotação Duplas'!H73="-",0,'🔄 Rotação Duplas'!H73),IF('⚙️ Configuração'!C46='🔄 Rotação Duplas'!D73,IF('🔄 Rotação Duplas'!I73="-",0,'🔄 Rotação Duplas'!I73),0))</f>
        <v>0</v>
      </c>
      <c r="H22" s="63">
        <f>IF('⚙️ Configuração'!C46='🔄 Rotação Duplas'!C78,IF('🔄 Rotação Duplas'!H78="-",0,'🔄 Rotação Duplas'!H78),IF('⚙️ Configuração'!C46='🔄 Rotação Duplas'!D78,IF('🔄 Rotação Duplas'!I78="-",0,'🔄 Rotação Duplas'!I78),0))+IF('⚙️ Configuração'!C46='🔄 Rotação Duplas'!C79,IF('🔄 Rotação Duplas'!H79="-",0,'🔄 Rotação Duplas'!H79),IF('⚙️ Configuração'!C46='🔄 Rotação Duplas'!D79,IF('🔄 Rotação Duplas'!I79="-",0,'🔄 Rotação Duplas'!I79),0))+IF('⚙️ Configuração'!C46='🔄 Rotação Duplas'!C80,IF('🔄 Rotação Duplas'!H80="-",0,'🔄 Rotação Duplas'!H80),IF('⚙️ Configuração'!C46='🔄 Rotação Duplas'!D80,IF('🔄 Rotação Duplas'!I80="-",0,'🔄 Rotação Duplas'!I80),0))+IF('⚙️ Configuração'!C46='🔄 Rotação Duplas'!C81,IF('🔄 Rotação Duplas'!H81="-",0,'🔄 Rotação Duplas'!H81),IF('⚙️ Configuração'!C46='🔄 Rotação Duplas'!D81,IF('🔄 Rotação Duplas'!I81="-",0,'🔄 Rotação Duplas'!I81),0))+IF('⚙️ Configuração'!C46='🔄 Rotação Duplas'!C82,IF('🔄 Rotação Duplas'!H82="-",0,'🔄 Rotação Duplas'!H82),IF('⚙️ Configuração'!C46='🔄 Rotação Duplas'!D82,IF('🔄 Rotação Duplas'!I82="-",0,'🔄 Rotação Duplas'!I82),0))+IF('⚙️ Configuração'!C46='🔄 Rotação Duplas'!C83,IF('🔄 Rotação Duplas'!H83="-",0,'🔄 Rotação Duplas'!H83),IF('⚙️ Configuração'!C46='🔄 Rotação Duplas'!D83,IF('🔄 Rotação Duplas'!I83="-",0,'🔄 Rotação Duplas'!I83),0))+IF('⚙️ Configuração'!C46='🔄 Rotação Duplas'!C84,IF('🔄 Rotação Duplas'!H84="-",0,'🔄 Rotação Duplas'!H84),IF('⚙️ Configuração'!C46='🔄 Rotação Duplas'!D84,IF('🔄 Rotação Duplas'!I84="-",0,'🔄 Rotação Duplas'!I84),0))+IF('⚙️ Configuração'!C46='🔄 Rotação Duplas'!C85,IF('🔄 Rotação Duplas'!H85="-",0,'🔄 Rotação Duplas'!H85),IF('⚙️ Configuração'!C46='🔄 Rotação Duplas'!D85,IF('🔄 Rotação Duplas'!I85="-",0,'🔄 Rotação Duplas'!I85),0))+IF('⚙️ Configuração'!C46='🔄 Rotação Duplas'!C86,IF('🔄 Rotação Duplas'!H86="-",0,'🔄 Rotação Duplas'!H86),IF('⚙️ Configuração'!C46='🔄 Rotação Duplas'!D86,IF('🔄 Rotação Duplas'!I86="-",0,'🔄 Rotação Duplas'!I86),0))+IF('⚙️ Configuração'!C46='🔄 Rotação Duplas'!C87,IF('🔄 Rotação Duplas'!H87="-",0,'🔄 Rotação Duplas'!H87),IF('⚙️ Configuração'!C46='🔄 Rotação Duplas'!D87,IF('🔄 Rotação Duplas'!I87="-",0,'🔄 Rotação Duplas'!I87),0))</f>
        <v>0</v>
      </c>
      <c r="I22" s="63">
        <f>IF('⚙️ Configuração'!C46='🔄 Rotação Duplas'!C92,IF('🔄 Rotação Duplas'!H92="-",0,'🔄 Rotação Duplas'!H92),IF('⚙️ Configuração'!C46='🔄 Rotação Duplas'!D92,IF('🔄 Rotação Duplas'!I92="-",0,'🔄 Rotação Duplas'!I92),0))+IF('⚙️ Configuração'!C46='🔄 Rotação Duplas'!C93,IF('🔄 Rotação Duplas'!H93="-",0,'🔄 Rotação Duplas'!H93),IF('⚙️ Configuração'!C46='🔄 Rotação Duplas'!D93,IF('🔄 Rotação Duplas'!I93="-",0,'🔄 Rotação Duplas'!I93),0))+IF('⚙️ Configuração'!C46='🔄 Rotação Duplas'!C94,IF('🔄 Rotação Duplas'!H94="-",0,'🔄 Rotação Duplas'!H94),IF('⚙️ Configuração'!C46='🔄 Rotação Duplas'!D94,IF('🔄 Rotação Duplas'!I94="-",0,'🔄 Rotação Duplas'!I94),0))+IF('⚙️ Configuração'!C46='🔄 Rotação Duplas'!C95,IF('🔄 Rotação Duplas'!H95="-",0,'🔄 Rotação Duplas'!H95),IF('⚙️ Configuração'!C46='🔄 Rotação Duplas'!D95,IF('🔄 Rotação Duplas'!I95="-",0,'🔄 Rotação Duplas'!I95),0))+IF('⚙️ Configuração'!C46='🔄 Rotação Duplas'!C96,IF('🔄 Rotação Duplas'!H96="-",0,'🔄 Rotação Duplas'!H96),IF('⚙️ Configuração'!C46='🔄 Rotação Duplas'!D96,IF('🔄 Rotação Duplas'!I96="-",0,'🔄 Rotação Duplas'!I96),0))+IF('⚙️ Configuração'!C46='🔄 Rotação Duplas'!C97,IF('🔄 Rotação Duplas'!H97="-",0,'🔄 Rotação Duplas'!H97),IF('⚙️ Configuração'!C46='🔄 Rotação Duplas'!D97,IF('🔄 Rotação Duplas'!I97="-",0,'🔄 Rotação Duplas'!I97),0))+IF('⚙️ Configuração'!C46='🔄 Rotação Duplas'!C98,IF('🔄 Rotação Duplas'!H98="-",0,'🔄 Rotação Duplas'!H98),IF('⚙️ Configuração'!C46='🔄 Rotação Duplas'!D98,IF('🔄 Rotação Duplas'!I98="-",0,'🔄 Rotação Duplas'!I98),0))+IF('⚙️ Configuração'!C46='🔄 Rotação Duplas'!C99,IF('🔄 Rotação Duplas'!H99="-",0,'🔄 Rotação Duplas'!H99),IF('⚙️ Configuração'!C46='🔄 Rotação Duplas'!D99,IF('🔄 Rotação Duplas'!I99="-",0,'🔄 Rotação Duplas'!I99),0))+IF('⚙️ Configuração'!C46='🔄 Rotação Duplas'!C100,IF('🔄 Rotação Duplas'!H100="-",0,'🔄 Rotação Duplas'!H100),IF('⚙️ Configuração'!C46='🔄 Rotação Duplas'!D100,IF('🔄 Rotação Duplas'!I100="-",0,'🔄 Rotação Duplas'!I100),0))+IF('⚙️ Configuração'!C46='🔄 Rotação Duplas'!C101,IF('🔄 Rotação Duplas'!H101="-",0,'🔄 Rotação Duplas'!H101),IF('⚙️ Configuração'!C46='🔄 Rotação Duplas'!D101,IF('🔄 Rotação Duplas'!I101="-",0,'🔄 Rotação Duplas'!I101),0))</f>
        <v>0</v>
      </c>
      <c r="J22" s="63">
        <f>IF('⚙️ Configuração'!C46='🔄 Rotação Duplas'!C106,IF('🔄 Rotação Duplas'!H106="-",0,'🔄 Rotação Duplas'!H106),IF('⚙️ Configuração'!C46='🔄 Rotação Duplas'!D106,IF('🔄 Rotação Duplas'!I106="-",0,'🔄 Rotação Duplas'!I106),0))+IF('⚙️ Configuração'!C46='🔄 Rotação Duplas'!C107,IF('🔄 Rotação Duplas'!H107="-",0,'🔄 Rotação Duplas'!H107),IF('⚙️ Configuração'!C46='🔄 Rotação Duplas'!D107,IF('🔄 Rotação Duplas'!I107="-",0,'🔄 Rotação Duplas'!I107),0))+IF('⚙️ Configuração'!C46='🔄 Rotação Duplas'!C108,IF('🔄 Rotação Duplas'!H108="-",0,'🔄 Rotação Duplas'!H108),IF('⚙️ Configuração'!C46='🔄 Rotação Duplas'!D108,IF('🔄 Rotação Duplas'!I108="-",0,'🔄 Rotação Duplas'!I108),0))+IF('⚙️ Configuração'!C46='🔄 Rotação Duplas'!C109,IF('🔄 Rotação Duplas'!H109="-",0,'🔄 Rotação Duplas'!H109),IF('⚙️ Configuração'!C46='🔄 Rotação Duplas'!D109,IF('🔄 Rotação Duplas'!I109="-",0,'🔄 Rotação Duplas'!I109),0))+IF('⚙️ Configuração'!C46='🔄 Rotação Duplas'!C110,IF('🔄 Rotação Duplas'!H110="-",0,'🔄 Rotação Duplas'!H110),IF('⚙️ Configuração'!C46='🔄 Rotação Duplas'!D110,IF('🔄 Rotação Duplas'!I110="-",0,'🔄 Rotação Duplas'!I110),0))+IF('⚙️ Configuração'!C46='🔄 Rotação Duplas'!C111,IF('🔄 Rotação Duplas'!H111="-",0,'🔄 Rotação Duplas'!H111),IF('⚙️ Configuração'!C46='🔄 Rotação Duplas'!D111,IF('🔄 Rotação Duplas'!I111="-",0,'🔄 Rotação Duplas'!I111),0))+IF('⚙️ Configuração'!C46='🔄 Rotação Duplas'!C112,IF('🔄 Rotação Duplas'!H112="-",0,'🔄 Rotação Duplas'!H112),IF('⚙️ Configuração'!C46='🔄 Rotação Duplas'!D112,IF('🔄 Rotação Duplas'!I112="-",0,'🔄 Rotação Duplas'!I112),0))+IF('⚙️ Configuração'!C46='🔄 Rotação Duplas'!C113,IF('🔄 Rotação Duplas'!H113="-",0,'🔄 Rotação Duplas'!H113),IF('⚙️ Configuração'!C46='🔄 Rotação Duplas'!D113,IF('🔄 Rotação Duplas'!I113="-",0,'🔄 Rotação Duplas'!I113),0))+IF('⚙️ Configuração'!C46='🔄 Rotação Duplas'!C114,IF('🔄 Rotação Duplas'!H114="-",0,'🔄 Rotação Duplas'!H114),IF('⚙️ Configuração'!C46='🔄 Rotação Duplas'!D114,IF('🔄 Rotação Duplas'!I114="-",0,'🔄 Rotação Duplas'!I114),0))+IF('⚙️ Configuração'!C46='🔄 Rotação Duplas'!C115,IF('🔄 Rotação Duplas'!H115="-",0,'🔄 Rotação Duplas'!H115),IF('⚙️ Configuração'!C46='🔄 Rotação Duplas'!D115,IF('🔄 Rotação Duplas'!I115="-",0,'🔄 Rotação Duplas'!I115),0))</f>
        <v>0</v>
      </c>
      <c r="K22" s="64">
        <f t="shared" si="0"/>
        <v>55</v>
      </c>
      <c r="L22" s="65">
        <f>SUMIF('📋 Registo Diário'!$D$7:$D$646,'⚙️ Configuração'!C46,'📋 Registo Diário'!$Q$7:$Q$646)</f>
        <v>63</v>
      </c>
      <c r="M22" s="66">
        <f t="shared" si="1"/>
        <v>118</v>
      </c>
      <c r="N22" s="59"/>
      <c r="O22" s="67"/>
      <c r="P22" s="68"/>
    </row>
    <row r="23" spans="1:16" ht="21.75" customHeight="1" x14ac:dyDescent="0.2">
      <c r="A23" s="59"/>
      <c r="B23" s="4" t="str">
        <f>'⚙️ Configuração'!C47</f>
        <v>-</v>
      </c>
      <c r="C23" s="63">
        <f>IF('⚙️ Configuração'!C47='🔄 Rotação Duplas'!C8,IF('🔄 Rotação Duplas'!H8="-",0,'🔄 Rotação Duplas'!H8),IF('⚙️ Configuração'!C47='🔄 Rotação Duplas'!D8,IF('🔄 Rotação Duplas'!I8="-",0,'🔄 Rotação Duplas'!I8),0))+IF('⚙️ Configuração'!C47='🔄 Rotação Duplas'!C9,IF('🔄 Rotação Duplas'!H9="-",0,'🔄 Rotação Duplas'!H9),IF('⚙️ Configuração'!C47='🔄 Rotação Duplas'!D9,IF('🔄 Rotação Duplas'!I9="-",0,'🔄 Rotação Duplas'!I9),0))+IF('⚙️ Configuração'!C47='🔄 Rotação Duplas'!C10,IF('🔄 Rotação Duplas'!H10="-",0,'🔄 Rotação Duplas'!H10),IF('⚙️ Configuração'!C47='🔄 Rotação Duplas'!D10,IF('🔄 Rotação Duplas'!I10="-",0,'🔄 Rotação Duplas'!I10),0))+IF('⚙️ Configuração'!C47='🔄 Rotação Duplas'!C11,IF('🔄 Rotação Duplas'!H11="-",0,'🔄 Rotação Duplas'!H11),IF('⚙️ Configuração'!C47='🔄 Rotação Duplas'!D11,IF('🔄 Rotação Duplas'!I11="-",0,'🔄 Rotação Duplas'!I11),0))+IF('⚙️ Configuração'!C47='🔄 Rotação Duplas'!C12,IF('🔄 Rotação Duplas'!H12="-",0,'🔄 Rotação Duplas'!H12),IF('⚙️ Configuração'!C47='🔄 Rotação Duplas'!D12,IF('🔄 Rotação Duplas'!I12="-",0,'🔄 Rotação Duplas'!I12),0))+IF('⚙️ Configuração'!C47='🔄 Rotação Duplas'!C13,IF('🔄 Rotação Duplas'!H13="-",0,'🔄 Rotação Duplas'!H13),IF('⚙️ Configuração'!C47='🔄 Rotação Duplas'!D13,IF('🔄 Rotação Duplas'!I13="-",0,'🔄 Rotação Duplas'!I13),0))+IF('⚙️ Configuração'!C47='🔄 Rotação Duplas'!C14,IF('🔄 Rotação Duplas'!H14="-",0,'🔄 Rotação Duplas'!H14),IF('⚙️ Configuração'!C47='🔄 Rotação Duplas'!D14,IF('🔄 Rotação Duplas'!I14="-",0,'🔄 Rotação Duplas'!I14),0))+IF('⚙️ Configuração'!C47='🔄 Rotação Duplas'!C15,IF('🔄 Rotação Duplas'!H15="-",0,'🔄 Rotação Duplas'!H15),IF('⚙️ Configuração'!C47='🔄 Rotação Duplas'!D15,IF('🔄 Rotação Duplas'!I15="-",0,'🔄 Rotação Duplas'!I15),0))+IF('⚙️ Configuração'!C47='🔄 Rotação Duplas'!C16,IF('🔄 Rotação Duplas'!H16="-",0,'🔄 Rotação Duplas'!H16),IF('⚙️ Configuração'!C47='🔄 Rotação Duplas'!D16,IF('🔄 Rotação Duplas'!I16="-",0,'🔄 Rotação Duplas'!I16),0))+IF('⚙️ Configuração'!C47='🔄 Rotação Duplas'!C17,IF('🔄 Rotação Duplas'!H17="-",0,'🔄 Rotação Duplas'!H17),IF('⚙️ Configuração'!C47='🔄 Rotação Duplas'!D17,IF('🔄 Rotação Duplas'!I17="-",0,'🔄 Rotação Duplas'!I17),0))</f>
        <v>0</v>
      </c>
      <c r="D23" s="63">
        <f>IF('⚙️ Configuração'!C47='🔄 Rotação Duplas'!C22,IF('🔄 Rotação Duplas'!H22="-",0,'🔄 Rotação Duplas'!H22),IF('⚙️ Configuração'!C47='🔄 Rotação Duplas'!D22,IF('🔄 Rotação Duplas'!I22="-",0,'🔄 Rotação Duplas'!I22),0))+IF('⚙️ Configuração'!C47='🔄 Rotação Duplas'!C23,IF('🔄 Rotação Duplas'!H23="-",0,'🔄 Rotação Duplas'!H23),IF('⚙️ Configuração'!C47='🔄 Rotação Duplas'!D23,IF('🔄 Rotação Duplas'!I23="-",0,'🔄 Rotação Duplas'!I23),0))+IF('⚙️ Configuração'!C47='🔄 Rotação Duplas'!C24,IF('🔄 Rotação Duplas'!H24="-",0,'🔄 Rotação Duplas'!H24),IF('⚙️ Configuração'!C47='🔄 Rotação Duplas'!D24,IF('🔄 Rotação Duplas'!I24="-",0,'🔄 Rotação Duplas'!I24),0))+IF('⚙️ Configuração'!C47='🔄 Rotação Duplas'!C25,IF('🔄 Rotação Duplas'!H25="-",0,'🔄 Rotação Duplas'!H25),IF('⚙️ Configuração'!C47='🔄 Rotação Duplas'!D25,IF('🔄 Rotação Duplas'!I25="-",0,'🔄 Rotação Duplas'!I25),0))+IF('⚙️ Configuração'!C47='🔄 Rotação Duplas'!C26,IF('🔄 Rotação Duplas'!H26="-",0,'🔄 Rotação Duplas'!H26),IF('⚙️ Configuração'!C47='🔄 Rotação Duplas'!D26,IF('🔄 Rotação Duplas'!I26="-",0,'🔄 Rotação Duplas'!I26),0))+IF('⚙️ Configuração'!C47='🔄 Rotação Duplas'!C27,IF('🔄 Rotação Duplas'!H27="-",0,'🔄 Rotação Duplas'!H27),IF('⚙️ Configuração'!C47='🔄 Rotação Duplas'!D27,IF('🔄 Rotação Duplas'!I27="-",0,'🔄 Rotação Duplas'!I27),0))+IF('⚙️ Configuração'!C47='🔄 Rotação Duplas'!C28,IF('🔄 Rotação Duplas'!H28="-",0,'🔄 Rotação Duplas'!H28),IF('⚙️ Configuração'!C47='🔄 Rotação Duplas'!D28,IF('🔄 Rotação Duplas'!I28="-",0,'🔄 Rotação Duplas'!I28),0))+IF('⚙️ Configuração'!C47='🔄 Rotação Duplas'!C29,IF('🔄 Rotação Duplas'!H29="-",0,'🔄 Rotação Duplas'!H29),IF('⚙️ Configuração'!C47='🔄 Rotação Duplas'!D29,IF('🔄 Rotação Duplas'!I29="-",0,'🔄 Rotação Duplas'!I29),0))+IF('⚙️ Configuração'!C47='🔄 Rotação Duplas'!C30,IF('🔄 Rotação Duplas'!H30="-",0,'🔄 Rotação Duplas'!H30),IF('⚙️ Configuração'!C47='🔄 Rotação Duplas'!D30,IF('🔄 Rotação Duplas'!I30="-",0,'🔄 Rotação Duplas'!I30),0))+IF('⚙️ Configuração'!C47='🔄 Rotação Duplas'!C31,IF('🔄 Rotação Duplas'!H31="-",0,'🔄 Rotação Duplas'!H31),IF('⚙️ Configuração'!C47='🔄 Rotação Duplas'!D31,IF('🔄 Rotação Duplas'!I31="-",0,'🔄 Rotação Duplas'!I31),0))</f>
        <v>0</v>
      </c>
      <c r="E23" s="63">
        <f>IF('⚙️ Configuração'!C47='🔄 Rotação Duplas'!C36,IF('🔄 Rotação Duplas'!H36="-",0,'🔄 Rotação Duplas'!H36),IF('⚙️ Configuração'!C47='🔄 Rotação Duplas'!D36,IF('🔄 Rotação Duplas'!I36="-",0,'🔄 Rotação Duplas'!I36),0))+IF('⚙️ Configuração'!C47='🔄 Rotação Duplas'!C37,IF('🔄 Rotação Duplas'!H37="-",0,'🔄 Rotação Duplas'!H37),IF('⚙️ Configuração'!C47='🔄 Rotação Duplas'!D37,IF('🔄 Rotação Duplas'!I37="-",0,'🔄 Rotação Duplas'!I37),0))+IF('⚙️ Configuração'!C47='🔄 Rotação Duplas'!C38,IF('🔄 Rotação Duplas'!H38="-",0,'🔄 Rotação Duplas'!H38),IF('⚙️ Configuração'!C47='🔄 Rotação Duplas'!D38,IF('🔄 Rotação Duplas'!I38="-",0,'🔄 Rotação Duplas'!I38),0))+IF('⚙️ Configuração'!C47='🔄 Rotação Duplas'!C39,IF('🔄 Rotação Duplas'!H39="-",0,'🔄 Rotação Duplas'!H39),IF('⚙️ Configuração'!C47='🔄 Rotação Duplas'!D39,IF('🔄 Rotação Duplas'!I39="-",0,'🔄 Rotação Duplas'!I39),0))+IF('⚙️ Configuração'!C47='🔄 Rotação Duplas'!C40,IF('🔄 Rotação Duplas'!H40="-",0,'🔄 Rotação Duplas'!H40),IF('⚙️ Configuração'!C47='🔄 Rotação Duplas'!D40,IF('🔄 Rotação Duplas'!I40="-",0,'🔄 Rotação Duplas'!I40),0))+IF('⚙️ Configuração'!C47='🔄 Rotação Duplas'!C41,IF('🔄 Rotação Duplas'!H41="-",0,'🔄 Rotação Duplas'!H41),IF('⚙️ Configuração'!C47='🔄 Rotação Duplas'!D41,IF('🔄 Rotação Duplas'!I41="-",0,'🔄 Rotação Duplas'!I41),0))+IF('⚙️ Configuração'!C47='🔄 Rotação Duplas'!C42,IF('🔄 Rotação Duplas'!H42="-",0,'🔄 Rotação Duplas'!H42),IF('⚙️ Configuração'!C47='🔄 Rotação Duplas'!D42,IF('🔄 Rotação Duplas'!I42="-",0,'🔄 Rotação Duplas'!I42),0))+IF('⚙️ Configuração'!C47='🔄 Rotação Duplas'!C43,IF('🔄 Rotação Duplas'!H43="-",0,'🔄 Rotação Duplas'!H43),IF('⚙️ Configuração'!C47='🔄 Rotação Duplas'!D43,IF('🔄 Rotação Duplas'!I43="-",0,'🔄 Rotação Duplas'!I43),0))+IF('⚙️ Configuração'!C47='🔄 Rotação Duplas'!C44,IF('🔄 Rotação Duplas'!H44="-",0,'🔄 Rotação Duplas'!H44),IF('⚙️ Configuração'!C47='🔄 Rotação Duplas'!D44,IF('🔄 Rotação Duplas'!I44="-",0,'🔄 Rotação Duplas'!I44),0))+IF('⚙️ Configuração'!C47='🔄 Rotação Duplas'!C45,IF('🔄 Rotação Duplas'!H45="-",0,'🔄 Rotação Duplas'!H45),IF('⚙️ Configuração'!C47='🔄 Rotação Duplas'!D45,IF('🔄 Rotação Duplas'!I45="-",0,'🔄 Rotação Duplas'!I45),0))</f>
        <v>0</v>
      </c>
      <c r="F23" s="63">
        <f>IF('⚙️ Configuração'!C47='🔄 Rotação Duplas'!C50,IF('🔄 Rotação Duplas'!H50="-",0,'🔄 Rotação Duplas'!H50),IF('⚙️ Configuração'!C47='🔄 Rotação Duplas'!D50,IF('🔄 Rotação Duplas'!I50="-",0,'🔄 Rotação Duplas'!I50),0))+IF('⚙️ Configuração'!C47='🔄 Rotação Duplas'!C51,IF('🔄 Rotação Duplas'!H51="-",0,'🔄 Rotação Duplas'!H51),IF('⚙️ Configuração'!C47='🔄 Rotação Duplas'!D51,IF('🔄 Rotação Duplas'!I51="-",0,'🔄 Rotação Duplas'!I51),0))+IF('⚙️ Configuração'!C47='🔄 Rotação Duplas'!C52,IF('🔄 Rotação Duplas'!H52="-",0,'🔄 Rotação Duplas'!H52),IF('⚙️ Configuração'!C47='🔄 Rotação Duplas'!D52,IF('🔄 Rotação Duplas'!I52="-",0,'🔄 Rotação Duplas'!I52),0))+IF('⚙️ Configuração'!C47='🔄 Rotação Duplas'!C53,IF('🔄 Rotação Duplas'!H53="-",0,'🔄 Rotação Duplas'!H53),IF('⚙️ Configuração'!C47='🔄 Rotação Duplas'!D53,IF('🔄 Rotação Duplas'!I53="-",0,'🔄 Rotação Duplas'!I53),0))+IF('⚙️ Configuração'!C47='🔄 Rotação Duplas'!C54,IF('🔄 Rotação Duplas'!H54="-",0,'🔄 Rotação Duplas'!H54),IF('⚙️ Configuração'!C47='🔄 Rotação Duplas'!D54,IF('🔄 Rotação Duplas'!I54="-",0,'🔄 Rotação Duplas'!I54),0))+IF('⚙️ Configuração'!C47='🔄 Rotação Duplas'!C55,IF('🔄 Rotação Duplas'!H55="-",0,'🔄 Rotação Duplas'!H55),IF('⚙️ Configuração'!C47='🔄 Rotação Duplas'!D55,IF('🔄 Rotação Duplas'!I55="-",0,'🔄 Rotação Duplas'!I55),0))+IF('⚙️ Configuração'!C47='🔄 Rotação Duplas'!C56,IF('🔄 Rotação Duplas'!H56="-",0,'🔄 Rotação Duplas'!H56),IF('⚙️ Configuração'!C47='🔄 Rotação Duplas'!D56,IF('🔄 Rotação Duplas'!I56="-",0,'🔄 Rotação Duplas'!I56),0))+IF('⚙️ Configuração'!C47='🔄 Rotação Duplas'!C57,IF('🔄 Rotação Duplas'!H57="-",0,'🔄 Rotação Duplas'!H57),IF('⚙️ Configuração'!C47='🔄 Rotação Duplas'!D57,IF('🔄 Rotação Duplas'!I57="-",0,'🔄 Rotação Duplas'!I57),0))+IF('⚙️ Configuração'!C47='🔄 Rotação Duplas'!C58,IF('🔄 Rotação Duplas'!H58="-",0,'🔄 Rotação Duplas'!H58),IF('⚙️ Configuração'!C47='🔄 Rotação Duplas'!D58,IF('🔄 Rotação Duplas'!I58="-",0,'🔄 Rotação Duplas'!I58),0))+IF('⚙️ Configuração'!C47='🔄 Rotação Duplas'!C59,IF('🔄 Rotação Duplas'!H59="-",0,'🔄 Rotação Duplas'!H59),IF('⚙️ Configuração'!C47='🔄 Rotação Duplas'!D59,IF('🔄 Rotação Duplas'!I59="-",0,'🔄 Rotação Duplas'!I59),0))</f>
        <v>0</v>
      </c>
      <c r="G23" s="63">
        <f>IF('⚙️ Configuração'!C47='🔄 Rotação Duplas'!C64,IF('🔄 Rotação Duplas'!H64="-",0,'🔄 Rotação Duplas'!H64),IF('⚙️ Configuração'!C47='🔄 Rotação Duplas'!D64,IF('🔄 Rotação Duplas'!I64="-",0,'🔄 Rotação Duplas'!I64),0))+IF('⚙️ Configuração'!C47='🔄 Rotação Duplas'!C65,IF('🔄 Rotação Duplas'!H65="-",0,'🔄 Rotação Duplas'!H65),IF('⚙️ Configuração'!C47='🔄 Rotação Duplas'!D65,IF('🔄 Rotação Duplas'!I65="-",0,'🔄 Rotação Duplas'!I65),0))+IF('⚙️ Configuração'!C47='🔄 Rotação Duplas'!C66,IF('🔄 Rotação Duplas'!H66="-",0,'🔄 Rotação Duplas'!H66),IF('⚙️ Configuração'!C47='🔄 Rotação Duplas'!D66,IF('🔄 Rotação Duplas'!I66="-",0,'🔄 Rotação Duplas'!I66),0))+IF('⚙️ Configuração'!C47='🔄 Rotação Duplas'!C67,IF('🔄 Rotação Duplas'!H67="-",0,'🔄 Rotação Duplas'!H67),IF('⚙️ Configuração'!C47='🔄 Rotação Duplas'!D67,IF('🔄 Rotação Duplas'!I67="-",0,'🔄 Rotação Duplas'!I67),0))+IF('⚙️ Configuração'!C47='🔄 Rotação Duplas'!C68,IF('🔄 Rotação Duplas'!H68="-",0,'🔄 Rotação Duplas'!H68),IF('⚙️ Configuração'!C47='🔄 Rotação Duplas'!D68,IF('🔄 Rotação Duplas'!I68="-",0,'🔄 Rotação Duplas'!I68),0))+IF('⚙️ Configuração'!C47='🔄 Rotação Duplas'!C69,IF('🔄 Rotação Duplas'!H69="-",0,'🔄 Rotação Duplas'!H69),IF('⚙️ Configuração'!C47='🔄 Rotação Duplas'!D69,IF('🔄 Rotação Duplas'!I69="-",0,'🔄 Rotação Duplas'!I69),0))+IF('⚙️ Configuração'!C47='🔄 Rotação Duplas'!C70,IF('🔄 Rotação Duplas'!H70="-",0,'🔄 Rotação Duplas'!H70),IF('⚙️ Configuração'!C47='🔄 Rotação Duplas'!D70,IF('🔄 Rotação Duplas'!I70="-",0,'🔄 Rotação Duplas'!I70),0))+IF('⚙️ Configuração'!C47='🔄 Rotação Duplas'!C71,IF('🔄 Rotação Duplas'!H71="-",0,'🔄 Rotação Duplas'!H71),IF('⚙️ Configuração'!C47='🔄 Rotação Duplas'!D71,IF('🔄 Rotação Duplas'!I71="-",0,'🔄 Rotação Duplas'!I71),0))+IF('⚙️ Configuração'!C47='🔄 Rotação Duplas'!C72,IF('🔄 Rotação Duplas'!H72="-",0,'🔄 Rotação Duplas'!H72),IF('⚙️ Configuração'!C47='🔄 Rotação Duplas'!D72,IF('🔄 Rotação Duplas'!I72="-",0,'🔄 Rotação Duplas'!I72),0))+IF('⚙️ Configuração'!C47='🔄 Rotação Duplas'!C73,IF('🔄 Rotação Duplas'!H73="-",0,'🔄 Rotação Duplas'!H73),IF('⚙️ Configuração'!C47='🔄 Rotação Duplas'!D73,IF('🔄 Rotação Duplas'!I73="-",0,'🔄 Rotação Duplas'!I73),0))</f>
        <v>0</v>
      </c>
      <c r="H23" s="63">
        <f>IF('⚙️ Configuração'!C47='🔄 Rotação Duplas'!C78,IF('🔄 Rotação Duplas'!H78="-",0,'🔄 Rotação Duplas'!H78),IF('⚙️ Configuração'!C47='🔄 Rotação Duplas'!D78,IF('🔄 Rotação Duplas'!I78="-",0,'🔄 Rotação Duplas'!I78),0))+IF('⚙️ Configuração'!C47='🔄 Rotação Duplas'!C79,IF('🔄 Rotação Duplas'!H79="-",0,'🔄 Rotação Duplas'!H79),IF('⚙️ Configuração'!C47='🔄 Rotação Duplas'!D79,IF('🔄 Rotação Duplas'!I79="-",0,'🔄 Rotação Duplas'!I79),0))+IF('⚙️ Configuração'!C47='🔄 Rotação Duplas'!C80,IF('🔄 Rotação Duplas'!H80="-",0,'🔄 Rotação Duplas'!H80),IF('⚙️ Configuração'!C47='🔄 Rotação Duplas'!D80,IF('🔄 Rotação Duplas'!I80="-",0,'🔄 Rotação Duplas'!I80),0))+IF('⚙️ Configuração'!C47='🔄 Rotação Duplas'!C81,IF('🔄 Rotação Duplas'!H81="-",0,'🔄 Rotação Duplas'!H81),IF('⚙️ Configuração'!C47='🔄 Rotação Duplas'!D81,IF('🔄 Rotação Duplas'!I81="-",0,'🔄 Rotação Duplas'!I81),0))+IF('⚙️ Configuração'!C47='🔄 Rotação Duplas'!C82,IF('🔄 Rotação Duplas'!H82="-",0,'🔄 Rotação Duplas'!H82),IF('⚙️ Configuração'!C47='🔄 Rotação Duplas'!D82,IF('🔄 Rotação Duplas'!I82="-",0,'🔄 Rotação Duplas'!I82),0))+IF('⚙️ Configuração'!C47='🔄 Rotação Duplas'!C83,IF('🔄 Rotação Duplas'!H83="-",0,'🔄 Rotação Duplas'!H83),IF('⚙️ Configuração'!C47='🔄 Rotação Duplas'!D83,IF('🔄 Rotação Duplas'!I83="-",0,'🔄 Rotação Duplas'!I83),0))+IF('⚙️ Configuração'!C47='🔄 Rotação Duplas'!C84,IF('🔄 Rotação Duplas'!H84="-",0,'🔄 Rotação Duplas'!H84),IF('⚙️ Configuração'!C47='🔄 Rotação Duplas'!D84,IF('🔄 Rotação Duplas'!I84="-",0,'🔄 Rotação Duplas'!I84),0))+IF('⚙️ Configuração'!C47='🔄 Rotação Duplas'!C85,IF('🔄 Rotação Duplas'!H85="-",0,'🔄 Rotação Duplas'!H85),IF('⚙️ Configuração'!C47='🔄 Rotação Duplas'!D85,IF('🔄 Rotação Duplas'!I85="-",0,'🔄 Rotação Duplas'!I85),0))+IF('⚙️ Configuração'!C47='🔄 Rotação Duplas'!C86,IF('🔄 Rotação Duplas'!H86="-",0,'🔄 Rotação Duplas'!H86),IF('⚙️ Configuração'!C47='🔄 Rotação Duplas'!D86,IF('🔄 Rotação Duplas'!I86="-",0,'🔄 Rotação Duplas'!I86),0))+IF('⚙️ Configuração'!C47='🔄 Rotação Duplas'!C87,IF('🔄 Rotação Duplas'!H87="-",0,'🔄 Rotação Duplas'!H87),IF('⚙️ Configuração'!C47='🔄 Rotação Duplas'!D87,IF('🔄 Rotação Duplas'!I87="-",0,'🔄 Rotação Duplas'!I87),0))</f>
        <v>0</v>
      </c>
      <c r="I23" s="63">
        <f>IF('⚙️ Configuração'!C47='🔄 Rotação Duplas'!C92,IF('🔄 Rotação Duplas'!H92="-",0,'🔄 Rotação Duplas'!H92),IF('⚙️ Configuração'!C47='🔄 Rotação Duplas'!D92,IF('🔄 Rotação Duplas'!I92="-",0,'🔄 Rotação Duplas'!I92),0))+IF('⚙️ Configuração'!C47='🔄 Rotação Duplas'!C93,IF('🔄 Rotação Duplas'!H93="-",0,'🔄 Rotação Duplas'!H93),IF('⚙️ Configuração'!C47='🔄 Rotação Duplas'!D93,IF('🔄 Rotação Duplas'!I93="-",0,'🔄 Rotação Duplas'!I93),0))+IF('⚙️ Configuração'!C47='🔄 Rotação Duplas'!C94,IF('🔄 Rotação Duplas'!H94="-",0,'🔄 Rotação Duplas'!H94),IF('⚙️ Configuração'!C47='🔄 Rotação Duplas'!D94,IF('🔄 Rotação Duplas'!I94="-",0,'🔄 Rotação Duplas'!I94),0))+IF('⚙️ Configuração'!C47='🔄 Rotação Duplas'!C95,IF('🔄 Rotação Duplas'!H95="-",0,'🔄 Rotação Duplas'!H95),IF('⚙️ Configuração'!C47='🔄 Rotação Duplas'!D95,IF('🔄 Rotação Duplas'!I95="-",0,'🔄 Rotação Duplas'!I95),0))+IF('⚙️ Configuração'!C47='🔄 Rotação Duplas'!C96,IF('🔄 Rotação Duplas'!H96="-",0,'🔄 Rotação Duplas'!H96),IF('⚙️ Configuração'!C47='🔄 Rotação Duplas'!D96,IF('🔄 Rotação Duplas'!I96="-",0,'🔄 Rotação Duplas'!I96),0))+IF('⚙️ Configuração'!C47='🔄 Rotação Duplas'!C97,IF('🔄 Rotação Duplas'!H97="-",0,'🔄 Rotação Duplas'!H97),IF('⚙️ Configuração'!C47='🔄 Rotação Duplas'!D97,IF('🔄 Rotação Duplas'!I97="-",0,'🔄 Rotação Duplas'!I97),0))+IF('⚙️ Configuração'!C47='🔄 Rotação Duplas'!C98,IF('🔄 Rotação Duplas'!H98="-",0,'🔄 Rotação Duplas'!H98),IF('⚙️ Configuração'!C47='🔄 Rotação Duplas'!D98,IF('🔄 Rotação Duplas'!I98="-",0,'🔄 Rotação Duplas'!I98),0))+IF('⚙️ Configuração'!C47='🔄 Rotação Duplas'!C99,IF('🔄 Rotação Duplas'!H99="-",0,'🔄 Rotação Duplas'!H99),IF('⚙️ Configuração'!C47='🔄 Rotação Duplas'!D99,IF('🔄 Rotação Duplas'!I99="-",0,'🔄 Rotação Duplas'!I99),0))+IF('⚙️ Configuração'!C47='🔄 Rotação Duplas'!C100,IF('🔄 Rotação Duplas'!H100="-",0,'🔄 Rotação Duplas'!H100),IF('⚙️ Configuração'!C47='🔄 Rotação Duplas'!D100,IF('🔄 Rotação Duplas'!I100="-",0,'🔄 Rotação Duplas'!I100),0))+IF('⚙️ Configuração'!C47='🔄 Rotação Duplas'!C101,IF('🔄 Rotação Duplas'!H101="-",0,'🔄 Rotação Duplas'!H101),IF('⚙️ Configuração'!C47='🔄 Rotação Duplas'!D101,IF('🔄 Rotação Duplas'!I101="-",0,'🔄 Rotação Duplas'!I101),0))</f>
        <v>0</v>
      </c>
      <c r="J23" s="63">
        <f>IF('⚙️ Configuração'!C47='🔄 Rotação Duplas'!C106,IF('🔄 Rotação Duplas'!H106="-",0,'🔄 Rotação Duplas'!H106),IF('⚙️ Configuração'!C47='🔄 Rotação Duplas'!D106,IF('🔄 Rotação Duplas'!I106="-",0,'🔄 Rotação Duplas'!I106),0))+IF('⚙️ Configuração'!C47='🔄 Rotação Duplas'!C107,IF('🔄 Rotação Duplas'!H107="-",0,'🔄 Rotação Duplas'!H107),IF('⚙️ Configuração'!C47='🔄 Rotação Duplas'!D107,IF('🔄 Rotação Duplas'!I107="-",0,'🔄 Rotação Duplas'!I107),0))+IF('⚙️ Configuração'!C47='🔄 Rotação Duplas'!C108,IF('🔄 Rotação Duplas'!H108="-",0,'🔄 Rotação Duplas'!H108),IF('⚙️ Configuração'!C47='🔄 Rotação Duplas'!D108,IF('🔄 Rotação Duplas'!I108="-",0,'🔄 Rotação Duplas'!I108),0))+IF('⚙️ Configuração'!C47='🔄 Rotação Duplas'!C109,IF('🔄 Rotação Duplas'!H109="-",0,'🔄 Rotação Duplas'!H109),IF('⚙️ Configuração'!C47='🔄 Rotação Duplas'!D109,IF('🔄 Rotação Duplas'!I109="-",0,'🔄 Rotação Duplas'!I109),0))+IF('⚙️ Configuração'!C47='🔄 Rotação Duplas'!C110,IF('🔄 Rotação Duplas'!H110="-",0,'🔄 Rotação Duplas'!H110),IF('⚙️ Configuração'!C47='🔄 Rotação Duplas'!D110,IF('🔄 Rotação Duplas'!I110="-",0,'🔄 Rotação Duplas'!I110),0))+IF('⚙️ Configuração'!C47='🔄 Rotação Duplas'!C111,IF('🔄 Rotação Duplas'!H111="-",0,'🔄 Rotação Duplas'!H111),IF('⚙️ Configuração'!C47='🔄 Rotação Duplas'!D111,IF('🔄 Rotação Duplas'!I111="-",0,'🔄 Rotação Duplas'!I111),0))+IF('⚙️ Configuração'!C47='🔄 Rotação Duplas'!C112,IF('🔄 Rotação Duplas'!H112="-",0,'🔄 Rotação Duplas'!H112),IF('⚙️ Configuração'!C47='🔄 Rotação Duplas'!D112,IF('🔄 Rotação Duplas'!I112="-",0,'🔄 Rotação Duplas'!I112),0))+IF('⚙️ Configuração'!C47='🔄 Rotação Duplas'!C113,IF('🔄 Rotação Duplas'!H113="-",0,'🔄 Rotação Duplas'!H113),IF('⚙️ Configuração'!C47='🔄 Rotação Duplas'!D113,IF('🔄 Rotação Duplas'!I113="-",0,'🔄 Rotação Duplas'!I113),0))+IF('⚙️ Configuração'!C47='🔄 Rotação Duplas'!C114,IF('🔄 Rotação Duplas'!H114="-",0,'🔄 Rotação Duplas'!H114),IF('⚙️ Configuração'!C47='🔄 Rotação Duplas'!D114,IF('🔄 Rotação Duplas'!I114="-",0,'🔄 Rotação Duplas'!I114),0))+IF('⚙️ Configuração'!C47='🔄 Rotação Duplas'!C115,IF('🔄 Rotação Duplas'!H115="-",0,'🔄 Rotação Duplas'!H115),IF('⚙️ Configuração'!C47='🔄 Rotação Duplas'!D115,IF('🔄 Rotação Duplas'!I115="-",0,'🔄 Rotação Duplas'!I115),0))</f>
        <v>0</v>
      </c>
      <c r="K23" s="64">
        <f t="shared" si="0"/>
        <v>0</v>
      </c>
      <c r="L23" s="65">
        <f>SUMIF('📋 Registo Diário'!$D$7:$D$646,'⚙️ Configuração'!C47,'📋 Registo Diário'!$Q$7:$Q$646)</f>
        <v>0</v>
      </c>
      <c r="M23" s="66">
        <f t="shared" si="1"/>
        <v>0</v>
      </c>
      <c r="N23" s="59"/>
      <c r="O23" s="67"/>
      <c r="P23" s="68"/>
    </row>
    <row r="24" spans="1:16" ht="21.75" customHeight="1" x14ac:dyDescent="0.2">
      <c r="A24" s="59"/>
      <c r="B24" s="13" t="str">
        <f>'⚙️ Configuração'!C48</f>
        <v>-</v>
      </c>
      <c r="C24" s="63">
        <f>IF('⚙️ Configuração'!C48='🔄 Rotação Duplas'!C8,IF('🔄 Rotação Duplas'!H8="-",0,'🔄 Rotação Duplas'!H8),IF('⚙️ Configuração'!C48='🔄 Rotação Duplas'!D8,IF('🔄 Rotação Duplas'!I8="-",0,'🔄 Rotação Duplas'!I8),0))+IF('⚙️ Configuração'!C48='🔄 Rotação Duplas'!C9,IF('🔄 Rotação Duplas'!H9="-",0,'🔄 Rotação Duplas'!H9),IF('⚙️ Configuração'!C48='🔄 Rotação Duplas'!D9,IF('🔄 Rotação Duplas'!I9="-",0,'🔄 Rotação Duplas'!I9),0))+IF('⚙️ Configuração'!C48='🔄 Rotação Duplas'!C10,IF('🔄 Rotação Duplas'!H10="-",0,'🔄 Rotação Duplas'!H10),IF('⚙️ Configuração'!C48='🔄 Rotação Duplas'!D10,IF('🔄 Rotação Duplas'!I10="-",0,'🔄 Rotação Duplas'!I10),0))+IF('⚙️ Configuração'!C48='🔄 Rotação Duplas'!C11,IF('🔄 Rotação Duplas'!H11="-",0,'🔄 Rotação Duplas'!H11),IF('⚙️ Configuração'!C48='🔄 Rotação Duplas'!D11,IF('🔄 Rotação Duplas'!I11="-",0,'🔄 Rotação Duplas'!I11),0))+IF('⚙️ Configuração'!C48='🔄 Rotação Duplas'!C12,IF('🔄 Rotação Duplas'!H12="-",0,'🔄 Rotação Duplas'!H12),IF('⚙️ Configuração'!C48='🔄 Rotação Duplas'!D12,IF('🔄 Rotação Duplas'!I12="-",0,'🔄 Rotação Duplas'!I12),0))+IF('⚙️ Configuração'!C48='🔄 Rotação Duplas'!C13,IF('🔄 Rotação Duplas'!H13="-",0,'🔄 Rotação Duplas'!H13),IF('⚙️ Configuração'!C48='🔄 Rotação Duplas'!D13,IF('🔄 Rotação Duplas'!I13="-",0,'🔄 Rotação Duplas'!I13),0))+IF('⚙️ Configuração'!C48='🔄 Rotação Duplas'!C14,IF('🔄 Rotação Duplas'!H14="-",0,'🔄 Rotação Duplas'!H14),IF('⚙️ Configuração'!C48='🔄 Rotação Duplas'!D14,IF('🔄 Rotação Duplas'!I14="-",0,'🔄 Rotação Duplas'!I14),0))+IF('⚙️ Configuração'!C48='🔄 Rotação Duplas'!C15,IF('🔄 Rotação Duplas'!H15="-",0,'🔄 Rotação Duplas'!H15),IF('⚙️ Configuração'!C48='🔄 Rotação Duplas'!D15,IF('🔄 Rotação Duplas'!I15="-",0,'🔄 Rotação Duplas'!I15),0))+IF('⚙️ Configuração'!C48='🔄 Rotação Duplas'!C16,IF('🔄 Rotação Duplas'!H16="-",0,'🔄 Rotação Duplas'!H16),IF('⚙️ Configuração'!C48='🔄 Rotação Duplas'!D16,IF('🔄 Rotação Duplas'!I16="-",0,'🔄 Rotação Duplas'!I16),0))+IF('⚙️ Configuração'!C48='🔄 Rotação Duplas'!C17,IF('🔄 Rotação Duplas'!H17="-",0,'🔄 Rotação Duplas'!H17),IF('⚙️ Configuração'!C48='🔄 Rotação Duplas'!D17,IF('🔄 Rotação Duplas'!I17="-",0,'🔄 Rotação Duplas'!I17),0))</f>
        <v>0</v>
      </c>
      <c r="D24" s="63">
        <f>IF('⚙️ Configuração'!C48='🔄 Rotação Duplas'!C22,IF('🔄 Rotação Duplas'!H22="-",0,'🔄 Rotação Duplas'!H22),IF('⚙️ Configuração'!C48='🔄 Rotação Duplas'!D22,IF('🔄 Rotação Duplas'!I22="-",0,'🔄 Rotação Duplas'!I22),0))+IF('⚙️ Configuração'!C48='🔄 Rotação Duplas'!C23,IF('🔄 Rotação Duplas'!H23="-",0,'🔄 Rotação Duplas'!H23),IF('⚙️ Configuração'!C48='🔄 Rotação Duplas'!D23,IF('🔄 Rotação Duplas'!I23="-",0,'🔄 Rotação Duplas'!I23),0))+IF('⚙️ Configuração'!C48='🔄 Rotação Duplas'!C24,IF('🔄 Rotação Duplas'!H24="-",0,'🔄 Rotação Duplas'!H24),IF('⚙️ Configuração'!C48='🔄 Rotação Duplas'!D24,IF('🔄 Rotação Duplas'!I24="-",0,'🔄 Rotação Duplas'!I24),0))+IF('⚙️ Configuração'!C48='🔄 Rotação Duplas'!C25,IF('🔄 Rotação Duplas'!H25="-",0,'🔄 Rotação Duplas'!H25),IF('⚙️ Configuração'!C48='🔄 Rotação Duplas'!D25,IF('🔄 Rotação Duplas'!I25="-",0,'🔄 Rotação Duplas'!I25),0))+IF('⚙️ Configuração'!C48='🔄 Rotação Duplas'!C26,IF('🔄 Rotação Duplas'!H26="-",0,'🔄 Rotação Duplas'!H26),IF('⚙️ Configuração'!C48='🔄 Rotação Duplas'!D26,IF('🔄 Rotação Duplas'!I26="-",0,'🔄 Rotação Duplas'!I26),0))+IF('⚙️ Configuração'!C48='🔄 Rotação Duplas'!C27,IF('🔄 Rotação Duplas'!H27="-",0,'🔄 Rotação Duplas'!H27),IF('⚙️ Configuração'!C48='🔄 Rotação Duplas'!D27,IF('🔄 Rotação Duplas'!I27="-",0,'🔄 Rotação Duplas'!I27),0))+IF('⚙️ Configuração'!C48='🔄 Rotação Duplas'!C28,IF('🔄 Rotação Duplas'!H28="-",0,'🔄 Rotação Duplas'!H28),IF('⚙️ Configuração'!C48='🔄 Rotação Duplas'!D28,IF('🔄 Rotação Duplas'!I28="-",0,'🔄 Rotação Duplas'!I28),0))+IF('⚙️ Configuração'!C48='🔄 Rotação Duplas'!C29,IF('🔄 Rotação Duplas'!H29="-",0,'🔄 Rotação Duplas'!H29),IF('⚙️ Configuração'!C48='🔄 Rotação Duplas'!D29,IF('🔄 Rotação Duplas'!I29="-",0,'🔄 Rotação Duplas'!I29),0))+IF('⚙️ Configuração'!C48='🔄 Rotação Duplas'!C30,IF('🔄 Rotação Duplas'!H30="-",0,'🔄 Rotação Duplas'!H30),IF('⚙️ Configuração'!C48='🔄 Rotação Duplas'!D30,IF('🔄 Rotação Duplas'!I30="-",0,'🔄 Rotação Duplas'!I30),0))+IF('⚙️ Configuração'!C48='🔄 Rotação Duplas'!C31,IF('🔄 Rotação Duplas'!H31="-",0,'🔄 Rotação Duplas'!H31),IF('⚙️ Configuração'!C48='🔄 Rotação Duplas'!D31,IF('🔄 Rotação Duplas'!I31="-",0,'🔄 Rotação Duplas'!I31),0))</f>
        <v>0</v>
      </c>
      <c r="E24" s="63">
        <f>IF('⚙️ Configuração'!C48='🔄 Rotação Duplas'!C36,IF('🔄 Rotação Duplas'!H36="-",0,'🔄 Rotação Duplas'!H36),IF('⚙️ Configuração'!C48='🔄 Rotação Duplas'!D36,IF('🔄 Rotação Duplas'!I36="-",0,'🔄 Rotação Duplas'!I36),0))+IF('⚙️ Configuração'!C48='🔄 Rotação Duplas'!C37,IF('🔄 Rotação Duplas'!H37="-",0,'🔄 Rotação Duplas'!H37),IF('⚙️ Configuração'!C48='🔄 Rotação Duplas'!D37,IF('🔄 Rotação Duplas'!I37="-",0,'🔄 Rotação Duplas'!I37),0))+IF('⚙️ Configuração'!C48='🔄 Rotação Duplas'!C38,IF('🔄 Rotação Duplas'!H38="-",0,'🔄 Rotação Duplas'!H38),IF('⚙️ Configuração'!C48='🔄 Rotação Duplas'!D38,IF('🔄 Rotação Duplas'!I38="-",0,'🔄 Rotação Duplas'!I38),0))+IF('⚙️ Configuração'!C48='🔄 Rotação Duplas'!C39,IF('🔄 Rotação Duplas'!H39="-",0,'🔄 Rotação Duplas'!H39),IF('⚙️ Configuração'!C48='🔄 Rotação Duplas'!D39,IF('🔄 Rotação Duplas'!I39="-",0,'🔄 Rotação Duplas'!I39),0))+IF('⚙️ Configuração'!C48='🔄 Rotação Duplas'!C40,IF('🔄 Rotação Duplas'!H40="-",0,'🔄 Rotação Duplas'!H40),IF('⚙️ Configuração'!C48='🔄 Rotação Duplas'!D40,IF('🔄 Rotação Duplas'!I40="-",0,'🔄 Rotação Duplas'!I40),0))+IF('⚙️ Configuração'!C48='🔄 Rotação Duplas'!C41,IF('🔄 Rotação Duplas'!H41="-",0,'🔄 Rotação Duplas'!H41),IF('⚙️ Configuração'!C48='🔄 Rotação Duplas'!D41,IF('🔄 Rotação Duplas'!I41="-",0,'🔄 Rotação Duplas'!I41),0))+IF('⚙️ Configuração'!C48='🔄 Rotação Duplas'!C42,IF('🔄 Rotação Duplas'!H42="-",0,'🔄 Rotação Duplas'!H42),IF('⚙️ Configuração'!C48='🔄 Rotação Duplas'!D42,IF('🔄 Rotação Duplas'!I42="-",0,'🔄 Rotação Duplas'!I42),0))+IF('⚙️ Configuração'!C48='🔄 Rotação Duplas'!C43,IF('🔄 Rotação Duplas'!H43="-",0,'🔄 Rotação Duplas'!H43),IF('⚙️ Configuração'!C48='🔄 Rotação Duplas'!D43,IF('🔄 Rotação Duplas'!I43="-",0,'🔄 Rotação Duplas'!I43),0))+IF('⚙️ Configuração'!C48='🔄 Rotação Duplas'!C44,IF('🔄 Rotação Duplas'!H44="-",0,'🔄 Rotação Duplas'!H44),IF('⚙️ Configuração'!C48='🔄 Rotação Duplas'!D44,IF('🔄 Rotação Duplas'!I44="-",0,'🔄 Rotação Duplas'!I44),0))+IF('⚙️ Configuração'!C48='🔄 Rotação Duplas'!C45,IF('🔄 Rotação Duplas'!H45="-",0,'🔄 Rotação Duplas'!H45),IF('⚙️ Configuração'!C48='🔄 Rotação Duplas'!D45,IF('🔄 Rotação Duplas'!I45="-",0,'🔄 Rotação Duplas'!I45),0))</f>
        <v>0</v>
      </c>
      <c r="F24" s="63">
        <f>IF('⚙️ Configuração'!C48='🔄 Rotação Duplas'!C50,IF('🔄 Rotação Duplas'!H50="-",0,'🔄 Rotação Duplas'!H50),IF('⚙️ Configuração'!C48='🔄 Rotação Duplas'!D50,IF('🔄 Rotação Duplas'!I50="-",0,'🔄 Rotação Duplas'!I50),0))+IF('⚙️ Configuração'!C48='🔄 Rotação Duplas'!C51,IF('🔄 Rotação Duplas'!H51="-",0,'🔄 Rotação Duplas'!H51),IF('⚙️ Configuração'!C48='🔄 Rotação Duplas'!D51,IF('🔄 Rotação Duplas'!I51="-",0,'🔄 Rotação Duplas'!I51),0))+IF('⚙️ Configuração'!C48='🔄 Rotação Duplas'!C52,IF('🔄 Rotação Duplas'!H52="-",0,'🔄 Rotação Duplas'!H52),IF('⚙️ Configuração'!C48='🔄 Rotação Duplas'!D52,IF('🔄 Rotação Duplas'!I52="-",0,'🔄 Rotação Duplas'!I52),0))+IF('⚙️ Configuração'!C48='🔄 Rotação Duplas'!C53,IF('🔄 Rotação Duplas'!H53="-",0,'🔄 Rotação Duplas'!H53),IF('⚙️ Configuração'!C48='🔄 Rotação Duplas'!D53,IF('🔄 Rotação Duplas'!I53="-",0,'🔄 Rotação Duplas'!I53),0))+IF('⚙️ Configuração'!C48='🔄 Rotação Duplas'!C54,IF('🔄 Rotação Duplas'!H54="-",0,'🔄 Rotação Duplas'!H54),IF('⚙️ Configuração'!C48='🔄 Rotação Duplas'!D54,IF('🔄 Rotação Duplas'!I54="-",0,'🔄 Rotação Duplas'!I54),0))+IF('⚙️ Configuração'!C48='🔄 Rotação Duplas'!C55,IF('🔄 Rotação Duplas'!H55="-",0,'🔄 Rotação Duplas'!H55),IF('⚙️ Configuração'!C48='🔄 Rotação Duplas'!D55,IF('🔄 Rotação Duplas'!I55="-",0,'🔄 Rotação Duplas'!I55),0))+IF('⚙️ Configuração'!C48='🔄 Rotação Duplas'!C56,IF('🔄 Rotação Duplas'!H56="-",0,'🔄 Rotação Duplas'!H56),IF('⚙️ Configuração'!C48='🔄 Rotação Duplas'!D56,IF('🔄 Rotação Duplas'!I56="-",0,'🔄 Rotação Duplas'!I56),0))+IF('⚙️ Configuração'!C48='🔄 Rotação Duplas'!C57,IF('🔄 Rotação Duplas'!H57="-",0,'🔄 Rotação Duplas'!H57),IF('⚙️ Configuração'!C48='🔄 Rotação Duplas'!D57,IF('🔄 Rotação Duplas'!I57="-",0,'🔄 Rotação Duplas'!I57),0))+IF('⚙️ Configuração'!C48='🔄 Rotação Duplas'!C58,IF('🔄 Rotação Duplas'!H58="-",0,'🔄 Rotação Duplas'!H58),IF('⚙️ Configuração'!C48='🔄 Rotação Duplas'!D58,IF('🔄 Rotação Duplas'!I58="-",0,'🔄 Rotação Duplas'!I58),0))+IF('⚙️ Configuração'!C48='🔄 Rotação Duplas'!C59,IF('🔄 Rotação Duplas'!H59="-",0,'🔄 Rotação Duplas'!H59),IF('⚙️ Configuração'!C48='🔄 Rotação Duplas'!D59,IF('🔄 Rotação Duplas'!I59="-",0,'🔄 Rotação Duplas'!I59),0))</f>
        <v>0</v>
      </c>
      <c r="G24" s="63">
        <f>IF('⚙️ Configuração'!C48='🔄 Rotação Duplas'!C64,IF('🔄 Rotação Duplas'!H64="-",0,'🔄 Rotação Duplas'!H64),IF('⚙️ Configuração'!C48='🔄 Rotação Duplas'!D64,IF('🔄 Rotação Duplas'!I64="-",0,'🔄 Rotação Duplas'!I64),0))+IF('⚙️ Configuração'!C48='🔄 Rotação Duplas'!C65,IF('🔄 Rotação Duplas'!H65="-",0,'🔄 Rotação Duplas'!H65),IF('⚙️ Configuração'!C48='🔄 Rotação Duplas'!D65,IF('🔄 Rotação Duplas'!I65="-",0,'🔄 Rotação Duplas'!I65),0))+IF('⚙️ Configuração'!C48='🔄 Rotação Duplas'!C66,IF('🔄 Rotação Duplas'!H66="-",0,'🔄 Rotação Duplas'!H66),IF('⚙️ Configuração'!C48='🔄 Rotação Duplas'!D66,IF('🔄 Rotação Duplas'!I66="-",0,'🔄 Rotação Duplas'!I66),0))+IF('⚙️ Configuração'!C48='🔄 Rotação Duplas'!C67,IF('🔄 Rotação Duplas'!H67="-",0,'🔄 Rotação Duplas'!H67),IF('⚙️ Configuração'!C48='🔄 Rotação Duplas'!D67,IF('🔄 Rotação Duplas'!I67="-",0,'🔄 Rotação Duplas'!I67),0))+IF('⚙️ Configuração'!C48='🔄 Rotação Duplas'!C68,IF('🔄 Rotação Duplas'!H68="-",0,'🔄 Rotação Duplas'!H68),IF('⚙️ Configuração'!C48='🔄 Rotação Duplas'!D68,IF('🔄 Rotação Duplas'!I68="-",0,'🔄 Rotação Duplas'!I68),0))+IF('⚙️ Configuração'!C48='🔄 Rotação Duplas'!C69,IF('🔄 Rotação Duplas'!H69="-",0,'🔄 Rotação Duplas'!H69),IF('⚙️ Configuração'!C48='🔄 Rotação Duplas'!D69,IF('🔄 Rotação Duplas'!I69="-",0,'🔄 Rotação Duplas'!I69),0))+IF('⚙️ Configuração'!C48='🔄 Rotação Duplas'!C70,IF('🔄 Rotação Duplas'!H70="-",0,'🔄 Rotação Duplas'!H70),IF('⚙️ Configuração'!C48='🔄 Rotação Duplas'!D70,IF('🔄 Rotação Duplas'!I70="-",0,'🔄 Rotação Duplas'!I70),0))+IF('⚙️ Configuração'!C48='🔄 Rotação Duplas'!C71,IF('🔄 Rotação Duplas'!H71="-",0,'🔄 Rotação Duplas'!H71),IF('⚙️ Configuração'!C48='🔄 Rotação Duplas'!D71,IF('🔄 Rotação Duplas'!I71="-",0,'🔄 Rotação Duplas'!I71),0))+IF('⚙️ Configuração'!C48='🔄 Rotação Duplas'!C72,IF('🔄 Rotação Duplas'!H72="-",0,'🔄 Rotação Duplas'!H72),IF('⚙️ Configuração'!C48='🔄 Rotação Duplas'!D72,IF('🔄 Rotação Duplas'!I72="-",0,'🔄 Rotação Duplas'!I72),0))+IF('⚙️ Configuração'!C48='🔄 Rotação Duplas'!C73,IF('🔄 Rotação Duplas'!H73="-",0,'🔄 Rotação Duplas'!H73),IF('⚙️ Configuração'!C48='🔄 Rotação Duplas'!D73,IF('🔄 Rotação Duplas'!I73="-",0,'🔄 Rotação Duplas'!I73),0))</f>
        <v>0</v>
      </c>
      <c r="H24" s="63">
        <f>IF('⚙️ Configuração'!C48='🔄 Rotação Duplas'!C78,IF('🔄 Rotação Duplas'!H78="-",0,'🔄 Rotação Duplas'!H78),IF('⚙️ Configuração'!C48='🔄 Rotação Duplas'!D78,IF('🔄 Rotação Duplas'!I78="-",0,'🔄 Rotação Duplas'!I78),0))+IF('⚙️ Configuração'!C48='🔄 Rotação Duplas'!C79,IF('🔄 Rotação Duplas'!H79="-",0,'🔄 Rotação Duplas'!H79),IF('⚙️ Configuração'!C48='🔄 Rotação Duplas'!D79,IF('🔄 Rotação Duplas'!I79="-",0,'🔄 Rotação Duplas'!I79),0))+IF('⚙️ Configuração'!C48='🔄 Rotação Duplas'!C80,IF('🔄 Rotação Duplas'!H80="-",0,'🔄 Rotação Duplas'!H80),IF('⚙️ Configuração'!C48='🔄 Rotação Duplas'!D80,IF('🔄 Rotação Duplas'!I80="-",0,'🔄 Rotação Duplas'!I80),0))+IF('⚙️ Configuração'!C48='🔄 Rotação Duplas'!C81,IF('🔄 Rotação Duplas'!H81="-",0,'🔄 Rotação Duplas'!H81),IF('⚙️ Configuração'!C48='🔄 Rotação Duplas'!D81,IF('🔄 Rotação Duplas'!I81="-",0,'🔄 Rotação Duplas'!I81),0))+IF('⚙️ Configuração'!C48='🔄 Rotação Duplas'!C82,IF('🔄 Rotação Duplas'!H82="-",0,'🔄 Rotação Duplas'!H82),IF('⚙️ Configuração'!C48='🔄 Rotação Duplas'!D82,IF('🔄 Rotação Duplas'!I82="-",0,'🔄 Rotação Duplas'!I82),0))+IF('⚙️ Configuração'!C48='🔄 Rotação Duplas'!C83,IF('🔄 Rotação Duplas'!H83="-",0,'🔄 Rotação Duplas'!H83),IF('⚙️ Configuração'!C48='🔄 Rotação Duplas'!D83,IF('🔄 Rotação Duplas'!I83="-",0,'🔄 Rotação Duplas'!I83),0))+IF('⚙️ Configuração'!C48='🔄 Rotação Duplas'!C84,IF('🔄 Rotação Duplas'!H84="-",0,'🔄 Rotação Duplas'!H84),IF('⚙️ Configuração'!C48='🔄 Rotação Duplas'!D84,IF('🔄 Rotação Duplas'!I84="-",0,'🔄 Rotação Duplas'!I84),0))+IF('⚙️ Configuração'!C48='🔄 Rotação Duplas'!C85,IF('🔄 Rotação Duplas'!H85="-",0,'🔄 Rotação Duplas'!H85),IF('⚙️ Configuração'!C48='🔄 Rotação Duplas'!D85,IF('🔄 Rotação Duplas'!I85="-",0,'🔄 Rotação Duplas'!I85),0))+IF('⚙️ Configuração'!C48='🔄 Rotação Duplas'!C86,IF('🔄 Rotação Duplas'!H86="-",0,'🔄 Rotação Duplas'!H86),IF('⚙️ Configuração'!C48='🔄 Rotação Duplas'!D86,IF('🔄 Rotação Duplas'!I86="-",0,'🔄 Rotação Duplas'!I86),0))+IF('⚙️ Configuração'!C48='🔄 Rotação Duplas'!C87,IF('🔄 Rotação Duplas'!H87="-",0,'🔄 Rotação Duplas'!H87),IF('⚙️ Configuração'!C48='🔄 Rotação Duplas'!D87,IF('🔄 Rotação Duplas'!I87="-",0,'🔄 Rotação Duplas'!I87),0))</f>
        <v>0</v>
      </c>
      <c r="I24" s="63">
        <f>IF('⚙️ Configuração'!C48='🔄 Rotação Duplas'!C92,IF('🔄 Rotação Duplas'!H92="-",0,'🔄 Rotação Duplas'!H92),IF('⚙️ Configuração'!C48='🔄 Rotação Duplas'!D92,IF('🔄 Rotação Duplas'!I92="-",0,'🔄 Rotação Duplas'!I92),0))+IF('⚙️ Configuração'!C48='🔄 Rotação Duplas'!C93,IF('🔄 Rotação Duplas'!H93="-",0,'🔄 Rotação Duplas'!H93),IF('⚙️ Configuração'!C48='🔄 Rotação Duplas'!D93,IF('🔄 Rotação Duplas'!I93="-",0,'🔄 Rotação Duplas'!I93),0))+IF('⚙️ Configuração'!C48='🔄 Rotação Duplas'!C94,IF('🔄 Rotação Duplas'!H94="-",0,'🔄 Rotação Duplas'!H94),IF('⚙️ Configuração'!C48='🔄 Rotação Duplas'!D94,IF('🔄 Rotação Duplas'!I94="-",0,'🔄 Rotação Duplas'!I94),0))+IF('⚙️ Configuração'!C48='🔄 Rotação Duplas'!C95,IF('🔄 Rotação Duplas'!H95="-",0,'🔄 Rotação Duplas'!H95),IF('⚙️ Configuração'!C48='🔄 Rotação Duplas'!D95,IF('🔄 Rotação Duplas'!I95="-",0,'🔄 Rotação Duplas'!I95),0))+IF('⚙️ Configuração'!C48='🔄 Rotação Duplas'!C96,IF('🔄 Rotação Duplas'!H96="-",0,'🔄 Rotação Duplas'!H96),IF('⚙️ Configuração'!C48='🔄 Rotação Duplas'!D96,IF('🔄 Rotação Duplas'!I96="-",0,'🔄 Rotação Duplas'!I96),0))+IF('⚙️ Configuração'!C48='🔄 Rotação Duplas'!C97,IF('🔄 Rotação Duplas'!H97="-",0,'🔄 Rotação Duplas'!H97),IF('⚙️ Configuração'!C48='🔄 Rotação Duplas'!D97,IF('🔄 Rotação Duplas'!I97="-",0,'🔄 Rotação Duplas'!I97),0))+IF('⚙️ Configuração'!C48='🔄 Rotação Duplas'!C98,IF('🔄 Rotação Duplas'!H98="-",0,'🔄 Rotação Duplas'!H98),IF('⚙️ Configuração'!C48='🔄 Rotação Duplas'!D98,IF('🔄 Rotação Duplas'!I98="-",0,'🔄 Rotação Duplas'!I98),0))+IF('⚙️ Configuração'!C48='🔄 Rotação Duplas'!C99,IF('🔄 Rotação Duplas'!H99="-",0,'🔄 Rotação Duplas'!H99),IF('⚙️ Configuração'!C48='🔄 Rotação Duplas'!D99,IF('🔄 Rotação Duplas'!I99="-",0,'🔄 Rotação Duplas'!I99),0))+IF('⚙️ Configuração'!C48='🔄 Rotação Duplas'!C100,IF('🔄 Rotação Duplas'!H100="-",0,'🔄 Rotação Duplas'!H100),IF('⚙️ Configuração'!C48='🔄 Rotação Duplas'!D100,IF('🔄 Rotação Duplas'!I100="-",0,'🔄 Rotação Duplas'!I100),0))+IF('⚙️ Configuração'!C48='🔄 Rotação Duplas'!C101,IF('🔄 Rotação Duplas'!H101="-",0,'🔄 Rotação Duplas'!H101),IF('⚙️ Configuração'!C48='🔄 Rotação Duplas'!D101,IF('🔄 Rotação Duplas'!I101="-",0,'🔄 Rotação Duplas'!I101),0))</f>
        <v>0</v>
      </c>
      <c r="J24" s="63">
        <f>IF('⚙️ Configuração'!C48='🔄 Rotação Duplas'!C106,IF('🔄 Rotação Duplas'!H106="-",0,'🔄 Rotação Duplas'!H106),IF('⚙️ Configuração'!C48='🔄 Rotação Duplas'!D106,IF('🔄 Rotação Duplas'!I106="-",0,'🔄 Rotação Duplas'!I106),0))+IF('⚙️ Configuração'!C48='🔄 Rotação Duplas'!C107,IF('🔄 Rotação Duplas'!H107="-",0,'🔄 Rotação Duplas'!H107),IF('⚙️ Configuração'!C48='🔄 Rotação Duplas'!D107,IF('🔄 Rotação Duplas'!I107="-",0,'🔄 Rotação Duplas'!I107),0))+IF('⚙️ Configuração'!C48='🔄 Rotação Duplas'!C108,IF('🔄 Rotação Duplas'!H108="-",0,'🔄 Rotação Duplas'!H108),IF('⚙️ Configuração'!C48='🔄 Rotação Duplas'!D108,IF('🔄 Rotação Duplas'!I108="-",0,'🔄 Rotação Duplas'!I108),0))+IF('⚙️ Configuração'!C48='🔄 Rotação Duplas'!C109,IF('🔄 Rotação Duplas'!H109="-",0,'🔄 Rotação Duplas'!H109),IF('⚙️ Configuração'!C48='🔄 Rotação Duplas'!D109,IF('🔄 Rotação Duplas'!I109="-",0,'🔄 Rotação Duplas'!I109),0))+IF('⚙️ Configuração'!C48='🔄 Rotação Duplas'!C110,IF('🔄 Rotação Duplas'!H110="-",0,'🔄 Rotação Duplas'!H110),IF('⚙️ Configuração'!C48='🔄 Rotação Duplas'!D110,IF('🔄 Rotação Duplas'!I110="-",0,'🔄 Rotação Duplas'!I110),0))+IF('⚙️ Configuração'!C48='🔄 Rotação Duplas'!C111,IF('🔄 Rotação Duplas'!H111="-",0,'🔄 Rotação Duplas'!H111),IF('⚙️ Configuração'!C48='🔄 Rotação Duplas'!D111,IF('🔄 Rotação Duplas'!I111="-",0,'🔄 Rotação Duplas'!I111),0))+IF('⚙️ Configuração'!C48='🔄 Rotação Duplas'!C112,IF('🔄 Rotação Duplas'!H112="-",0,'🔄 Rotação Duplas'!H112),IF('⚙️ Configuração'!C48='🔄 Rotação Duplas'!D112,IF('🔄 Rotação Duplas'!I112="-",0,'🔄 Rotação Duplas'!I112),0))+IF('⚙️ Configuração'!C48='🔄 Rotação Duplas'!C113,IF('🔄 Rotação Duplas'!H113="-",0,'🔄 Rotação Duplas'!H113),IF('⚙️ Configuração'!C48='🔄 Rotação Duplas'!D113,IF('🔄 Rotação Duplas'!I113="-",0,'🔄 Rotação Duplas'!I113),0))+IF('⚙️ Configuração'!C48='🔄 Rotação Duplas'!C114,IF('🔄 Rotação Duplas'!H114="-",0,'🔄 Rotação Duplas'!H114),IF('⚙️ Configuração'!C48='🔄 Rotação Duplas'!D114,IF('🔄 Rotação Duplas'!I114="-",0,'🔄 Rotação Duplas'!I114),0))+IF('⚙️ Configuração'!C48='🔄 Rotação Duplas'!C115,IF('🔄 Rotação Duplas'!H115="-",0,'🔄 Rotação Duplas'!H115),IF('⚙️ Configuração'!C48='🔄 Rotação Duplas'!D115,IF('🔄 Rotação Duplas'!I115="-",0,'🔄 Rotação Duplas'!I115),0))</f>
        <v>0</v>
      </c>
      <c r="K24" s="64">
        <f t="shared" si="0"/>
        <v>0</v>
      </c>
      <c r="L24" s="65">
        <f>SUMIF('📋 Registo Diário'!$D$7:$D$646,'⚙️ Configuração'!C48,'📋 Registo Diário'!$Q$7:$Q$646)</f>
        <v>0</v>
      </c>
      <c r="M24" s="66">
        <f t="shared" si="1"/>
        <v>0</v>
      </c>
      <c r="N24" s="59"/>
      <c r="O24" s="67"/>
      <c r="P24" s="68"/>
    </row>
    <row r="25" spans="1:16" ht="21.75" customHeight="1" x14ac:dyDescent="0.2">
      <c r="A25" s="59"/>
      <c r="B25" s="4" t="str">
        <f>'⚙️ Configuração'!C49</f>
        <v>-</v>
      </c>
      <c r="C25" s="63">
        <f>IF('⚙️ Configuração'!C49='🔄 Rotação Duplas'!C8,IF('🔄 Rotação Duplas'!H8="-",0,'🔄 Rotação Duplas'!H8),IF('⚙️ Configuração'!C49='🔄 Rotação Duplas'!D8,IF('🔄 Rotação Duplas'!I8="-",0,'🔄 Rotação Duplas'!I8),0))+IF('⚙️ Configuração'!C49='🔄 Rotação Duplas'!C9,IF('🔄 Rotação Duplas'!H9="-",0,'🔄 Rotação Duplas'!H9),IF('⚙️ Configuração'!C49='🔄 Rotação Duplas'!D9,IF('🔄 Rotação Duplas'!I9="-",0,'🔄 Rotação Duplas'!I9),0))+IF('⚙️ Configuração'!C49='🔄 Rotação Duplas'!C10,IF('🔄 Rotação Duplas'!H10="-",0,'🔄 Rotação Duplas'!H10),IF('⚙️ Configuração'!C49='🔄 Rotação Duplas'!D10,IF('🔄 Rotação Duplas'!I10="-",0,'🔄 Rotação Duplas'!I10),0))+IF('⚙️ Configuração'!C49='🔄 Rotação Duplas'!C11,IF('🔄 Rotação Duplas'!H11="-",0,'🔄 Rotação Duplas'!H11),IF('⚙️ Configuração'!C49='🔄 Rotação Duplas'!D11,IF('🔄 Rotação Duplas'!I11="-",0,'🔄 Rotação Duplas'!I11),0))+IF('⚙️ Configuração'!C49='🔄 Rotação Duplas'!C12,IF('🔄 Rotação Duplas'!H12="-",0,'🔄 Rotação Duplas'!H12),IF('⚙️ Configuração'!C49='🔄 Rotação Duplas'!D12,IF('🔄 Rotação Duplas'!I12="-",0,'🔄 Rotação Duplas'!I12),0))+IF('⚙️ Configuração'!C49='🔄 Rotação Duplas'!C13,IF('🔄 Rotação Duplas'!H13="-",0,'🔄 Rotação Duplas'!H13),IF('⚙️ Configuração'!C49='🔄 Rotação Duplas'!D13,IF('🔄 Rotação Duplas'!I13="-",0,'🔄 Rotação Duplas'!I13),0))+IF('⚙️ Configuração'!C49='🔄 Rotação Duplas'!C14,IF('🔄 Rotação Duplas'!H14="-",0,'🔄 Rotação Duplas'!H14),IF('⚙️ Configuração'!C49='🔄 Rotação Duplas'!D14,IF('🔄 Rotação Duplas'!I14="-",0,'🔄 Rotação Duplas'!I14),0))+IF('⚙️ Configuração'!C49='🔄 Rotação Duplas'!C15,IF('🔄 Rotação Duplas'!H15="-",0,'🔄 Rotação Duplas'!H15),IF('⚙️ Configuração'!C49='🔄 Rotação Duplas'!D15,IF('🔄 Rotação Duplas'!I15="-",0,'🔄 Rotação Duplas'!I15),0))+IF('⚙️ Configuração'!C49='🔄 Rotação Duplas'!C16,IF('🔄 Rotação Duplas'!H16="-",0,'🔄 Rotação Duplas'!H16),IF('⚙️ Configuração'!C49='🔄 Rotação Duplas'!D16,IF('🔄 Rotação Duplas'!I16="-",0,'🔄 Rotação Duplas'!I16),0))+IF('⚙️ Configuração'!C49='🔄 Rotação Duplas'!C17,IF('🔄 Rotação Duplas'!H17="-",0,'🔄 Rotação Duplas'!H17),IF('⚙️ Configuração'!C49='🔄 Rotação Duplas'!D17,IF('🔄 Rotação Duplas'!I17="-",0,'🔄 Rotação Duplas'!I17),0))</f>
        <v>0</v>
      </c>
      <c r="D25" s="63">
        <f>IF('⚙️ Configuração'!C49='🔄 Rotação Duplas'!C22,IF('🔄 Rotação Duplas'!H22="-",0,'🔄 Rotação Duplas'!H22),IF('⚙️ Configuração'!C49='🔄 Rotação Duplas'!D22,IF('🔄 Rotação Duplas'!I22="-",0,'🔄 Rotação Duplas'!I22),0))+IF('⚙️ Configuração'!C49='🔄 Rotação Duplas'!C23,IF('🔄 Rotação Duplas'!H23="-",0,'🔄 Rotação Duplas'!H23),IF('⚙️ Configuração'!C49='🔄 Rotação Duplas'!D23,IF('🔄 Rotação Duplas'!I23="-",0,'🔄 Rotação Duplas'!I23),0))+IF('⚙️ Configuração'!C49='🔄 Rotação Duplas'!C24,IF('🔄 Rotação Duplas'!H24="-",0,'🔄 Rotação Duplas'!H24),IF('⚙️ Configuração'!C49='🔄 Rotação Duplas'!D24,IF('🔄 Rotação Duplas'!I24="-",0,'🔄 Rotação Duplas'!I24),0))+IF('⚙️ Configuração'!C49='🔄 Rotação Duplas'!C25,IF('🔄 Rotação Duplas'!H25="-",0,'🔄 Rotação Duplas'!H25),IF('⚙️ Configuração'!C49='🔄 Rotação Duplas'!D25,IF('🔄 Rotação Duplas'!I25="-",0,'🔄 Rotação Duplas'!I25),0))+IF('⚙️ Configuração'!C49='🔄 Rotação Duplas'!C26,IF('🔄 Rotação Duplas'!H26="-",0,'🔄 Rotação Duplas'!H26),IF('⚙️ Configuração'!C49='🔄 Rotação Duplas'!D26,IF('🔄 Rotação Duplas'!I26="-",0,'🔄 Rotação Duplas'!I26),0))+IF('⚙️ Configuração'!C49='🔄 Rotação Duplas'!C27,IF('🔄 Rotação Duplas'!H27="-",0,'🔄 Rotação Duplas'!H27),IF('⚙️ Configuração'!C49='🔄 Rotação Duplas'!D27,IF('🔄 Rotação Duplas'!I27="-",0,'🔄 Rotação Duplas'!I27),0))+IF('⚙️ Configuração'!C49='🔄 Rotação Duplas'!C28,IF('🔄 Rotação Duplas'!H28="-",0,'🔄 Rotação Duplas'!H28),IF('⚙️ Configuração'!C49='🔄 Rotação Duplas'!D28,IF('🔄 Rotação Duplas'!I28="-",0,'🔄 Rotação Duplas'!I28),0))+IF('⚙️ Configuração'!C49='🔄 Rotação Duplas'!C29,IF('🔄 Rotação Duplas'!H29="-",0,'🔄 Rotação Duplas'!H29),IF('⚙️ Configuração'!C49='🔄 Rotação Duplas'!D29,IF('🔄 Rotação Duplas'!I29="-",0,'🔄 Rotação Duplas'!I29),0))+IF('⚙️ Configuração'!C49='🔄 Rotação Duplas'!C30,IF('🔄 Rotação Duplas'!H30="-",0,'🔄 Rotação Duplas'!H30),IF('⚙️ Configuração'!C49='🔄 Rotação Duplas'!D30,IF('🔄 Rotação Duplas'!I30="-",0,'🔄 Rotação Duplas'!I30),0))+IF('⚙️ Configuração'!C49='🔄 Rotação Duplas'!C31,IF('🔄 Rotação Duplas'!H31="-",0,'🔄 Rotação Duplas'!H31),IF('⚙️ Configuração'!C49='🔄 Rotação Duplas'!D31,IF('🔄 Rotação Duplas'!I31="-",0,'🔄 Rotação Duplas'!I31),0))</f>
        <v>0</v>
      </c>
      <c r="E25" s="63">
        <f>IF('⚙️ Configuração'!C49='🔄 Rotação Duplas'!C36,IF('🔄 Rotação Duplas'!H36="-",0,'🔄 Rotação Duplas'!H36),IF('⚙️ Configuração'!C49='🔄 Rotação Duplas'!D36,IF('🔄 Rotação Duplas'!I36="-",0,'🔄 Rotação Duplas'!I36),0))+IF('⚙️ Configuração'!C49='🔄 Rotação Duplas'!C37,IF('🔄 Rotação Duplas'!H37="-",0,'🔄 Rotação Duplas'!H37),IF('⚙️ Configuração'!C49='🔄 Rotação Duplas'!D37,IF('🔄 Rotação Duplas'!I37="-",0,'🔄 Rotação Duplas'!I37),0))+IF('⚙️ Configuração'!C49='🔄 Rotação Duplas'!C38,IF('🔄 Rotação Duplas'!H38="-",0,'🔄 Rotação Duplas'!H38),IF('⚙️ Configuração'!C49='🔄 Rotação Duplas'!D38,IF('🔄 Rotação Duplas'!I38="-",0,'🔄 Rotação Duplas'!I38),0))+IF('⚙️ Configuração'!C49='🔄 Rotação Duplas'!C39,IF('🔄 Rotação Duplas'!H39="-",0,'🔄 Rotação Duplas'!H39),IF('⚙️ Configuração'!C49='🔄 Rotação Duplas'!D39,IF('🔄 Rotação Duplas'!I39="-",0,'🔄 Rotação Duplas'!I39),0))+IF('⚙️ Configuração'!C49='🔄 Rotação Duplas'!C40,IF('🔄 Rotação Duplas'!H40="-",0,'🔄 Rotação Duplas'!H40),IF('⚙️ Configuração'!C49='🔄 Rotação Duplas'!D40,IF('🔄 Rotação Duplas'!I40="-",0,'🔄 Rotação Duplas'!I40),0))+IF('⚙️ Configuração'!C49='🔄 Rotação Duplas'!C41,IF('🔄 Rotação Duplas'!H41="-",0,'🔄 Rotação Duplas'!H41),IF('⚙️ Configuração'!C49='🔄 Rotação Duplas'!D41,IF('🔄 Rotação Duplas'!I41="-",0,'🔄 Rotação Duplas'!I41),0))+IF('⚙️ Configuração'!C49='🔄 Rotação Duplas'!C42,IF('🔄 Rotação Duplas'!H42="-",0,'🔄 Rotação Duplas'!H42),IF('⚙️ Configuração'!C49='🔄 Rotação Duplas'!D42,IF('🔄 Rotação Duplas'!I42="-",0,'🔄 Rotação Duplas'!I42),0))+IF('⚙️ Configuração'!C49='🔄 Rotação Duplas'!C43,IF('🔄 Rotação Duplas'!H43="-",0,'🔄 Rotação Duplas'!H43),IF('⚙️ Configuração'!C49='🔄 Rotação Duplas'!D43,IF('🔄 Rotação Duplas'!I43="-",0,'🔄 Rotação Duplas'!I43),0))+IF('⚙️ Configuração'!C49='🔄 Rotação Duplas'!C44,IF('🔄 Rotação Duplas'!H44="-",0,'🔄 Rotação Duplas'!H44),IF('⚙️ Configuração'!C49='🔄 Rotação Duplas'!D44,IF('🔄 Rotação Duplas'!I44="-",0,'🔄 Rotação Duplas'!I44),0))+IF('⚙️ Configuração'!C49='🔄 Rotação Duplas'!C45,IF('🔄 Rotação Duplas'!H45="-",0,'🔄 Rotação Duplas'!H45),IF('⚙️ Configuração'!C49='🔄 Rotação Duplas'!D45,IF('🔄 Rotação Duplas'!I45="-",0,'🔄 Rotação Duplas'!I45),0))</f>
        <v>0</v>
      </c>
      <c r="F25" s="63">
        <f>IF('⚙️ Configuração'!C49='🔄 Rotação Duplas'!C50,IF('🔄 Rotação Duplas'!H50="-",0,'🔄 Rotação Duplas'!H50),IF('⚙️ Configuração'!C49='🔄 Rotação Duplas'!D50,IF('🔄 Rotação Duplas'!I50="-",0,'🔄 Rotação Duplas'!I50),0))+IF('⚙️ Configuração'!C49='🔄 Rotação Duplas'!C51,IF('🔄 Rotação Duplas'!H51="-",0,'🔄 Rotação Duplas'!H51),IF('⚙️ Configuração'!C49='🔄 Rotação Duplas'!D51,IF('🔄 Rotação Duplas'!I51="-",0,'🔄 Rotação Duplas'!I51),0))+IF('⚙️ Configuração'!C49='🔄 Rotação Duplas'!C52,IF('🔄 Rotação Duplas'!H52="-",0,'🔄 Rotação Duplas'!H52),IF('⚙️ Configuração'!C49='🔄 Rotação Duplas'!D52,IF('🔄 Rotação Duplas'!I52="-",0,'🔄 Rotação Duplas'!I52),0))+IF('⚙️ Configuração'!C49='🔄 Rotação Duplas'!C53,IF('🔄 Rotação Duplas'!H53="-",0,'🔄 Rotação Duplas'!H53),IF('⚙️ Configuração'!C49='🔄 Rotação Duplas'!D53,IF('🔄 Rotação Duplas'!I53="-",0,'🔄 Rotação Duplas'!I53),0))+IF('⚙️ Configuração'!C49='🔄 Rotação Duplas'!C54,IF('🔄 Rotação Duplas'!H54="-",0,'🔄 Rotação Duplas'!H54),IF('⚙️ Configuração'!C49='🔄 Rotação Duplas'!D54,IF('🔄 Rotação Duplas'!I54="-",0,'🔄 Rotação Duplas'!I54),0))+IF('⚙️ Configuração'!C49='🔄 Rotação Duplas'!C55,IF('🔄 Rotação Duplas'!H55="-",0,'🔄 Rotação Duplas'!H55),IF('⚙️ Configuração'!C49='🔄 Rotação Duplas'!D55,IF('🔄 Rotação Duplas'!I55="-",0,'🔄 Rotação Duplas'!I55),0))+IF('⚙️ Configuração'!C49='🔄 Rotação Duplas'!C56,IF('🔄 Rotação Duplas'!H56="-",0,'🔄 Rotação Duplas'!H56),IF('⚙️ Configuração'!C49='🔄 Rotação Duplas'!D56,IF('🔄 Rotação Duplas'!I56="-",0,'🔄 Rotação Duplas'!I56),0))+IF('⚙️ Configuração'!C49='🔄 Rotação Duplas'!C57,IF('🔄 Rotação Duplas'!H57="-",0,'🔄 Rotação Duplas'!H57),IF('⚙️ Configuração'!C49='🔄 Rotação Duplas'!D57,IF('🔄 Rotação Duplas'!I57="-",0,'🔄 Rotação Duplas'!I57),0))+IF('⚙️ Configuração'!C49='🔄 Rotação Duplas'!C58,IF('🔄 Rotação Duplas'!H58="-",0,'🔄 Rotação Duplas'!H58),IF('⚙️ Configuração'!C49='🔄 Rotação Duplas'!D58,IF('🔄 Rotação Duplas'!I58="-",0,'🔄 Rotação Duplas'!I58),0))+IF('⚙️ Configuração'!C49='🔄 Rotação Duplas'!C59,IF('🔄 Rotação Duplas'!H59="-",0,'🔄 Rotação Duplas'!H59),IF('⚙️ Configuração'!C49='🔄 Rotação Duplas'!D59,IF('🔄 Rotação Duplas'!I59="-",0,'🔄 Rotação Duplas'!I59),0))</f>
        <v>0</v>
      </c>
      <c r="G25" s="63">
        <f>IF('⚙️ Configuração'!C49='🔄 Rotação Duplas'!C64,IF('🔄 Rotação Duplas'!H64="-",0,'🔄 Rotação Duplas'!H64),IF('⚙️ Configuração'!C49='🔄 Rotação Duplas'!D64,IF('🔄 Rotação Duplas'!I64="-",0,'🔄 Rotação Duplas'!I64),0))+IF('⚙️ Configuração'!C49='🔄 Rotação Duplas'!C65,IF('🔄 Rotação Duplas'!H65="-",0,'🔄 Rotação Duplas'!H65),IF('⚙️ Configuração'!C49='🔄 Rotação Duplas'!D65,IF('🔄 Rotação Duplas'!I65="-",0,'🔄 Rotação Duplas'!I65),0))+IF('⚙️ Configuração'!C49='🔄 Rotação Duplas'!C66,IF('🔄 Rotação Duplas'!H66="-",0,'🔄 Rotação Duplas'!H66),IF('⚙️ Configuração'!C49='🔄 Rotação Duplas'!D66,IF('🔄 Rotação Duplas'!I66="-",0,'🔄 Rotação Duplas'!I66),0))+IF('⚙️ Configuração'!C49='🔄 Rotação Duplas'!C67,IF('🔄 Rotação Duplas'!H67="-",0,'🔄 Rotação Duplas'!H67),IF('⚙️ Configuração'!C49='🔄 Rotação Duplas'!D67,IF('🔄 Rotação Duplas'!I67="-",0,'🔄 Rotação Duplas'!I67),0))+IF('⚙️ Configuração'!C49='🔄 Rotação Duplas'!C68,IF('🔄 Rotação Duplas'!H68="-",0,'🔄 Rotação Duplas'!H68),IF('⚙️ Configuração'!C49='🔄 Rotação Duplas'!D68,IF('🔄 Rotação Duplas'!I68="-",0,'🔄 Rotação Duplas'!I68),0))+IF('⚙️ Configuração'!C49='🔄 Rotação Duplas'!C69,IF('🔄 Rotação Duplas'!H69="-",0,'🔄 Rotação Duplas'!H69),IF('⚙️ Configuração'!C49='🔄 Rotação Duplas'!D69,IF('🔄 Rotação Duplas'!I69="-",0,'🔄 Rotação Duplas'!I69),0))+IF('⚙️ Configuração'!C49='🔄 Rotação Duplas'!C70,IF('🔄 Rotação Duplas'!H70="-",0,'🔄 Rotação Duplas'!H70),IF('⚙️ Configuração'!C49='🔄 Rotação Duplas'!D70,IF('🔄 Rotação Duplas'!I70="-",0,'🔄 Rotação Duplas'!I70),0))+IF('⚙️ Configuração'!C49='🔄 Rotação Duplas'!C71,IF('🔄 Rotação Duplas'!H71="-",0,'🔄 Rotação Duplas'!H71),IF('⚙️ Configuração'!C49='🔄 Rotação Duplas'!D71,IF('🔄 Rotação Duplas'!I71="-",0,'🔄 Rotação Duplas'!I71),0))+IF('⚙️ Configuração'!C49='🔄 Rotação Duplas'!C72,IF('🔄 Rotação Duplas'!H72="-",0,'🔄 Rotação Duplas'!H72),IF('⚙️ Configuração'!C49='🔄 Rotação Duplas'!D72,IF('🔄 Rotação Duplas'!I72="-",0,'🔄 Rotação Duplas'!I72),0))+IF('⚙️ Configuração'!C49='🔄 Rotação Duplas'!C73,IF('🔄 Rotação Duplas'!H73="-",0,'🔄 Rotação Duplas'!H73),IF('⚙️ Configuração'!C49='🔄 Rotação Duplas'!D73,IF('🔄 Rotação Duplas'!I73="-",0,'🔄 Rotação Duplas'!I73),0))</f>
        <v>0</v>
      </c>
      <c r="H25" s="63">
        <f>IF('⚙️ Configuração'!C49='🔄 Rotação Duplas'!C78,IF('🔄 Rotação Duplas'!H78="-",0,'🔄 Rotação Duplas'!H78),IF('⚙️ Configuração'!C49='🔄 Rotação Duplas'!D78,IF('🔄 Rotação Duplas'!I78="-",0,'🔄 Rotação Duplas'!I78),0))+IF('⚙️ Configuração'!C49='🔄 Rotação Duplas'!C79,IF('🔄 Rotação Duplas'!H79="-",0,'🔄 Rotação Duplas'!H79),IF('⚙️ Configuração'!C49='🔄 Rotação Duplas'!D79,IF('🔄 Rotação Duplas'!I79="-",0,'🔄 Rotação Duplas'!I79),0))+IF('⚙️ Configuração'!C49='🔄 Rotação Duplas'!C80,IF('🔄 Rotação Duplas'!H80="-",0,'🔄 Rotação Duplas'!H80),IF('⚙️ Configuração'!C49='🔄 Rotação Duplas'!D80,IF('🔄 Rotação Duplas'!I80="-",0,'🔄 Rotação Duplas'!I80),0))+IF('⚙️ Configuração'!C49='🔄 Rotação Duplas'!C81,IF('🔄 Rotação Duplas'!H81="-",0,'🔄 Rotação Duplas'!H81),IF('⚙️ Configuração'!C49='🔄 Rotação Duplas'!D81,IF('🔄 Rotação Duplas'!I81="-",0,'🔄 Rotação Duplas'!I81),0))+IF('⚙️ Configuração'!C49='🔄 Rotação Duplas'!C82,IF('🔄 Rotação Duplas'!H82="-",0,'🔄 Rotação Duplas'!H82),IF('⚙️ Configuração'!C49='🔄 Rotação Duplas'!D82,IF('🔄 Rotação Duplas'!I82="-",0,'🔄 Rotação Duplas'!I82),0))+IF('⚙️ Configuração'!C49='🔄 Rotação Duplas'!C83,IF('🔄 Rotação Duplas'!H83="-",0,'🔄 Rotação Duplas'!H83),IF('⚙️ Configuração'!C49='🔄 Rotação Duplas'!D83,IF('🔄 Rotação Duplas'!I83="-",0,'🔄 Rotação Duplas'!I83),0))+IF('⚙️ Configuração'!C49='🔄 Rotação Duplas'!C84,IF('🔄 Rotação Duplas'!H84="-",0,'🔄 Rotação Duplas'!H84),IF('⚙️ Configuração'!C49='🔄 Rotação Duplas'!D84,IF('🔄 Rotação Duplas'!I84="-",0,'🔄 Rotação Duplas'!I84),0))+IF('⚙️ Configuração'!C49='🔄 Rotação Duplas'!C85,IF('🔄 Rotação Duplas'!H85="-",0,'🔄 Rotação Duplas'!H85),IF('⚙️ Configuração'!C49='🔄 Rotação Duplas'!D85,IF('🔄 Rotação Duplas'!I85="-",0,'🔄 Rotação Duplas'!I85),0))+IF('⚙️ Configuração'!C49='🔄 Rotação Duplas'!C86,IF('🔄 Rotação Duplas'!H86="-",0,'🔄 Rotação Duplas'!H86),IF('⚙️ Configuração'!C49='🔄 Rotação Duplas'!D86,IF('🔄 Rotação Duplas'!I86="-",0,'🔄 Rotação Duplas'!I86),0))+IF('⚙️ Configuração'!C49='🔄 Rotação Duplas'!C87,IF('🔄 Rotação Duplas'!H87="-",0,'🔄 Rotação Duplas'!H87),IF('⚙️ Configuração'!C49='🔄 Rotação Duplas'!D87,IF('🔄 Rotação Duplas'!I87="-",0,'🔄 Rotação Duplas'!I87),0))</f>
        <v>0</v>
      </c>
      <c r="I25" s="63">
        <f>IF('⚙️ Configuração'!C49='🔄 Rotação Duplas'!C92,IF('🔄 Rotação Duplas'!H92="-",0,'🔄 Rotação Duplas'!H92),IF('⚙️ Configuração'!C49='🔄 Rotação Duplas'!D92,IF('🔄 Rotação Duplas'!I92="-",0,'🔄 Rotação Duplas'!I92),0))+IF('⚙️ Configuração'!C49='🔄 Rotação Duplas'!C93,IF('🔄 Rotação Duplas'!H93="-",0,'🔄 Rotação Duplas'!H93),IF('⚙️ Configuração'!C49='🔄 Rotação Duplas'!D93,IF('🔄 Rotação Duplas'!I93="-",0,'🔄 Rotação Duplas'!I93),0))+IF('⚙️ Configuração'!C49='🔄 Rotação Duplas'!C94,IF('🔄 Rotação Duplas'!H94="-",0,'🔄 Rotação Duplas'!H94),IF('⚙️ Configuração'!C49='🔄 Rotação Duplas'!D94,IF('🔄 Rotação Duplas'!I94="-",0,'🔄 Rotação Duplas'!I94),0))+IF('⚙️ Configuração'!C49='🔄 Rotação Duplas'!C95,IF('🔄 Rotação Duplas'!H95="-",0,'🔄 Rotação Duplas'!H95),IF('⚙️ Configuração'!C49='🔄 Rotação Duplas'!D95,IF('🔄 Rotação Duplas'!I95="-",0,'🔄 Rotação Duplas'!I95),0))+IF('⚙️ Configuração'!C49='🔄 Rotação Duplas'!C96,IF('🔄 Rotação Duplas'!H96="-",0,'🔄 Rotação Duplas'!H96),IF('⚙️ Configuração'!C49='🔄 Rotação Duplas'!D96,IF('🔄 Rotação Duplas'!I96="-",0,'🔄 Rotação Duplas'!I96),0))+IF('⚙️ Configuração'!C49='🔄 Rotação Duplas'!C97,IF('🔄 Rotação Duplas'!H97="-",0,'🔄 Rotação Duplas'!H97),IF('⚙️ Configuração'!C49='🔄 Rotação Duplas'!D97,IF('🔄 Rotação Duplas'!I97="-",0,'🔄 Rotação Duplas'!I97),0))+IF('⚙️ Configuração'!C49='🔄 Rotação Duplas'!C98,IF('🔄 Rotação Duplas'!H98="-",0,'🔄 Rotação Duplas'!H98),IF('⚙️ Configuração'!C49='🔄 Rotação Duplas'!D98,IF('🔄 Rotação Duplas'!I98="-",0,'🔄 Rotação Duplas'!I98),0))+IF('⚙️ Configuração'!C49='🔄 Rotação Duplas'!C99,IF('🔄 Rotação Duplas'!H99="-",0,'🔄 Rotação Duplas'!H99),IF('⚙️ Configuração'!C49='🔄 Rotação Duplas'!D99,IF('🔄 Rotação Duplas'!I99="-",0,'🔄 Rotação Duplas'!I99),0))+IF('⚙️ Configuração'!C49='🔄 Rotação Duplas'!C100,IF('🔄 Rotação Duplas'!H100="-",0,'🔄 Rotação Duplas'!H100),IF('⚙️ Configuração'!C49='🔄 Rotação Duplas'!D100,IF('🔄 Rotação Duplas'!I100="-",0,'🔄 Rotação Duplas'!I100),0))+IF('⚙️ Configuração'!C49='🔄 Rotação Duplas'!C101,IF('🔄 Rotação Duplas'!H101="-",0,'🔄 Rotação Duplas'!H101),IF('⚙️ Configuração'!C49='🔄 Rotação Duplas'!D101,IF('🔄 Rotação Duplas'!I101="-",0,'🔄 Rotação Duplas'!I101),0))</f>
        <v>0</v>
      </c>
      <c r="J25" s="63">
        <f>IF('⚙️ Configuração'!C49='🔄 Rotação Duplas'!C106,IF('🔄 Rotação Duplas'!H106="-",0,'🔄 Rotação Duplas'!H106),IF('⚙️ Configuração'!C49='🔄 Rotação Duplas'!D106,IF('🔄 Rotação Duplas'!I106="-",0,'🔄 Rotação Duplas'!I106),0))+IF('⚙️ Configuração'!C49='🔄 Rotação Duplas'!C107,IF('🔄 Rotação Duplas'!H107="-",0,'🔄 Rotação Duplas'!H107),IF('⚙️ Configuração'!C49='🔄 Rotação Duplas'!D107,IF('🔄 Rotação Duplas'!I107="-",0,'🔄 Rotação Duplas'!I107),0))+IF('⚙️ Configuração'!C49='🔄 Rotação Duplas'!C108,IF('🔄 Rotação Duplas'!H108="-",0,'🔄 Rotação Duplas'!H108),IF('⚙️ Configuração'!C49='🔄 Rotação Duplas'!D108,IF('🔄 Rotação Duplas'!I108="-",0,'🔄 Rotação Duplas'!I108),0))+IF('⚙️ Configuração'!C49='🔄 Rotação Duplas'!C109,IF('🔄 Rotação Duplas'!H109="-",0,'🔄 Rotação Duplas'!H109),IF('⚙️ Configuração'!C49='🔄 Rotação Duplas'!D109,IF('🔄 Rotação Duplas'!I109="-",0,'🔄 Rotação Duplas'!I109),0))+IF('⚙️ Configuração'!C49='🔄 Rotação Duplas'!C110,IF('🔄 Rotação Duplas'!H110="-",0,'🔄 Rotação Duplas'!H110),IF('⚙️ Configuração'!C49='🔄 Rotação Duplas'!D110,IF('🔄 Rotação Duplas'!I110="-",0,'🔄 Rotação Duplas'!I110),0))+IF('⚙️ Configuração'!C49='🔄 Rotação Duplas'!C111,IF('🔄 Rotação Duplas'!H111="-",0,'🔄 Rotação Duplas'!H111),IF('⚙️ Configuração'!C49='🔄 Rotação Duplas'!D111,IF('🔄 Rotação Duplas'!I111="-",0,'🔄 Rotação Duplas'!I111),0))+IF('⚙️ Configuração'!C49='🔄 Rotação Duplas'!C112,IF('🔄 Rotação Duplas'!H112="-",0,'🔄 Rotação Duplas'!H112),IF('⚙️ Configuração'!C49='🔄 Rotação Duplas'!D112,IF('🔄 Rotação Duplas'!I112="-",0,'🔄 Rotação Duplas'!I112),0))+IF('⚙️ Configuração'!C49='🔄 Rotação Duplas'!C113,IF('🔄 Rotação Duplas'!H113="-",0,'🔄 Rotação Duplas'!H113),IF('⚙️ Configuração'!C49='🔄 Rotação Duplas'!D113,IF('🔄 Rotação Duplas'!I113="-",0,'🔄 Rotação Duplas'!I113),0))+IF('⚙️ Configuração'!C49='🔄 Rotação Duplas'!C114,IF('🔄 Rotação Duplas'!H114="-",0,'🔄 Rotação Duplas'!H114),IF('⚙️ Configuração'!C49='🔄 Rotação Duplas'!D114,IF('🔄 Rotação Duplas'!I114="-",0,'🔄 Rotação Duplas'!I114),0))+IF('⚙️ Configuração'!C49='🔄 Rotação Duplas'!C115,IF('🔄 Rotação Duplas'!H115="-",0,'🔄 Rotação Duplas'!H115),IF('⚙️ Configuração'!C49='🔄 Rotação Duplas'!D115,IF('🔄 Rotação Duplas'!I115="-",0,'🔄 Rotação Duplas'!I115),0))</f>
        <v>0</v>
      </c>
      <c r="K25" s="64">
        <f t="shared" si="0"/>
        <v>0</v>
      </c>
      <c r="L25" s="65">
        <f>SUMIF('📋 Registo Diário'!$D$7:$D$646,'⚙️ Configuração'!C49,'📋 Registo Diário'!$Q$7:$Q$646)</f>
        <v>0</v>
      </c>
      <c r="M25" s="66">
        <f t="shared" si="1"/>
        <v>0</v>
      </c>
      <c r="N25" s="59"/>
      <c r="O25" s="67"/>
      <c r="P25" s="68"/>
    </row>
    <row r="26" spans="1:16" ht="24.75" customHeight="1" x14ac:dyDescent="0.2">
      <c r="A26" s="59"/>
      <c r="B26" s="150" t="s">
        <v>210</v>
      </c>
      <c r="C26" s="119"/>
      <c r="D26" s="119"/>
      <c r="E26" s="119"/>
      <c r="F26" s="119"/>
      <c r="G26" s="119"/>
      <c r="H26" s="119"/>
      <c r="I26" s="119"/>
      <c r="J26" s="120"/>
      <c r="K26" s="69">
        <f>SUM(K6:K25)</f>
        <v>724</v>
      </c>
      <c r="L26" s="69">
        <f>SUM(L6:L25)</f>
        <v>793</v>
      </c>
      <c r="M26" s="69">
        <f>SUM(M6:M25)</f>
        <v>1517</v>
      </c>
      <c r="N26" s="59"/>
      <c r="O26" s="59"/>
      <c r="P26" s="59"/>
    </row>
    <row r="27" spans="1:16" ht="15.75" customHeight="1" x14ac:dyDescent="0.2"/>
    <row r="28" spans="1:16" ht="15.75" customHeight="1" x14ac:dyDescent="0.2"/>
    <row r="29" spans="1:16" ht="15.75" customHeight="1" x14ac:dyDescent="0.2"/>
    <row r="30" spans="1:16" ht="15.75" customHeight="1" x14ac:dyDescent="0.2"/>
    <row r="31" spans="1:16" ht="15.75" customHeight="1" x14ac:dyDescent="0.2"/>
    <row r="32" spans="1:16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3">
    <mergeCell ref="B2:M2"/>
    <mergeCell ref="B4:M4"/>
    <mergeCell ref="B26:J2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1000"/>
  <sheetViews>
    <sheetView showGridLines="0" topLeftCell="A31" workbookViewId="0">
      <selection activeCell="L12" sqref="L12"/>
    </sheetView>
  </sheetViews>
  <sheetFormatPr baseColWidth="10" defaultColWidth="14.5" defaultRowHeight="15" customHeight="1" outlineLevelCol="1" x14ac:dyDescent="0.2"/>
  <cols>
    <col min="1" max="1" width="3" customWidth="1"/>
    <col min="2" max="2" width="12" customWidth="1"/>
    <col min="3" max="3" width="14" customWidth="1"/>
    <col min="4" max="4" width="22" customWidth="1"/>
    <col min="5" max="7" width="12" customWidth="1"/>
    <col min="8" max="9" width="13" customWidth="1"/>
    <col min="10" max="10" width="14" customWidth="1"/>
    <col min="11" max="11" width="16" customWidth="1"/>
    <col min="12" max="12" width="14" customWidth="1"/>
    <col min="13" max="13" width="10" customWidth="1"/>
    <col min="14" max="14" width="12" customWidth="1"/>
    <col min="15" max="15" width="13" customWidth="1"/>
    <col min="16" max="16" width="15" customWidth="1"/>
    <col min="17" max="17" width="18" customWidth="1"/>
    <col min="18" max="18" width="8.6640625" customWidth="1"/>
    <col min="19" max="20" width="10" customWidth="1" outlineLevel="1"/>
    <col min="21" max="26" width="8.6640625" customWidth="1"/>
  </cols>
  <sheetData>
    <row r="1" spans="2:20" ht="9.75" customHeight="1" x14ac:dyDescent="0.2"/>
    <row r="2" spans="2:20" ht="45" customHeight="1" x14ac:dyDescent="0.2">
      <c r="B2" s="143" t="s">
        <v>211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3"/>
    </row>
    <row r="3" spans="2:20" ht="9.75" customHeight="1" x14ac:dyDescent="0.2"/>
    <row r="4" spans="2:20" ht="19.5" customHeight="1" x14ac:dyDescent="0.2">
      <c r="B4" s="151" t="s">
        <v>212</v>
      </c>
      <c r="C4" s="132"/>
      <c r="D4" s="133"/>
      <c r="E4" s="152" t="s">
        <v>213</v>
      </c>
      <c r="F4" s="132"/>
      <c r="G4" s="132"/>
      <c r="H4" s="132"/>
      <c r="I4" s="133"/>
      <c r="J4" s="70"/>
      <c r="K4" s="70" t="s">
        <v>214</v>
      </c>
      <c r="L4" s="71"/>
      <c r="M4" s="71"/>
      <c r="N4" s="72"/>
      <c r="O4" s="73"/>
      <c r="P4" s="74" t="s">
        <v>215</v>
      </c>
      <c r="Q4" s="75" t="s">
        <v>216</v>
      </c>
    </row>
    <row r="5" spans="2:20" ht="19.5" customHeight="1" x14ac:dyDescent="0.2">
      <c r="L5" s="40"/>
    </row>
    <row r="6" spans="2:20" ht="34.5" customHeight="1" x14ac:dyDescent="0.2">
      <c r="B6" s="9" t="s">
        <v>43</v>
      </c>
      <c r="C6" s="9" t="s">
        <v>217</v>
      </c>
      <c r="D6" s="9" t="s">
        <v>4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41" t="s">
        <v>224</v>
      </c>
      <c r="L6" s="41" t="s">
        <v>225</v>
      </c>
      <c r="M6" s="45" t="s">
        <v>226</v>
      </c>
      <c r="N6" s="76" t="s">
        <v>227</v>
      </c>
      <c r="O6" s="76" t="s">
        <v>228</v>
      </c>
      <c r="P6" s="60" t="s">
        <v>229</v>
      </c>
      <c r="Q6" s="9" t="s">
        <v>230</v>
      </c>
      <c r="R6" s="40" t="s">
        <v>231</v>
      </c>
      <c r="S6" s="77" t="s">
        <v>271</v>
      </c>
      <c r="T6" s="77" t="s">
        <v>272</v>
      </c>
    </row>
    <row r="7" spans="2:20" ht="18" customHeight="1" x14ac:dyDescent="0.2">
      <c r="B7" s="78" t="s">
        <v>47</v>
      </c>
      <c r="C7" s="79" t="str">
        <f t="shared" ref="C7:C26" si="0">"Desafio 1"</f>
        <v>Desafio 1</v>
      </c>
      <c r="D7" s="80" t="str">
        <f>'⚙️ Configuração'!C30</f>
        <v>Carla Cantante</v>
      </c>
      <c r="E7" s="50">
        <v>15</v>
      </c>
      <c r="F7" s="50">
        <v>2</v>
      </c>
      <c r="G7" s="50"/>
      <c r="H7" s="50"/>
      <c r="I7" s="50"/>
      <c r="J7" s="50"/>
      <c r="K7" s="81">
        <f>(E7*'⚙️ Configuração'!$C$6+F7*'⚙️ Configuração'!$C$7+G7*'⚙️ Configuração'!$C$8+H7*'⚙️ Configuração'!$C$9+I7*'⚙️ Configuração'!$C$10+J7*'⚙️ Configuração'!$C$11)*IF(N7="S",2,1)</f>
        <v>19</v>
      </c>
      <c r="L7" s="90">
        <v>0</v>
      </c>
      <c r="M7" s="82">
        <f>IF(L7="AT1",'⚙️ Configuração'!$C$14,IF(L7="AT2",'⚙️ Configuração'!$C$15,IF(L7="FI",'⚙️ Configuração'!$C$16,IF(L7="FJ",'⚙️ Configuração'!$C$17,0))))</f>
        <v>0</v>
      </c>
      <c r="N7" s="91" t="s">
        <v>167</v>
      </c>
      <c r="O7" s="92"/>
      <c r="P7" s="83">
        <f>IF(O7="1",'⚙️ Configuração'!$C$21,IF(O7="2",'⚙️ Configuração'!$C$22,IF(O7="3",'⚙️ Configuração'!$C$23,IF(O7="Outro",'⚙️ Configuração'!$C$24,0))))</f>
        <v>0</v>
      </c>
      <c r="Q7" s="84">
        <f>K7+M7+P7</f>
        <v>19</v>
      </c>
      <c r="R7" s="40" t="str">
        <f t="shared" ref="R7:R261" si="1">"Semana 1 — ver 🔄"</f>
        <v>Semana 1 — ver 🔄</v>
      </c>
      <c r="S7" t="str" cm="1">
        <f t="array" ref="S7">IF(D7="","",IFERROR(_xlfn.SWITCH(B7,"Semana 1",IFERROR(INDEX('🔄 Rotação Duplas'!$D$8:$D$17,MATCH(D7,'🔄 Rotação Duplas'!$C$8:$C$17,0)),INDEX('🔄 Rotação Duplas'!$C$8:$C$17,MATCH(D7,'🔄 Rotação Duplas'!$D$8:$D$17,0))),"Semana 2",IFERROR(INDEX('🔄 Rotação Duplas'!$D$22:$D$31,MATCH(D7,'🔄 Rotação Duplas'!$C$22:$C$31,0)),INDEX('🔄 Rotação Duplas'!$C$22:$C$31,MATCH(D7,'🔄 Rotação Duplas'!$D$22:$D$31,0))),"Semana 3",IFERROR(INDEX('🔄 Rotação Duplas'!$D$36:$D$45,MATCH(D7,'🔄 Rotação Duplas'!$C$36:$C$45,0)),INDEX('🔄 Rotação Duplas'!$C$36:$C$45,MATCH(D7,'🔄 Rotação Duplas'!$D$36:$D$45,0))),"Semana 4",IFERROR(INDEX('🔄 Rotação Duplas'!$D$50:$D$59,MATCH(D7,'🔄 Rotação Duplas'!$C$50:$C$59,0)),INDEX('🔄 Rotação Duplas'!$C$50:$C$59,MATCH(D7,'🔄 Rotação Duplas'!$D$50:$D$59,0))),"Semana 5",IFERROR(INDEX('🔄 Rotação Duplas'!$D$64:$D$73,MATCH(D7,'🔄 Rotação Duplas'!$C$64:$C$73,0)),INDEX('🔄 Rotação Duplas'!$C$64:$C$73,MATCH(D7,'🔄 Rotação Duplas'!$D$64:$D$73,0))),"Semana 6",IFERROR(INDEX('🔄 Rotação Duplas'!$D$78:$D$87,MATCH(D7,'🔄 Rotação Duplas'!$C$78:$C$87,0)),INDEX('🔄 Rotação Duplas'!$C$78:$C$87,MATCH(D7,'🔄 Rotação Duplas'!$D$78:$D$87,0))),"Semana 7",IFERROR(INDEX('🔄 Rotação Duplas'!$D$92:$D$101,MATCH(D7,'🔄 Rotação Duplas'!$C$92:$C$101,0)),INDEX('🔄 Rotação Duplas'!$C$92:$C$101,MATCH(D7,'🔄 Rotação Duplas'!$D$92:$D$101,0))),"Semana 8",IFERROR(INDEX('🔄 Rotação Duplas'!$D$106:$D$115,MATCH(D7,'🔄 Rotação Duplas'!$C$106:$C$115,0)),INDEX('🔄 Rotação Duplas'!$C$106:$C$115,MATCH(D7,'🔄 Rotação Duplas'!$D$106:$D$115,0)))),""))</f>
        <v>Denise Filipe</v>
      </c>
      <c r="T7">
        <f>IF(OR(D7="",D7="-",S7="",S7="-"),0,COUNTIFS($B$7:$B$646,B7,$D$7:$D$646,D7,$N$7:$N$646,"S")+COUNTIFS($B$7:$B$646,B7,$D$7:$D$646,S7,$N$7:$N$646,"S"))</f>
        <v>0</v>
      </c>
    </row>
    <row r="8" spans="2:20" ht="18" customHeight="1" x14ac:dyDescent="0.2">
      <c r="B8" s="85" t="s">
        <v>47</v>
      </c>
      <c r="C8" s="86" t="str">
        <f t="shared" si="0"/>
        <v>Desafio 1</v>
      </c>
      <c r="D8" s="87" t="str">
        <f>'⚙️ Configuração'!C31</f>
        <v>Elisabete Mendes</v>
      </c>
      <c r="E8" s="50">
        <v>15</v>
      </c>
      <c r="F8" s="50">
        <v>2</v>
      </c>
      <c r="G8" s="50"/>
      <c r="H8" s="50"/>
      <c r="I8" s="50"/>
      <c r="J8" s="50"/>
      <c r="K8" s="81">
        <f>(E8*'⚙️ Configuração'!$C$6+F8*'⚙️ Configuração'!$C$7+G8*'⚙️ Configuração'!$C$8+H8*'⚙️ Configuração'!$C$9+I8*'⚙️ Configuração'!$C$10+J8*'⚙️ Configuração'!$C$11)*IF(N8="S",2,1)</f>
        <v>19</v>
      </c>
      <c r="L8" s="90">
        <v>0</v>
      </c>
      <c r="M8" s="82">
        <f>IF(L8="AT1",'⚙️ Configuração'!$C$14,IF(L8="AT2",'⚙️ Configuração'!$C$15,IF(L8="FI",'⚙️ Configuração'!$C$16,IF(L8="FJ",'⚙️ Configuração'!$C$17,0))))</f>
        <v>0</v>
      </c>
      <c r="N8" s="91" t="s">
        <v>167</v>
      </c>
      <c r="O8" s="92"/>
      <c r="P8" s="83">
        <f>IF(O8="1",'⚙️ Configuração'!$C$21,IF(O8="2",'⚙️ Configuração'!$C$22,IF(O8="3",'⚙️ Configuração'!$C$23,IF(O8="Outro",'⚙️ Configuração'!$C$24,0))))</f>
        <v>0</v>
      </c>
      <c r="Q8" s="84">
        <f t="shared" ref="Q8:Q71" si="2">K8+M8+P8</f>
        <v>19</v>
      </c>
      <c r="R8" s="40" t="str">
        <f t="shared" si="1"/>
        <v>Semana 1 — ver 🔄</v>
      </c>
      <c r="S8" t="str" cm="1">
        <f t="array" ref="S8">IF(D8="","",IFERROR(_xlfn.SWITCH(B8,"Semana 1",IFERROR(INDEX('🔄 Rotação Duplas'!$D$8:$D$17,MATCH(D8,'🔄 Rotação Duplas'!$C$8:$C$17,0)),INDEX('🔄 Rotação Duplas'!$C$8:$C$17,MATCH(D8,'🔄 Rotação Duplas'!$D$8:$D$17,0))),"Semana 2",IFERROR(INDEX('🔄 Rotação Duplas'!$D$22:$D$31,MATCH(D8,'🔄 Rotação Duplas'!$C$22:$C$31,0)),INDEX('🔄 Rotação Duplas'!$C$22:$C$31,MATCH(D8,'🔄 Rotação Duplas'!$D$22:$D$31,0))),"Semana 3",IFERROR(INDEX('🔄 Rotação Duplas'!$D$36:$D$45,MATCH(D8,'🔄 Rotação Duplas'!$C$36:$C$45,0)),INDEX('🔄 Rotação Duplas'!$C$36:$C$45,MATCH(D8,'🔄 Rotação Duplas'!$D$36:$D$45,0))),"Semana 4",IFERROR(INDEX('🔄 Rotação Duplas'!$D$50:$D$59,MATCH(D8,'🔄 Rotação Duplas'!$C$50:$C$59,0)),INDEX('🔄 Rotação Duplas'!$C$50:$C$59,MATCH(D8,'🔄 Rotação Duplas'!$D$50:$D$59,0))),"Semana 5",IFERROR(INDEX('🔄 Rotação Duplas'!$D$64:$D$73,MATCH(D8,'🔄 Rotação Duplas'!$C$64:$C$73,0)),INDEX('🔄 Rotação Duplas'!$C$64:$C$73,MATCH(D8,'🔄 Rotação Duplas'!$D$64:$D$73,0))),"Semana 6",IFERROR(INDEX('🔄 Rotação Duplas'!$D$78:$D$87,MATCH(D8,'🔄 Rotação Duplas'!$C$78:$C$87,0)),INDEX('🔄 Rotação Duplas'!$C$78:$C$87,MATCH(D8,'🔄 Rotação Duplas'!$D$78:$D$87,0))),"Semana 7",IFERROR(INDEX('🔄 Rotação Duplas'!$D$92:$D$101,MATCH(D8,'🔄 Rotação Duplas'!$C$92:$C$101,0)),INDEX('🔄 Rotação Duplas'!$C$92:$C$101,MATCH(D8,'🔄 Rotação Duplas'!$D$92:$D$101,0))),"Semana 8",IFERROR(INDEX('🔄 Rotação Duplas'!$D$106:$D$115,MATCH(D8,'🔄 Rotação Duplas'!$C$106:$C$115,0)),INDEX('🔄 Rotação Duplas'!$C$106:$C$115,MATCH(D8,'🔄 Rotação Duplas'!$D$106:$D$115,0)))),""))</f>
        <v>Helena Rocha</v>
      </c>
      <c r="T8">
        <f t="shared" ref="T8:T71" si="3">IF(OR(D8="",D8="-",S8="",S8="-"),0,COUNTIFS($B$7:$B$646,B8,$D$7:$D$646,D8,$N$7:$N$646,"S")+COUNTIFS($B$7:$B$646,B8,$D$7:$D$646,S8,$N$7:$N$646,"S"))</f>
        <v>0</v>
      </c>
    </row>
    <row r="9" spans="2:20" ht="18" customHeight="1" x14ac:dyDescent="0.2">
      <c r="B9" s="78" t="s">
        <v>47</v>
      </c>
      <c r="C9" s="79" t="str">
        <f t="shared" si="0"/>
        <v>Desafio 1</v>
      </c>
      <c r="D9" s="80" t="str">
        <f>'⚙️ Configuração'!C32</f>
        <v>Filipa Cunha</v>
      </c>
      <c r="E9" s="50">
        <v>20</v>
      </c>
      <c r="F9" s="50">
        <v>6</v>
      </c>
      <c r="G9" s="50">
        <v>1</v>
      </c>
      <c r="H9" s="50"/>
      <c r="I9" s="50"/>
      <c r="J9" s="50"/>
      <c r="K9" s="81">
        <f>(E9*'⚙️ Configuração'!$C$6+F9*'⚙️ Configuração'!$C$7+G9*'⚙️ Configuração'!$C$8+H9*'⚙️ Configuração'!$C$9+I9*'⚙️ Configuração'!$C$10+J9*'⚙️ Configuração'!$C$11)*IF(N9="S",2,1)</f>
        <v>37</v>
      </c>
      <c r="L9" s="90">
        <v>0</v>
      </c>
      <c r="M9" s="82">
        <f>IF(L9="AT1",'⚙️ Configuração'!$C$14,IF(L9="AT2",'⚙️ Configuração'!$C$15,IF(L9="FI",'⚙️ Configuração'!$C$16,IF(L9="FJ",'⚙️ Configuração'!$C$17,0))))</f>
        <v>0</v>
      </c>
      <c r="N9" s="91" t="s">
        <v>167</v>
      </c>
      <c r="O9" s="92"/>
      <c r="P9" s="83">
        <f>IF(O9="1",'⚙️ Configuração'!$C$21,IF(O9="2",'⚙️ Configuração'!$C$22,IF(O9="3",'⚙️ Configuração'!$C$23,IF(O9="Outro",'⚙️ Configuração'!$C$24,0))))</f>
        <v>0</v>
      </c>
      <c r="Q9" s="84">
        <f t="shared" si="2"/>
        <v>37</v>
      </c>
      <c r="R9" s="40" t="str">
        <f t="shared" si="1"/>
        <v>Semana 1 — ver 🔄</v>
      </c>
      <c r="S9" t="str" cm="1">
        <f t="array" ref="S9">IF(D9="","",IFERROR(_xlfn.SWITCH(B9,"Semana 1",IFERROR(INDEX('🔄 Rotação Duplas'!$D$8:$D$17,MATCH(D9,'🔄 Rotação Duplas'!$C$8:$C$17,0)),INDEX('🔄 Rotação Duplas'!$C$8:$C$17,MATCH(D9,'🔄 Rotação Duplas'!$D$8:$D$17,0))),"Semana 2",IFERROR(INDEX('🔄 Rotação Duplas'!$D$22:$D$31,MATCH(D9,'🔄 Rotação Duplas'!$C$22:$C$31,0)),INDEX('🔄 Rotação Duplas'!$C$22:$C$31,MATCH(D9,'🔄 Rotação Duplas'!$D$22:$D$31,0))),"Semana 3",IFERROR(INDEX('🔄 Rotação Duplas'!$D$36:$D$45,MATCH(D9,'🔄 Rotação Duplas'!$C$36:$C$45,0)),INDEX('🔄 Rotação Duplas'!$C$36:$C$45,MATCH(D9,'🔄 Rotação Duplas'!$D$36:$D$45,0))),"Semana 4",IFERROR(INDEX('🔄 Rotação Duplas'!$D$50:$D$59,MATCH(D9,'🔄 Rotação Duplas'!$C$50:$C$59,0)),INDEX('🔄 Rotação Duplas'!$C$50:$C$59,MATCH(D9,'🔄 Rotação Duplas'!$D$50:$D$59,0))),"Semana 5",IFERROR(INDEX('🔄 Rotação Duplas'!$D$64:$D$73,MATCH(D9,'🔄 Rotação Duplas'!$C$64:$C$73,0)),INDEX('🔄 Rotação Duplas'!$C$64:$C$73,MATCH(D9,'🔄 Rotação Duplas'!$D$64:$D$73,0))),"Semana 6",IFERROR(INDEX('🔄 Rotação Duplas'!$D$78:$D$87,MATCH(D9,'🔄 Rotação Duplas'!$C$78:$C$87,0)),INDEX('🔄 Rotação Duplas'!$C$78:$C$87,MATCH(D9,'🔄 Rotação Duplas'!$D$78:$D$87,0))),"Semana 7",IFERROR(INDEX('🔄 Rotação Duplas'!$D$92:$D$101,MATCH(D9,'🔄 Rotação Duplas'!$C$92:$C$101,0)),INDEX('🔄 Rotação Duplas'!$C$92:$C$101,MATCH(D9,'🔄 Rotação Duplas'!$D$92:$D$101,0))),"Semana 8",IFERROR(INDEX('🔄 Rotação Duplas'!$D$106:$D$115,MATCH(D9,'🔄 Rotação Duplas'!$C$106:$C$115,0)),INDEX('🔄 Rotação Duplas'!$C$106:$C$115,MATCH(D9,'🔄 Rotação Duplas'!$D$106:$D$115,0)))),""))</f>
        <v>Maria João Travassos</v>
      </c>
      <c r="T9">
        <f t="shared" si="3"/>
        <v>0</v>
      </c>
    </row>
    <row r="10" spans="2:20" ht="18" customHeight="1" x14ac:dyDescent="0.2">
      <c r="B10" s="85" t="s">
        <v>47</v>
      </c>
      <c r="C10" s="86" t="str">
        <f t="shared" si="0"/>
        <v>Desafio 1</v>
      </c>
      <c r="D10" s="87" t="str">
        <f>'⚙️ Configuração'!C33</f>
        <v>Helena Rocha</v>
      </c>
      <c r="E10" s="50">
        <v>20</v>
      </c>
      <c r="F10" s="50">
        <v>3</v>
      </c>
      <c r="G10" s="50"/>
      <c r="H10" s="50"/>
      <c r="I10" s="50"/>
      <c r="J10" s="50"/>
      <c r="K10" s="81">
        <f>(E10*'⚙️ Configuração'!$C$6+F10*'⚙️ Configuração'!$C$7+G10*'⚙️ Configuração'!$C$8+H10*'⚙️ Configuração'!$C$9+I10*'⚙️ Configuração'!$C$10+J10*'⚙️ Configuração'!$C$11)*IF(N10="S",2,1)</f>
        <v>26</v>
      </c>
      <c r="L10" s="90">
        <v>0</v>
      </c>
      <c r="M10" s="82">
        <f>IF(L10="AT1",'⚙️ Configuração'!$C$14,IF(L10="AT2",'⚙️ Configuração'!$C$15,IF(L10="FI",'⚙️ Configuração'!$C$16,IF(L10="FJ",'⚙️ Configuração'!$C$17,0))))</f>
        <v>0</v>
      </c>
      <c r="N10" s="91" t="s">
        <v>167</v>
      </c>
      <c r="O10" s="92"/>
      <c r="P10" s="83">
        <f>IF(O10="1",'⚙️ Configuração'!$C$21,IF(O10="2",'⚙️ Configuração'!$C$22,IF(O10="3",'⚙️ Configuração'!$C$23,IF(O10="Outro",'⚙️ Configuração'!$C$24,0))))</f>
        <v>0</v>
      </c>
      <c r="Q10" s="84">
        <f t="shared" si="2"/>
        <v>26</v>
      </c>
      <c r="R10" s="40" t="str">
        <f t="shared" si="1"/>
        <v>Semana 1 — ver 🔄</v>
      </c>
      <c r="S10" t="str" cm="1">
        <f t="array" ref="S10">IF(D10="","",IFERROR(_xlfn.SWITCH(B10,"Semana 1",IFERROR(INDEX('🔄 Rotação Duplas'!$D$8:$D$17,MATCH(D10,'🔄 Rotação Duplas'!$C$8:$C$17,0)),INDEX('🔄 Rotação Duplas'!$C$8:$C$17,MATCH(D10,'🔄 Rotação Duplas'!$D$8:$D$17,0))),"Semana 2",IFERROR(INDEX('🔄 Rotação Duplas'!$D$22:$D$31,MATCH(D10,'🔄 Rotação Duplas'!$C$22:$C$31,0)),INDEX('🔄 Rotação Duplas'!$C$22:$C$31,MATCH(D10,'🔄 Rotação Duplas'!$D$22:$D$31,0))),"Semana 3",IFERROR(INDEX('🔄 Rotação Duplas'!$D$36:$D$45,MATCH(D10,'🔄 Rotação Duplas'!$C$36:$C$45,0)),INDEX('🔄 Rotação Duplas'!$C$36:$C$45,MATCH(D10,'🔄 Rotação Duplas'!$D$36:$D$45,0))),"Semana 4",IFERROR(INDEX('🔄 Rotação Duplas'!$D$50:$D$59,MATCH(D10,'🔄 Rotação Duplas'!$C$50:$C$59,0)),INDEX('🔄 Rotação Duplas'!$C$50:$C$59,MATCH(D10,'🔄 Rotação Duplas'!$D$50:$D$59,0))),"Semana 5",IFERROR(INDEX('🔄 Rotação Duplas'!$D$64:$D$73,MATCH(D10,'🔄 Rotação Duplas'!$C$64:$C$73,0)),INDEX('🔄 Rotação Duplas'!$C$64:$C$73,MATCH(D10,'🔄 Rotação Duplas'!$D$64:$D$73,0))),"Semana 6",IFERROR(INDEX('🔄 Rotação Duplas'!$D$78:$D$87,MATCH(D10,'🔄 Rotação Duplas'!$C$78:$C$87,0)),INDEX('🔄 Rotação Duplas'!$C$78:$C$87,MATCH(D10,'🔄 Rotação Duplas'!$D$78:$D$87,0))),"Semana 7",IFERROR(INDEX('🔄 Rotação Duplas'!$D$92:$D$101,MATCH(D10,'🔄 Rotação Duplas'!$C$92:$C$101,0)),INDEX('🔄 Rotação Duplas'!$C$92:$C$101,MATCH(D10,'🔄 Rotação Duplas'!$D$92:$D$101,0))),"Semana 8",IFERROR(INDEX('🔄 Rotação Duplas'!$D$106:$D$115,MATCH(D10,'🔄 Rotação Duplas'!$C$106:$C$115,0)),INDEX('🔄 Rotação Duplas'!$C$106:$C$115,MATCH(D10,'🔄 Rotação Duplas'!$D$106:$D$115,0)))),""))</f>
        <v>Elisabete Mendes</v>
      </c>
      <c r="T10">
        <f t="shared" si="3"/>
        <v>0</v>
      </c>
    </row>
    <row r="11" spans="2:20" ht="18" customHeight="1" x14ac:dyDescent="0.2">
      <c r="B11" s="78" t="s">
        <v>47</v>
      </c>
      <c r="C11" s="79" t="str">
        <f t="shared" si="0"/>
        <v>Desafio 1</v>
      </c>
      <c r="D11" s="80" t="str">
        <f>'⚙️ Configuração'!C34</f>
        <v>João Xavier</v>
      </c>
      <c r="E11" s="50">
        <v>14</v>
      </c>
      <c r="F11" s="50">
        <v>11</v>
      </c>
      <c r="G11" s="50">
        <v>3</v>
      </c>
      <c r="H11" s="50"/>
      <c r="I11" s="50"/>
      <c r="J11" s="50"/>
      <c r="K11" s="81">
        <f>(E11*'⚙️ Configuração'!$C$6+F11*'⚙️ Configuração'!$C$7+G11*'⚙️ Configuração'!$C$8+H11*'⚙️ Configuração'!$C$9+I11*'⚙️ Configuração'!$C$10+J11*'⚙️ Configuração'!$C$11)*IF(N11="S",2,1)</f>
        <v>51</v>
      </c>
      <c r="L11" s="90" t="s">
        <v>84</v>
      </c>
      <c r="M11" s="82">
        <f>IF(L11="AT1",'⚙️ Configuração'!$C$14,IF(L11="AT2",'⚙️ Configuração'!$C$15,IF(L11="FI",'⚙️ Configuração'!$C$16,IF(L11="FJ",'⚙️ Configuração'!$C$17,0))))</f>
        <v>0</v>
      </c>
      <c r="N11" s="91" t="s">
        <v>167</v>
      </c>
      <c r="O11" s="92"/>
      <c r="P11" s="83">
        <f>IF(O11="1",'⚙️ Configuração'!$C$21,IF(O11="2",'⚙️ Configuração'!$C$22,IF(O11="3",'⚙️ Configuração'!$C$23,IF(O11="Outro",'⚙️ Configuração'!$C$24,0))))</f>
        <v>0</v>
      </c>
      <c r="Q11" s="84">
        <f t="shared" si="2"/>
        <v>51</v>
      </c>
      <c r="R11" s="40" t="str">
        <f t="shared" si="1"/>
        <v>Semana 1 — ver 🔄</v>
      </c>
      <c r="S11" t="str" cm="1">
        <f t="array" ref="S11">IF(D11="","",IFERROR(_xlfn.SWITCH(B11,"Semana 1",IFERROR(INDEX('🔄 Rotação Duplas'!$D$8:$D$17,MATCH(D11,'🔄 Rotação Duplas'!$C$8:$C$17,0)),INDEX('🔄 Rotação Duplas'!$C$8:$C$17,MATCH(D11,'🔄 Rotação Duplas'!$D$8:$D$17,0))),"Semana 2",IFERROR(INDEX('🔄 Rotação Duplas'!$D$22:$D$31,MATCH(D11,'🔄 Rotação Duplas'!$C$22:$C$31,0)),INDEX('🔄 Rotação Duplas'!$C$22:$C$31,MATCH(D11,'🔄 Rotação Duplas'!$D$22:$D$31,0))),"Semana 3",IFERROR(INDEX('🔄 Rotação Duplas'!$D$36:$D$45,MATCH(D11,'🔄 Rotação Duplas'!$C$36:$C$45,0)),INDEX('🔄 Rotação Duplas'!$C$36:$C$45,MATCH(D11,'🔄 Rotação Duplas'!$D$36:$D$45,0))),"Semana 4",IFERROR(INDEX('🔄 Rotação Duplas'!$D$50:$D$59,MATCH(D11,'🔄 Rotação Duplas'!$C$50:$C$59,0)),INDEX('🔄 Rotação Duplas'!$C$50:$C$59,MATCH(D11,'🔄 Rotação Duplas'!$D$50:$D$59,0))),"Semana 5",IFERROR(INDEX('🔄 Rotação Duplas'!$D$64:$D$73,MATCH(D11,'🔄 Rotação Duplas'!$C$64:$C$73,0)),INDEX('🔄 Rotação Duplas'!$C$64:$C$73,MATCH(D11,'🔄 Rotação Duplas'!$D$64:$D$73,0))),"Semana 6",IFERROR(INDEX('🔄 Rotação Duplas'!$D$78:$D$87,MATCH(D11,'🔄 Rotação Duplas'!$C$78:$C$87,0)),INDEX('🔄 Rotação Duplas'!$C$78:$C$87,MATCH(D11,'🔄 Rotação Duplas'!$D$78:$D$87,0))),"Semana 7",IFERROR(INDEX('🔄 Rotação Duplas'!$D$92:$D$101,MATCH(D11,'🔄 Rotação Duplas'!$C$92:$C$101,0)),INDEX('🔄 Rotação Duplas'!$C$92:$C$101,MATCH(D11,'🔄 Rotação Duplas'!$D$92:$D$101,0))),"Semana 8",IFERROR(INDEX('🔄 Rotação Duplas'!$D$106:$D$115,MATCH(D11,'🔄 Rotação Duplas'!$C$106:$C$115,0)),INDEX('🔄 Rotação Duplas'!$C$106:$C$115,MATCH(D11,'🔄 Rotação Duplas'!$D$106:$D$115,0)))),""))</f>
        <v>Rita Carmo</v>
      </c>
      <c r="T11">
        <f t="shared" si="3"/>
        <v>0</v>
      </c>
    </row>
    <row r="12" spans="2:20" ht="18" customHeight="1" x14ac:dyDescent="0.2">
      <c r="B12" s="85" t="s">
        <v>47</v>
      </c>
      <c r="C12" s="86" t="str">
        <f t="shared" si="0"/>
        <v>Desafio 1</v>
      </c>
      <c r="D12" s="87" t="str">
        <f>'⚙️ Configuração'!C35</f>
        <v>Tomás Carlos</v>
      </c>
      <c r="E12" s="50">
        <v>16</v>
      </c>
      <c r="F12" s="50">
        <v>7</v>
      </c>
      <c r="G12" s="50">
        <v>1</v>
      </c>
      <c r="H12" s="50"/>
      <c r="I12" s="50"/>
      <c r="J12" s="50"/>
      <c r="K12" s="81">
        <f>(E12*'⚙️ Configuração'!$C$6+F12*'⚙️ Configuração'!$C$7+G12*'⚙️ Configuração'!$C$8+H12*'⚙️ Configuração'!$C$9+I12*'⚙️ Configuração'!$C$10+J12*'⚙️ Configuração'!$C$11)*IF(N12="S",2,1)</f>
        <v>35</v>
      </c>
      <c r="L12" s="90">
        <v>0</v>
      </c>
      <c r="M12" s="82">
        <f>IF(L12="AT1",'⚙️ Configuração'!$C$14,IF(L12="AT2",'⚙️ Configuração'!$C$15,IF(L12="FI",'⚙️ Configuração'!$C$16,IF(L12="FJ",'⚙️ Configuração'!$C$17,0))))</f>
        <v>0</v>
      </c>
      <c r="N12" s="91" t="s">
        <v>167</v>
      </c>
      <c r="O12" s="92"/>
      <c r="P12" s="83">
        <f>IF(O12="1",'⚙️ Configuração'!$C$21,IF(O12="2",'⚙️ Configuração'!$C$22,IF(O12="3",'⚙️ Configuração'!$C$23,IF(O12="Outro",'⚙️ Configuração'!$C$24,0))))</f>
        <v>0</v>
      </c>
      <c r="Q12" s="84">
        <f t="shared" si="2"/>
        <v>35</v>
      </c>
      <c r="R12" s="40" t="str">
        <f t="shared" si="1"/>
        <v>Semana 1 — ver 🔄</v>
      </c>
      <c r="S12" t="str" cm="1">
        <f t="array" ref="S12">IF(D12="","",IFERROR(_xlfn.SWITCH(B12,"Semana 1",IFERROR(INDEX('🔄 Rotação Duplas'!$D$8:$D$17,MATCH(D12,'🔄 Rotação Duplas'!$C$8:$C$17,0)),INDEX('🔄 Rotação Duplas'!$C$8:$C$17,MATCH(D12,'🔄 Rotação Duplas'!$D$8:$D$17,0))),"Semana 2",IFERROR(INDEX('🔄 Rotação Duplas'!$D$22:$D$31,MATCH(D12,'🔄 Rotação Duplas'!$C$22:$C$31,0)),INDEX('🔄 Rotação Duplas'!$C$22:$C$31,MATCH(D12,'🔄 Rotação Duplas'!$D$22:$D$31,0))),"Semana 3",IFERROR(INDEX('🔄 Rotação Duplas'!$D$36:$D$45,MATCH(D12,'🔄 Rotação Duplas'!$C$36:$C$45,0)),INDEX('🔄 Rotação Duplas'!$C$36:$C$45,MATCH(D12,'🔄 Rotação Duplas'!$D$36:$D$45,0))),"Semana 4",IFERROR(INDEX('🔄 Rotação Duplas'!$D$50:$D$59,MATCH(D12,'🔄 Rotação Duplas'!$C$50:$C$59,0)),INDEX('🔄 Rotação Duplas'!$C$50:$C$59,MATCH(D12,'🔄 Rotação Duplas'!$D$50:$D$59,0))),"Semana 5",IFERROR(INDEX('🔄 Rotação Duplas'!$D$64:$D$73,MATCH(D12,'🔄 Rotação Duplas'!$C$64:$C$73,0)),INDEX('🔄 Rotação Duplas'!$C$64:$C$73,MATCH(D12,'🔄 Rotação Duplas'!$D$64:$D$73,0))),"Semana 6",IFERROR(INDEX('🔄 Rotação Duplas'!$D$78:$D$87,MATCH(D12,'🔄 Rotação Duplas'!$C$78:$C$87,0)),INDEX('🔄 Rotação Duplas'!$C$78:$C$87,MATCH(D12,'🔄 Rotação Duplas'!$D$78:$D$87,0))),"Semana 7",IFERROR(INDEX('🔄 Rotação Duplas'!$D$92:$D$101,MATCH(D12,'🔄 Rotação Duplas'!$C$92:$C$101,0)),INDEX('🔄 Rotação Duplas'!$C$92:$C$101,MATCH(D12,'🔄 Rotação Duplas'!$D$92:$D$101,0))),"Semana 8",IFERROR(INDEX('🔄 Rotação Duplas'!$D$106:$D$115,MATCH(D12,'🔄 Rotação Duplas'!$C$106:$C$115,0)),INDEX('🔄 Rotação Duplas'!$C$106:$C$115,MATCH(D12,'🔄 Rotação Duplas'!$D$106:$D$115,0)))),""))</f>
        <v>Patricia Isabel Silva</v>
      </c>
      <c r="T12">
        <f t="shared" si="3"/>
        <v>0</v>
      </c>
    </row>
    <row r="13" spans="2:20" ht="18" customHeight="1" x14ac:dyDescent="0.2">
      <c r="B13" s="78" t="s">
        <v>47</v>
      </c>
      <c r="C13" s="79" t="str">
        <f t="shared" si="0"/>
        <v>Desafio 1</v>
      </c>
      <c r="D13" s="80" t="str">
        <f>'⚙️ Configuração'!C36</f>
        <v>Alexandra Correia</v>
      </c>
      <c r="E13" s="50">
        <v>20</v>
      </c>
      <c r="F13" s="50">
        <v>2</v>
      </c>
      <c r="G13" s="50"/>
      <c r="H13" s="50"/>
      <c r="I13" s="50"/>
      <c r="J13" s="50"/>
      <c r="K13" s="81">
        <f>(E13*'⚙️ Configuração'!$C$6+F13*'⚙️ Configuração'!$C$7+G13*'⚙️ Configuração'!$C$8+H13*'⚙️ Configuração'!$C$9+I13*'⚙️ Configuração'!$C$10+J13*'⚙️ Configuração'!$C$11)*IF(N13="S",2,1)</f>
        <v>24</v>
      </c>
      <c r="L13" s="90" t="s">
        <v>167</v>
      </c>
      <c r="M13" s="82">
        <f>IF(L13="AT1",'⚙️ Configuração'!$C$14,IF(L13="AT2",'⚙️ Configuração'!$C$15,IF(L13="FI",'⚙️ Configuração'!$C$16,IF(L13="FJ",'⚙️ Configuração'!$C$17,0))))</f>
        <v>0</v>
      </c>
      <c r="N13" s="91" t="s">
        <v>167</v>
      </c>
      <c r="O13" s="92"/>
      <c r="P13" s="83">
        <f>IF(O13="1",'⚙️ Configuração'!$C$21,IF(O13="2",'⚙️ Configuração'!$C$22,IF(O13="3",'⚙️ Configuração'!$C$23,IF(O13="Outro",'⚙️ Configuração'!$C$24,0))))</f>
        <v>0</v>
      </c>
      <c r="Q13" s="84">
        <f t="shared" si="2"/>
        <v>24</v>
      </c>
      <c r="R13" s="40" t="str">
        <f t="shared" si="1"/>
        <v>Semana 1 — ver 🔄</v>
      </c>
      <c r="S13" t="str" cm="1">
        <f t="array" ref="S13">IF(D13="","",IFERROR(_xlfn.SWITCH(B13,"Semana 1",IFERROR(INDEX('🔄 Rotação Duplas'!$D$8:$D$17,MATCH(D13,'🔄 Rotação Duplas'!$C$8:$C$17,0)),INDEX('🔄 Rotação Duplas'!$C$8:$C$17,MATCH(D13,'🔄 Rotação Duplas'!$D$8:$D$17,0))),"Semana 2",IFERROR(INDEX('🔄 Rotação Duplas'!$D$22:$D$31,MATCH(D13,'🔄 Rotação Duplas'!$C$22:$C$31,0)),INDEX('🔄 Rotação Duplas'!$C$22:$C$31,MATCH(D13,'🔄 Rotação Duplas'!$D$22:$D$31,0))),"Semana 3",IFERROR(INDEX('🔄 Rotação Duplas'!$D$36:$D$45,MATCH(D13,'🔄 Rotação Duplas'!$C$36:$C$45,0)),INDEX('🔄 Rotação Duplas'!$C$36:$C$45,MATCH(D13,'🔄 Rotação Duplas'!$D$36:$D$45,0))),"Semana 4",IFERROR(INDEX('🔄 Rotação Duplas'!$D$50:$D$59,MATCH(D13,'🔄 Rotação Duplas'!$C$50:$C$59,0)),INDEX('🔄 Rotação Duplas'!$C$50:$C$59,MATCH(D13,'🔄 Rotação Duplas'!$D$50:$D$59,0))),"Semana 5",IFERROR(INDEX('🔄 Rotação Duplas'!$D$64:$D$73,MATCH(D13,'🔄 Rotação Duplas'!$C$64:$C$73,0)),INDEX('🔄 Rotação Duplas'!$C$64:$C$73,MATCH(D13,'🔄 Rotação Duplas'!$D$64:$D$73,0))),"Semana 6",IFERROR(INDEX('🔄 Rotação Duplas'!$D$78:$D$87,MATCH(D13,'🔄 Rotação Duplas'!$C$78:$C$87,0)),INDEX('🔄 Rotação Duplas'!$C$78:$C$87,MATCH(D13,'🔄 Rotação Duplas'!$D$78:$D$87,0))),"Semana 7",IFERROR(INDEX('🔄 Rotação Duplas'!$D$92:$D$101,MATCH(D13,'🔄 Rotação Duplas'!$C$92:$C$101,0)),INDEX('🔄 Rotação Duplas'!$C$92:$C$101,MATCH(D13,'🔄 Rotação Duplas'!$D$92:$D$101,0))),"Semana 8",IFERROR(INDEX('🔄 Rotação Duplas'!$D$106:$D$115,MATCH(D13,'🔄 Rotação Duplas'!$C$106:$C$115,0)),INDEX('🔄 Rotação Duplas'!$C$106:$C$115,MATCH(D13,'🔄 Rotação Duplas'!$D$106:$D$115,0)))),""))</f>
        <v>William Fernandes</v>
      </c>
      <c r="T13">
        <f t="shared" si="3"/>
        <v>0</v>
      </c>
    </row>
    <row r="14" spans="2:20" ht="18" customHeight="1" x14ac:dyDescent="0.2">
      <c r="B14" s="85" t="s">
        <v>47</v>
      </c>
      <c r="C14" s="86" t="str">
        <f t="shared" si="0"/>
        <v>Desafio 1</v>
      </c>
      <c r="D14" s="87" t="str">
        <f>'⚙️ Configuração'!C37</f>
        <v>Carla Barata</v>
      </c>
      <c r="E14" s="50">
        <v>14</v>
      </c>
      <c r="F14" s="50">
        <v>2</v>
      </c>
      <c r="G14" s="50">
        <v>1</v>
      </c>
      <c r="H14" s="50"/>
      <c r="I14" s="50"/>
      <c r="J14" s="50"/>
      <c r="K14" s="81">
        <f>(E14*'⚙️ Configuração'!$C$6+F14*'⚙️ Configuração'!$C$7+G14*'⚙️ Configuração'!$C$8+H14*'⚙️ Configuração'!$C$9+I14*'⚙️ Configuração'!$C$10+J14*'⚙️ Configuração'!$C$11)*IF(N14="S",2,1)</f>
        <v>23</v>
      </c>
      <c r="L14" s="90" t="s">
        <v>167</v>
      </c>
      <c r="M14" s="82">
        <f>IF(L14="AT1",'⚙️ Configuração'!$C$14,IF(L14="AT2",'⚙️ Configuração'!$C$15,IF(L14="FI",'⚙️ Configuração'!$C$16,IF(L14="FJ",'⚙️ Configuração'!$C$17,0))))</f>
        <v>0</v>
      </c>
      <c r="N14" s="91" t="s">
        <v>167</v>
      </c>
      <c r="O14" s="92"/>
      <c r="P14" s="83">
        <f>IF(O14="1",'⚙️ Configuração'!$C$21,IF(O14="2",'⚙️ Configuração'!$C$22,IF(O14="3",'⚙️ Configuração'!$C$23,IF(O14="Outro",'⚙️ Configuração'!$C$24,0))))</f>
        <v>0</v>
      </c>
      <c r="Q14" s="84">
        <f t="shared" si="2"/>
        <v>23</v>
      </c>
      <c r="R14" s="40" t="str">
        <f t="shared" si="1"/>
        <v>Semana 1 — ver 🔄</v>
      </c>
      <c r="S14" t="str" cm="1">
        <f t="array" ref="S14">IF(D14="","",IFERROR(_xlfn.SWITCH(B14,"Semana 1",IFERROR(INDEX('🔄 Rotação Duplas'!$D$8:$D$17,MATCH(D14,'🔄 Rotação Duplas'!$C$8:$C$17,0)),INDEX('🔄 Rotação Duplas'!$C$8:$C$17,MATCH(D14,'🔄 Rotação Duplas'!$D$8:$D$17,0))),"Semana 2",IFERROR(INDEX('🔄 Rotação Duplas'!$D$22:$D$31,MATCH(D14,'🔄 Rotação Duplas'!$C$22:$C$31,0)),INDEX('🔄 Rotação Duplas'!$C$22:$C$31,MATCH(D14,'🔄 Rotação Duplas'!$D$22:$D$31,0))),"Semana 3",IFERROR(INDEX('🔄 Rotação Duplas'!$D$36:$D$45,MATCH(D14,'🔄 Rotação Duplas'!$C$36:$C$45,0)),INDEX('🔄 Rotação Duplas'!$C$36:$C$45,MATCH(D14,'🔄 Rotação Duplas'!$D$36:$D$45,0))),"Semana 4",IFERROR(INDEX('🔄 Rotação Duplas'!$D$50:$D$59,MATCH(D14,'🔄 Rotação Duplas'!$C$50:$C$59,0)),INDEX('🔄 Rotação Duplas'!$C$50:$C$59,MATCH(D14,'🔄 Rotação Duplas'!$D$50:$D$59,0))),"Semana 5",IFERROR(INDEX('🔄 Rotação Duplas'!$D$64:$D$73,MATCH(D14,'🔄 Rotação Duplas'!$C$64:$C$73,0)),INDEX('🔄 Rotação Duplas'!$C$64:$C$73,MATCH(D14,'🔄 Rotação Duplas'!$D$64:$D$73,0))),"Semana 6",IFERROR(INDEX('🔄 Rotação Duplas'!$D$78:$D$87,MATCH(D14,'🔄 Rotação Duplas'!$C$78:$C$87,0)),INDEX('🔄 Rotação Duplas'!$C$78:$C$87,MATCH(D14,'🔄 Rotação Duplas'!$D$78:$D$87,0))),"Semana 7",IFERROR(INDEX('🔄 Rotação Duplas'!$D$92:$D$101,MATCH(D14,'🔄 Rotação Duplas'!$C$92:$C$101,0)),INDEX('🔄 Rotação Duplas'!$C$92:$C$101,MATCH(D14,'🔄 Rotação Duplas'!$D$92:$D$101,0))),"Semana 8",IFERROR(INDEX('🔄 Rotação Duplas'!$D$106:$D$115,MATCH(D14,'🔄 Rotação Duplas'!$C$106:$C$115,0)),INDEX('🔄 Rotação Duplas'!$C$106:$C$115,MATCH(D14,'🔄 Rotação Duplas'!$D$106:$D$115,0)))),""))</f>
        <v>Paula Martins</v>
      </c>
      <c r="T14">
        <f t="shared" si="3"/>
        <v>0</v>
      </c>
    </row>
    <row r="15" spans="2:20" ht="18" customHeight="1" x14ac:dyDescent="0.2">
      <c r="B15" s="78" t="s">
        <v>47</v>
      </c>
      <c r="C15" s="79" t="str">
        <f t="shared" si="0"/>
        <v>Desafio 1</v>
      </c>
      <c r="D15" s="80" t="str">
        <f>'⚙️ Configuração'!C38</f>
        <v>Denise Filipe</v>
      </c>
      <c r="E15" s="50">
        <v>18</v>
      </c>
      <c r="F15" s="50">
        <v>4</v>
      </c>
      <c r="G15" s="50"/>
      <c r="H15" s="50"/>
      <c r="I15" s="50"/>
      <c r="J15" s="50"/>
      <c r="K15" s="81">
        <f>(E15*'⚙️ Configuração'!$C$6+F15*'⚙️ Configuração'!$C$7+G15*'⚙️ Configuração'!$C$8+H15*'⚙️ Configuração'!$C$9+I15*'⚙️ Configuração'!$C$10+J15*'⚙️ Configuração'!$C$11)*IF(N15="S",2,1)</f>
        <v>26</v>
      </c>
      <c r="L15" s="90" t="s">
        <v>167</v>
      </c>
      <c r="M15" s="82">
        <f>IF(L15="AT1",'⚙️ Configuração'!$C$14,IF(L15="AT2",'⚙️ Configuração'!$C$15,IF(L15="FI",'⚙️ Configuração'!$C$16,IF(L15="FJ",'⚙️ Configuração'!$C$17,0))))</f>
        <v>0</v>
      </c>
      <c r="N15" s="91" t="s">
        <v>167</v>
      </c>
      <c r="O15" s="92"/>
      <c r="P15" s="83">
        <f>IF(O15="1",'⚙️ Configuração'!$C$21,IF(O15="2",'⚙️ Configuração'!$C$22,IF(O15="3",'⚙️ Configuração'!$C$23,IF(O15="Outro",'⚙️ Configuração'!$C$24,0))))</f>
        <v>0</v>
      </c>
      <c r="Q15" s="84">
        <f t="shared" si="2"/>
        <v>26</v>
      </c>
      <c r="R15" s="40" t="str">
        <f t="shared" si="1"/>
        <v>Semana 1 — ver 🔄</v>
      </c>
      <c r="S15" t="str" cm="1">
        <f t="array" ref="S15">IF(D15="","",IFERROR(_xlfn.SWITCH(B15,"Semana 1",IFERROR(INDEX('🔄 Rotação Duplas'!$D$8:$D$17,MATCH(D15,'🔄 Rotação Duplas'!$C$8:$C$17,0)),INDEX('🔄 Rotação Duplas'!$C$8:$C$17,MATCH(D15,'🔄 Rotação Duplas'!$D$8:$D$17,0))),"Semana 2",IFERROR(INDEX('🔄 Rotação Duplas'!$D$22:$D$31,MATCH(D15,'🔄 Rotação Duplas'!$C$22:$C$31,0)),INDEX('🔄 Rotação Duplas'!$C$22:$C$31,MATCH(D15,'🔄 Rotação Duplas'!$D$22:$D$31,0))),"Semana 3",IFERROR(INDEX('🔄 Rotação Duplas'!$D$36:$D$45,MATCH(D15,'🔄 Rotação Duplas'!$C$36:$C$45,0)),INDEX('🔄 Rotação Duplas'!$C$36:$C$45,MATCH(D15,'🔄 Rotação Duplas'!$D$36:$D$45,0))),"Semana 4",IFERROR(INDEX('🔄 Rotação Duplas'!$D$50:$D$59,MATCH(D15,'🔄 Rotação Duplas'!$C$50:$C$59,0)),INDEX('🔄 Rotação Duplas'!$C$50:$C$59,MATCH(D15,'🔄 Rotação Duplas'!$D$50:$D$59,0))),"Semana 5",IFERROR(INDEX('🔄 Rotação Duplas'!$D$64:$D$73,MATCH(D15,'🔄 Rotação Duplas'!$C$64:$C$73,0)),INDEX('🔄 Rotação Duplas'!$C$64:$C$73,MATCH(D15,'🔄 Rotação Duplas'!$D$64:$D$73,0))),"Semana 6",IFERROR(INDEX('🔄 Rotação Duplas'!$D$78:$D$87,MATCH(D15,'🔄 Rotação Duplas'!$C$78:$C$87,0)),INDEX('🔄 Rotação Duplas'!$C$78:$C$87,MATCH(D15,'🔄 Rotação Duplas'!$D$78:$D$87,0))),"Semana 7",IFERROR(INDEX('🔄 Rotação Duplas'!$D$92:$D$101,MATCH(D15,'🔄 Rotação Duplas'!$C$92:$C$101,0)),INDEX('🔄 Rotação Duplas'!$C$92:$C$101,MATCH(D15,'🔄 Rotação Duplas'!$D$92:$D$101,0))),"Semana 8",IFERROR(INDEX('🔄 Rotação Duplas'!$D$106:$D$115,MATCH(D15,'🔄 Rotação Duplas'!$C$106:$C$115,0)),INDEX('🔄 Rotação Duplas'!$C$106:$C$115,MATCH(D15,'🔄 Rotação Duplas'!$D$106:$D$115,0)))),""))</f>
        <v>Carla Cantante</v>
      </c>
      <c r="T15">
        <f t="shared" si="3"/>
        <v>0</v>
      </c>
    </row>
    <row r="16" spans="2:20" ht="18" customHeight="1" x14ac:dyDescent="0.2">
      <c r="B16" s="85" t="s">
        <v>47</v>
      </c>
      <c r="C16" s="86" t="str">
        <f t="shared" si="0"/>
        <v>Desafio 1</v>
      </c>
      <c r="D16" s="87" t="str">
        <f>'⚙️ Configuração'!C39</f>
        <v>Fátima Rodriguez</v>
      </c>
      <c r="E16" s="50">
        <v>18</v>
      </c>
      <c r="F16" s="50">
        <v>5</v>
      </c>
      <c r="G16" s="50">
        <v>2</v>
      </c>
      <c r="H16" s="50"/>
      <c r="I16" s="50"/>
      <c r="J16" s="50"/>
      <c r="K16" s="81">
        <f>(E16*'⚙️ Configuração'!$C$6+F16*'⚙️ Configuração'!$C$7+G16*'⚙️ Configuração'!$C$8+H16*'⚙️ Configuração'!$C$9+I16*'⚙️ Configuração'!$C$10+J16*'⚙️ Configuração'!$C$11)*IF(N16="S",2,1)</f>
        <v>38</v>
      </c>
      <c r="L16" s="90" t="s">
        <v>167</v>
      </c>
      <c r="M16" s="82">
        <f>IF(L16="AT1",'⚙️ Configuração'!$C$14,IF(L16="AT2",'⚙️ Configuração'!$C$15,IF(L16="FI",'⚙️ Configuração'!$C$16,IF(L16="FJ",'⚙️ Configuração'!$C$17,0))))</f>
        <v>0</v>
      </c>
      <c r="N16" s="91" t="s">
        <v>167</v>
      </c>
      <c r="O16" s="92"/>
      <c r="P16" s="83">
        <f>IF(O16="1",'⚙️ Configuração'!$C$21,IF(O16="2",'⚙️ Configuração'!$C$22,IF(O16="3",'⚙️ Configuração'!$C$23,IF(O16="Outro",'⚙️ Configuração'!$C$24,0))))</f>
        <v>0</v>
      </c>
      <c r="Q16" s="84">
        <f t="shared" si="2"/>
        <v>38</v>
      </c>
      <c r="R16" s="40" t="str">
        <f t="shared" si="1"/>
        <v>Semana 1 — ver 🔄</v>
      </c>
      <c r="S16" cm="1">
        <f t="array" ref="S16">IF(D16="","",IFERROR(_xlfn.SWITCH(B16,"Semana 1",IFERROR(INDEX('🔄 Rotação Duplas'!$D$8:$D$17,MATCH(D16,'🔄 Rotação Duplas'!$C$8:$C$17,0)),INDEX('🔄 Rotação Duplas'!$C$8:$C$17,MATCH(D16,'🔄 Rotação Duplas'!$D$8:$D$17,0))),"Semana 2",IFERROR(INDEX('🔄 Rotação Duplas'!$D$22:$D$31,MATCH(D16,'🔄 Rotação Duplas'!$C$22:$C$31,0)),INDEX('🔄 Rotação Duplas'!$C$22:$C$31,MATCH(D16,'🔄 Rotação Duplas'!$D$22:$D$31,0))),"Semana 3",IFERROR(INDEX('🔄 Rotação Duplas'!$D$36:$D$45,MATCH(D16,'🔄 Rotação Duplas'!$C$36:$C$45,0)),INDEX('🔄 Rotação Duplas'!$C$36:$C$45,MATCH(D16,'🔄 Rotação Duplas'!$D$36:$D$45,0))),"Semana 4",IFERROR(INDEX('🔄 Rotação Duplas'!$D$50:$D$59,MATCH(D16,'🔄 Rotação Duplas'!$C$50:$C$59,0)),INDEX('🔄 Rotação Duplas'!$C$50:$C$59,MATCH(D16,'🔄 Rotação Duplas'!$D$50:$D$59,0))),"Semana 5",IFERROR(INDEX('🔄 Rotação Duplas'!$D$64:$D$73,MATCH(D16,'🔄 Rotação Duplas'!$C$64:$C$73,0)),INDEX('🔄 Rotação Duplas'!$C$64:$C$73,MATCH(D16,'🔄 Rotação Duplas'!$D$64:$D$73,0))),"Semana 6",IFERROR(INDEX('🔄 Rotação Duplas'!$D$78:$D$87,MATCH(D16,'🔄 Rotação Duplas'!$C$78:$C$87,0)),INDEX('🔄 Rotação Duplas'!$C$78:$C$87,MATCH(D16,'🔄 Rotação Duplas'!$D$78:$D$87,0))),"Semana 7",IFERROR(INDEX('🔄 Rotação Duplas'!$D$92:$D$101,MATCH(D16,'🔄 Rotação Duplas'!$C$92:$C$101,0)),INDEX('🔄 Rotação Duplas'!$C$92:$C$101,MATCH(D16,'🔄 Rotação Duplas'!$D$92:$D$101,0))),"Semana 8",IFERROR(INDEX('🔄 Rotação Duplas'!$D$106:$D$115,MATCH(D16,'🔄 Rotação Duplas'!$C$106:$C$115,0)),INDEX('🔄 Rotação Duplas'!$C$106:$C$115,MATCH(D16,'🔄 Rotação Duplas'!$D$106:$D$115,0)))),""))</f>
        <v>0</v>
      </c>
      <c r="T16">
        <f t="shared" si="3"/>
        <v>0</v>
      </c>
    </row>
    <row r="17" spans="2:20" ht="18" customHeight="1" x14ac:dyDescent="0.2">
      <c r="B17" s="78" t="s">
        <v>47</v>
      </c>
      <c r="C17" s="79" t="str">
        <f t="shared" si="0"/>
        <v>Desafio 1</v>
      </c>
      <c r="D17" s="80" t="str">
        <f>'⚙️ Configuração'!C40</f>
        <v>Maria João Travassos</v>
      </c>
      <c r="E17" s="50">
        <v>21</v>
      </c>
      <c r="F17" s="50">
        <v>2</v>
      </c>
      <c r="G17" s="50"/>
      <c r="H17" s="50"/>
      <c r="I17" s="50"/>
      <c r="J17" s="50"/>
      <c r="K17" s="81">
        <f>(E17*'⚙️ Configuração'!$C$6+F17*'⚙️ Configuração'!$C$7+G17*'⚙️ Configuração'!$C$8+H17*'⚙️ Configuração'!$C$9+I17*'⚙️ Configuração'!$C$10+J17*'⚙️ Configuração'!$C$11)*IF(N17="S",2,1)</f>
        <v>25</v>
      </c>
      <c r="L17" s="90" t="s">
        <v>167</v>
      </c>
      <c r="M17" s="82">
        <f>IF(L17="AT1",'⚙️ Configuração'!$C$14,IF(L17="AT2",'⚙️ Configuração'!$C$15,IF(L17="FI",'⚙️ Configuração'!$C$16,IF(L17="FJ",'⚙️ Configuração'!$C$17,0))))</f>
        <v>0</v>
      </c>
      <c r="N17" s="91" t="s">
        <v>167</v>
      </c>
      <c r="O17" s="92"/>
      <c r="P17" s="83">
        <f>IF(O17="1",'⚙️ Configuração'!$C$21,IF(O17="2",'⚙️ Configuração'!$C$22,IF(O17="3",'⚙️ Configuração'!$C$23,IF(O17="Outro",'⚙️ Configuração'!$C$24,0))))</f>
        <v>0</v>
      </c>
      <c r="Q17" s="84">
        <f t="shared" si="2"/>
        <v>25</v>
      </c>
      <c r="R17" s="40" t="str">
        <f t="shared" si="1"/>
        <v>Semana 1 — ver 🔄</v>
      </c>
      <c r="S17" t="str" cm="1">
        <f t="array" ref="S17">IF(D17="","",IFERROR(_xlfn.SWITCH(B17,"Semana 1",IFERROR(INDEX('🔄 Rotação Duplas'!$D$8:$D$17,MATCH(D17,'🔄 Rotação Duplas'!$C$8:$C$17,0)),INDEX('🔄 Rotação Duplas'!$C$8:$C$17,MATCH(D17,'🔄 Rotação Duplas'!$D$8:$D$17,0))),"Semana 2",IFERROR(INDEX('🔄 Rotação Duplas'!$D$22:$D$31,MATCH(D17,'🔄 Rotação Duplas'!$C$22:$C$31,0)),INDEX('🔄 Rotação Duplas'!$C$22:$C$31,MATCH(D17,'🔄 Rotação Duplas'!$D$22:$D$31,0))),"Semana 3",IFERROR(INDEX('🔄 Rotação Duplas'!$D$36:$D$45,MATCH(D17,'🔄 Rotação Duplas'!$C$36:$C$45,0)),INDEX('🔄 Rotação Duplas'!$C$36:$C$45,MATCH(D17,'🔄 Rotação Duplas'!$D$36:$D$45,0))),"Semana 4",IFERROR(INDEX('🔄 Rotação Duplas'!$D$50:$D$59,MATCH(D17,'🔄 Rotação Duplas'!$C$50:$C$59,0)),INDEX('🔄 Rotação Duplas'!$C$50:$C$59,MATCH(D17,'🔄 Rotação Duplas'!$D$50:$D$59,0))),"Semana 5",IFERROR(INDEX('🔄 Rotação Duplas'!$D$64:$D$73,MATCH(D17,'🔄 Rotação Duplas'!$C$64:$C$73,0)),INDEX('🔄 Rotação Duplas'!$C$64:$C$73,MATCH(D17,'🔄 Rotação Duplas'!$D$64:$D$73,0))),"Semana 6",IFERROR(INDEX('🔄 Rotação Duplas'!$D$78:$D$87,MATCH(D17,'🔄 Rotação Duplas'!$C$78:$C$87,0)),INDEX('🔄 Rotação Duplas'!$C$78:$C$87,MATCH(D17,'🔄 Rotação Duplas'!$D$78:$D$87,0))),"Semana 7",IFERROR(INDEX('🔄 Rotação Duplas'!$D$92:$D$101,MATCH(D17,'🔄 Rotação Duplas'!$C$92:$C$101,0)),INDEX('🔄 Rotação Duplas'!$C$92:$C$101,MATCH(D17,'🔄 Rotação Duplas'!$D$92:$D$101,0))),"Semana 8",IFERROR(INDEX('🔄 Rotação Duplas'!$D$106:$D$115,MATCH(D17,'🔄 Rotação Duplas'!$C$106:$C$115,0)),INDEX('🔄 Rotação Duplas'!$C$106:$C$115,MATCH(D17,'🔄 Rotação Duplas'!$D$106:$D$115,0)))),""))</f>
        <v>Filipa Cunha</v>
      </c>
      <c r="T17">
        <f t="shared" si="3"/>
        <v>0</v>
      </c>
    </row>
    <row r="18" spans="2:20" ht="18" customHeight="1" x14ac:dyDescent="0.2">
      <c r="B18" s="85" t="s">
        <v>47</v>
      </c>
      <c r="C18" s="86" t="str">
        <f t="shared" si="0"/>
        <v>Desafio 1</v>
      </c>
      <c r="D18" s="87" t="str">
        <f>'⚙️ Configuração'!C41</f>
        <v>Marta Torres</v>
      </c>
      <c r="E18" s="50">
        <v>13</v>
      </c>
      <c r="F18" s="50">
        <v>6</v>
      </c>
      <c r="G18" s="50">
        <v>2</v>
      </c>
      <c r="H18" s="50"/>
      <c r="I18" s="50"/>
      <c r="J18" s="50"/>
      <c r="K18" s="81">
        <f>(E18*'⚙️ Configuração'!$C$6+F18*'⚙️ Configuração'!$C$7+G18*'⚙️ Configuração'!$C$8+H18*'⚙️ Configuração'!$C$9+I18*'⚙️ Configuração'!$C$10+J18*'⚙️ Configuração'!$C$11)*IF(N18="S",2,1)</f>
        <v>35</v>
      </c>
      <c r="L18" s="90" t="s">
        <v>167</v>
      </c>
      <c r="M18" s="82">
        <f>IF(L18="AT1",'⚙️ Configuração'!$C$14,IF(L18="AT2",'⚙️ Configuração'!$C$15,IF(L18="FI",'⚙️ Configuração'!$C$16,IF(L18="FJ",'⚙️ Configuração'!$C$17,0))))</f>
        <v>0</v>
      </c>
      <c r="N18" s="91" t="s">
        <v>167</v>
      </c>
      <c r="O18" s="92"/>
      <c r="P18" s="83">
        <f>IF(O18="1",'⚙️ Configuração'!$C$21,IF(O18="2",'⚙️ Configuração'!$C$22,IF(O18="3",'⚙️ Configuração'!$C$23,IF(O18="Outro",'⚙️ Configuração'!$C$24,0))))</f>
        <v>0</v>
      </c>
      <c r="Q18" s="84">
        <f t="shared" si="2"/>
        <v>35</v>
      </c>
      <c r="R18" s="40" t="str">
        <f t="shared" si="1"/>
        <v>Semana 1 — ver 🔄</v>
      </c>
      <c r="S18" t="str" cm="1">
        <f t="array" ref="S18">IF(D18="","",IFERROR(_xlfn.SWITCH(B18,"Semana 1",IFERROR(INDEX('🔄 Rotação Duplas'!$D$8:$D$17,MATCH(D18,'🔄 Rotação Duplas'!$C$8:$C$17,0)),INDEX('🔄 Rotação Duplas'!$C$8:$C$17,MATCH(D18,'🔄 Rotação Duplas'!$D$8:$D$17,0))),"Semana 2",IFERROR(INDEX('🔄 Rotação Duplas'!$D$22:$D$31,MATCH(D18,'🔄 Rotação Duplas'!$C$22:$C$31,0)),INDEX('🔄 Rotação Duplas'!$C$22:$C$31,MATCH(D18,'🔄 Rotação Duplas'!$D$22:$D$31,0))),"Semana 3",IFERROR(INDEX('🔄 Rotação Duplas'!$D$36:$D$45,MATCH(D18,'🔄 Rotação Duplas'!$C$36:$C$45,0)),INDEX('🔄 Rotação Duplas'!$C$36:$C$45,MATCH(D18,'🔄 Rotação Duplas'!$D$36:$D$45,0))),"Semana 4",IFERROR(INDEX('🔄 Rotação Duplas'!$D$50:$D$59,MATCH(D18,'🔄 Rotação Duplas'!$C$50:$C$59,0)),INDEX('🔄 Rotação Duplas'!$C$50:$C$59,MATCH(D18,'🔄 Rotação Duplas'!$D$50:$D$59,0))),"Semana 5",IFERROR(INDEX('🔄 Rotação Duplas'!$D$64:$D$73,MATCH(D18,'🔄 Rotação Duplas'!$C$64:$C$73,0)),INDEX('🔄 Rotação Duplas'!$C$64:$C$73,MATCH(D18,'🔄 Rotação Duplas'!$D$64:$D$73,0))),"Semana 6",IFERROR(INDEX('🔄 Rotação Duplas'!$D$78:$D$87,MATCH(D18,'🔄 Rotação Duplas'!$C$78:$C$87,0)),INDEX('🔄 Rotação Duplas'!$C$78:$C$87,MATCH(D18,'🔄 Rotação Duplas'!$D$78:$D$87,0))),"Semana 7",IFERROR(INDEX('🔄 Rotação Duplas'!$D$92:$D$101,MATCH(D18,'🔄 Rotação Duplas'!$C$92:$C$101,0)),INDEX('🔄 Rotação Duplas'!$C$92:$C$101,MATCH(D18,'🔄 Rotação Duplas'!$D$92:$D$101,0))),"Semana 8",IFERROR(INDEX('🔄 Rotação Duplas'!$D$106:$D$115,MATCH(D18,'🔄 Rotação Duplas'!$C$106:$C$115,0)),INDEX('🔄 Rotação Duplas'!$C$106:$C$115,MATCH(D18,'🔄 Rotação Duplas'!$D$106:$D$115,0)))),""))</f>
        <v>Paula Miabara</v>
      </c>
      <c r="T18">
        <f t="shared" si="3"/>
        <v>0</v>
      </c>
    </row>
    <row r="19" spans="2:20" ht="18" customHeight="1" x14ac:dyDescent="0.2">
      <c r="B19" s="78" t="s">
        <v>47</v>
      </c>
      <c r="C19" s="79" t="str">
        <f t="shared" si="0"/>
        <v>Desafio 1</v>
      </c>
      <c r="D19" s="80" t="str">
        <f>'⚙️ Configuração'!C42</f>
        <v>Patricia Isabel Silva</v>
      </c>
      <c r="E19" s="50">
        <v>17</v>
      </c>
      <c r="F19" s="50">
        <v>1</v>
      </c>
      <c r="G19" s="50"/>
      <c r="H19" s="50"/>
      <c r="I19" s="50"/>
      <c r="J19" s="50"/>
      <c r="K19" s="81">
        <f>(E19*'⚙️ Configuração'!$C$6+F19*'⚙️ Configuração'!$C$7+G19*'⚙️ Configuração'!$C$8+H19*'⚙️ Configuração'!$C$9+I19*'⚙️ Configuração'!$C$10+J19*'⚙️ Configuração'!$C$11)*IF(N19="S",2,1)</f>
        <v>19</v>
      </c>
      <c r="L19" s="90" t="s">
        <v>167</v>
      </c>
      <c r="M19" s="82">
        <f>IF(L19="AT1",'⚙️ Configuração'!$C$14,IF(L19="AT2",'⚙️ Configuração'!$C$15,IF(L19="FI",'⚙️ Configuração'!$C$16,IF(L19="FJ",'⚙️ Configuração'!$C$17,0))))</f>
        <v>0</v>
      </c>
      <c r="N19" s="91" t="s">
        <v>167</v>
      </c>
      <c r="O19" s="92"/>
      <c r="P19" s="83">
        <f>IF(O19="1",'⚙️ Configuração'!$C$21,IF(O19="2",'⚙️ Configuração'!$C$22,IF(O19="3",'⚙️ Configuração'!$C$23,IF(O19="Outro",'⚙️ Configuração'!$C$24,0))))</f>
        <v>0</v>
      </c>
      <c r="Q19" s="84">
        <f t="shared" si="2"/>
        <v>19</v>
      </c>
      <c r="R19" s="40" t="str">
        <f t="shared" si="1"/>
        <v>Semana 1 — ver 🔄</v>
      </c>
      <c r="S19" t="str" cm="1">
        <f t="array" ref="S19">IF(D19="","",IFERROR(_xlfn.SWITCH(B19,"Semana 1",IFERROR(INDEX('🔄 Rotação Duplas'!$D$8:$D$17,MATCH(D19,'🔄 Rotação Duplas'!$C$8:$C$17,0)),INDEX('🔄 Rotação Duplas'!$C$8:$C$17,MATCH(D19,'🔄 Rotação Duplas'!$D$8:$D$17,0))),"Semana 2",IFERROR(INDEX('🔄 Rotação Duplas'!$D$22:$D$31,MATCH(D19,'🔄 Rotação Duplas'!$C$22:$C$31,0)),INDEX('🔄 Rotação Duplas'!$C$22:$C$31,MATCH(D19,'🔄 Rotação Duplas'!$D$22:$D$31,0))),"Semana 3",IFERROR(INDEX('🔄 Rotação Duplas'!$D$36:$D$45,MATCH(D19,'🔄 Rotação Duplas'!$C$36:$C$45,0)),INDEX('🔄 Rotação Duplas'!$C$36:$C$45,MATCH(D19,'🔄 Rotação Duplas'!$D$36:$D$45,0))),"Semana 4",IFERROR(INDEX('🔄 Rotação Duplas'!$D$50:$D$59,MATCH(D19,'🔄 Rotação Duplas'!$C$50:$C$59,0)),INDEX('🔄 Rotação Duplas'!$C$50:$C$59,MATCH(D19,'🔄 Rotação Duplas'!$D$50:$D$59,0))),"Semana 5",IFERROR(INDEX('🔄 Rotação Duplas'!$D$64:$D$73,MATCH(D19,'🔄 Rotação Duplas'!$C$64:$C$73,0)),INDEX('🔄 Rotação Duplas'!$C$64:$C$73,MATCH(D19,'🔄 Rotação Duplas'!$D$64:$D$73,0))),"Semana 6",IFERROR(INDEX('🔄 Rotação Duplas'!$D$78:$D$87,MATCH(D19,'🔄 Rotação Duplas'!$C$78:$C$87,0)),INDEX('🔄 Rotação Duplas'!$C$78:$C$87,MATCH(D19,'🔄 Rotação Duplas'!$D$78:$D$87,0))),"Semana 7",IFERROR(INDEX('🔄 Rotação Duplas'!$D$92:$D$101,MATCH(D19,'🔄 Rotação Duplas'!$C$92:$C$101,0)),INDEX('🔄 Rotação Duplas'!$C$92:$C$101,MATCH(D19,'🔄 Rotação Duplas'!$D$92:$D$101,0))),"Semana 8",IFERROR(INDEX('🔄 Rotação Duplas'!$D$106:$D$115,MATCH(D19,'🔄 Rotação Duplas'!$C$106:$C$115,0)),INDEX('🔄 Rotação Duplas'!$C$106:$C$115,MATCH(D19,'🔄 Rotação Duplas'!$D$106:$D$115,0)))),""))</f>
        <v>Tomás Carlos</v>
      </c>
      <c r="T19">
        <f t="shared" si="3"/>
        <v>0</v>
      </c>
    </row>
    <row r="20" spans="2:20" ht="18" customHeight="1" x14ac:dyDescent="0.2">
      <c r="B20" s="85" t="s">
        <v>47</v>
      </c>
      <c r="C20" s="86" t="str">
        <f t="shared" si="0"/>
        <v>Desafio 1</v>
      </c>
      <c r="D20" s="87" t="str">
        <f>'⚙️ Configuração'!C43</f>
        <v>Paula Martins</v>
      </c>
      <c r="E20" s="50">
        <v>10</v>
      </c>
      <c r="F20" s="50"/>
      <c r="G20" s="50"/>
      <c r="H20" s="50"/>
      <c r="I20" s="50"/>
      <c r="J20" s="50"/>
      <c r="K20" s="81">
        <f>(E20*'⚙️ Configuração'!$C$6+F20*'⚙️ Configuração'!$C$7+G20*'⚙️ Configuração'!$C$8+H20*'⚙️ Configuração'!$C$9+I20*'⚙️ Configuração'!$C$10+J20*'⚙️ Configuração'!$C$11)*IF(N20="S",2,1)</f>
        <v>10</v>
      </c>
      <c r="L20" s="90" t="s">
        <v>167</v>
      </c>
      <c r="M20" s="82">
        <f>IF(L20="AT1",'⚙️ Configuração'!$C$14,IF(L20="AT2",'⚙️ Configuração'!$C$15,IF(L20="FI",'⚙️ Configuração'!$C$16,IF(L20="FJ",'⚙️ Configuração'!$C$17,0))))</f>
        <v>0</v>
      </c>
      <c r="N20" s="91" t="s">
        <v>167</v>
      </c>
      <c r="O20" s="92"/>
      <c r="P20" s="83">
        <f>IF(O20="1",'⚙️ Configuração'!$C$21,IF(O20="2",'⚙️ Configuração'!$C$22,IF(O20="3",'⚙️ Configuração'!$C$23,IF(O20="Outro",'⚙️ Configuração'!$C$24,0))))</f>
        <v>0</v>
      </c>
      <c r="Q20" s="84">
        <f t="shared" si="2"/>
        <v>10</v>
      </c>
      <c r="R20" s="40" t="str">
        <f t="shared" si="1"/>
        <v>Semana 1 — ver 🔄</v>
      </c>
      <c r="S20" t="str" cm="1">
        <f t="array" ref="S20">IF(D20="","",IFERROR(_xlfn.SWITCH(B20,"Semana 1",IFERROR(INDEX('🔄 Rotação Duplas'!$D$8:$D$17,MATCH(D20,'🔄 Rotação Duplas'!$C$8:$C$17,0)),INDEX('🔄 Rotação Duplas'!$C$8:$C$17,MATCH(D20,'🔄 Rotação Duplas'!$D$8:$D$17,0))),"Semana 2",IFERROR(INDEX('🔄 Rotação Duplas'!$D$22:$D$31,MATCH(D20,'🔄 Rotação Duplas'!$C$22:$C$31,0)),INDEX('🔄 Rotação Duplas'!$C$22:$C$31,MATCH(D20,'🔄 Rotação Duplas'!$D$22:$D$31,0))),"Semana 3",IFERROR(INDEX('🔄 Rotação Duplas'!$D$36:$D$45,MATCH(D20,'🔄 Rotação Duplas'!$C$36:$C$45,0)),INDEX('🔄 Rotação Duplas'!$C$36:$C$45,MATCH(D20,'🔄 Rotação Duplas'!$D$36:$D$45,0))),"Semana 4",IFERROR(INDEX('🔄 Rotação Duplas'!$D$50:$D$59,MATCH(D20,'🔄 Rotação Duplas'!$C$50:$C$59,0)),INDEX('🔄 Rotação Duplas'!$C$50:$C$59,MATCH(D20,'🔄 Rotação Duplas'!$D$50:$D$59,0))),"Semana 5",IFERROR(INDEX('🔄 Rotação Duplas'!$D$64:$D$73,MATCH(D20,'🔄 Rotação Duplas'!$C$64:$C$73,0)),INDEX('🔄 Rotação Duplas'!$C$64:$C$73,MATCH(D20,'🔄 Rotação Duplas'!$D$64:$D$73,0))),"Semana 6",IFERROR(INDEX('🔄 Rotação Duplas'!$D$78:$D$87,MATCH(D20,'🔄 Rotação Duplas'!$C$78:$C$87,0)),INDEX('🔄 Rotação Duplas'!$C$78:$C$87,MATCH(D20,'🔄 Rotação Duplas'!$D$78:$D$87,0))),"Semana 7",IFERROR(INDEX('🔄 Rotação Duplas'!$D$92:$D$101,MATCH(D20,'🔄 Rotação Duplas'!$C$92:$C$101,0)),INDEX('🔄 Rotação Duplas'!$C$92:$C$101,MATCH(D20,'🔄 Rotação Duplas'!$D$92:$D$101,0))),"Semana 8",IFERROR(INDEX('🔄 Rotação Duplas'!$D$106:$D$115,MATCH(D20,'🔄 Rotação Duplas'!$C$106:$C$115,0)),INDEX('🔄 Rotação Duplas'!$C$106:$C$115,MATCH(D20,'🔄 Rotação Duplas'!$D$106:$D$115,0)))),""))</f>
        <v>Carla Barata</v>
      </c>
      <c r="T20">
        <f t="shared" si="3"/>
        <v>0</v>
      </c>
    </row>
    <row r="21" spans="2:20" ht="18" customHeight="1" x14ac:dyDescent="0.2">
      <c r="B21" s="78" t="s">
        <v>47</v>
      </c>
      <c r="C21" s="79" t="str">
        <f t="shared" si="0"/>
        <v>Desafio 1</v>
      </c>
      <c r="D21" s="80" t="str">
        <f>'⚙️ Configuração'!C44</f>
        <v>Paula Miabara</v>
      </c>
      <c r="E21" s="50">
        <v>8</v>
      </c>
      <c r="F21" s="50">
        <v>4</v>
      </c>
      <c r="G21" s="50"/>
      <c r="H21" s="50"/>
      <c r="I21" s="50"/>
      <c r="J21" s="50"/>
      <c r="K21" s="81">
        <f>(E21*'⚙️ Configuração'!$C$6+F21*'⚙️ Configuração'!$C$7+G21*'⚙️ Configuração'!$C$8+H21*'⚙️ Configuração'!$C$9+I21*'⚙️ Configuração'!$C$10+J21*'⚙️ Configuração'!$C$11)*IF(N21="S",2,1)</f>
        <v>16</v>
      </c>
      <c r="L21" s="90" t="s">
        <v>167</v>
      </c>
      <c r="M21" s="82">
        <f>IF(L21="AT1",'⚙️ Configuração'!$C$14,IF(L21="AT2",'⚙️ Configuração'!$C$15,IF(L21="FI",'⚙️ Configuração'!$C$16,IF(L21="FJ",'⚙️ Configuração'!$C$17,0))))</f>
        <v>0</v>
      </c>
      <c r="N21" s="91" t="s">
        <v>167</v>
      </c>
      <c r="O21" s="92"/>
      <c r="P21" s="83">
        <f>IF(O21="1",'⚙️ Configuração'!$C$21,IF(O21="2",'⚙️ Configuração'!$C$22,IF(O21="3",'⚙️ Configuração'!$C$23,IF(O21="Outro",'⚙️ Configuração'!$C$24,0))))</f>
        <v>0</v>
      </c>
      <c r="Q21" s="84">
        <f t="shared" si="2"/>
        <v>16</v>
      </c>
      <c r="R21" s="40" t="str">
        <f t="shared" si="1"/>
        <v>Semana 1 — ver 🔄</v>
      </c>
      <c r="S21" t="str" cm="1">
        <f t="array" ref="S21">IF(D21="","",IFERROR(_xlfn.SWITCH(B21,"Semana 1",IFERROR(INDEX('🔄 Rotação Duplas'!$D$8:$D$17,MATCH(D21,'🔄 Rotação Duplas'!$C$8:$C$17,0)),INDEX('🔄 Rotação Duplas'!$C$8:$C$17,MATCH(D21,'🔄 Rotação Duplas'!$D$8:$D$17,0))),"Semana 2",IFERROR(INDEX('🔄 Rotação Duplas'!$D$22:$D$31,MATCH(D21,'🔄 Rotação Duplas'!$C$22:$C$31,0)),INDEX('🔄 Rotação Duplas'!$C$22:$C$31,MATCH(D21,'🔄 Rotação Duplas'!$D$22:$D$31,0))),"Semana 3",IFERROR(INDEX('🔄 Rotação Duplas'!$D$36:$D$45,MATCH(D21,'🔄 Rotação Duplas'!$C$36:$C$45,0)),INDEX('🔄 Rotação Duplas'!$C$36:$C$45,MATCH(D21,'🔄 Rotação Duplas'!$D$36:$D$45,0))),"Semana 4",IFERROR(INDEX('🔄 Rotação Duplas'!$D$50:$D$59,MATCH(D21,'🔄 Rotação Duplas'!$C$50:$C$59,0)),INDEX('🔄 Rotação Duplas'!$C$50:$C$59,MATCH(D21,'🔄 Rotação Duplas'!$D$50:$D$59,0))),"Semana 5",IFERROR(INDEX('🔄 Rotação Duplas'!$D$64:$D$73,MATCH(D21,'🔄 Rotação Duplas'!$C$64:$C$73,0)),INDEX('🔄 Rotação Duplas'!$C$64:$C$73,MATCH(D21,'🔄 Rotação Duplas'!$D$64:$D$73,0))),"Semana 6",IFERROR(INDEX('🔄 Rotação Duplas'!$D$78:$D$87,MATCH(D21,'🔄 Rotação Duplas'!$C$78:$C$87,0)),INDEX('🔄 Rotação Duplas'!$C$78:$C$87,MATCH(D21,'🔄 Rotação Duplas'!$D$78:$D$87,0))),"Semana 7",IFERROR(INDEX('🔄 Rotação Duplas'!$D$92:$D$101,MATCH(D21,'🔄 Rotação Duplas'!$C$92:$C$101,0)),INDEX('🔄 Rotação Duplas'!$C$92:$C$101,MATCH(D21,'🔄 Rotação Duplas'!$D$92:$D$101,0))),"Semana 8",IFERROR(INDEX('🔄 Rotação Duplas'!$D$106:$D$115,MATCH(D21,'🔄 Rotação Duplas'!$C$106:$C$115,0)),INDEX('🔄 Rotação Duplas'!$C$106:$C$115,MATCH(D21,'🔄 Rotação Duplas'!$D$106:$D$115,0)))),""))</f>
        <v>Marta Torres</v>
      </c>
      <c r="T21">
        <f t="shared" si="3"/>
        <v>0</v>
      </c>
    </row>
    <row r="22" spans="2:20" ht="18" customHeight="1" x14ac:dyDescent="0.2">
      <c r="B22" s="85" t="s">
        <v>47</v>
      </c>
      <c r="C22" s="86" t="str">
        <f t="shared" si="0"/>
        <v>Desafio 1</v>
      </c>
      <c r="D22" s="87" t="str">
        <f>'⚙️ Configuração'!C45</f>
        <v>Rita Carmo</v>
      </c>
      <c r="E22" s="50">
        <v>20</v>
      </c>
      <c r="F22" s="50">
        <v>2</v>
      </c>
      <c r="G22" s="50">
        <v>1</v>
      </c>
      <c r="H22" s="50"/>
      <c r="I22" s="50"/>
      <c r="J22" s="50"/>
      <c r="K22" s="81">
        <f>(E22*'⚙️ Configuração'!$C$6+F22*'⚙️ Configuração'!$C$7+G22*'⚙️ Configuração'!$C$8+H22*'⚙️ Configuração'!$C$9+I22*'⚙️ Configuração'!$C$10+J22*'⚙️ Configuração'!$C$11)*IF(N22="S",2,1)</f>
        <v>29</v>
      </c>
      <c r="L22" s="90" t="s">
        <v>167</v>
      </c>
      <c r="M22" s="82">
        <f>IF(L22="AT1",'⚙️ Configuração'!$C$14,IF(L22="AT2",'⚙️ Configuração'!$C$15,IF(L22="FI",'⚙️ Configuração'!$C$16,IF(L22="FJ",'⚙️ Configuração'!$C$17,0))))</f>
        <v>0</v>
      </c>
      <c r="N22" s="91" t="s">
        <v>167</v>
      </c>
      <c r="O22" s="92"/>
      <c r="P22" s="83">
        <f>IF(O22="1",'⚙️ Configuração'!$C$21,IF(O22="2",'⚙️ Configuração'!$C$22,IF(O22="3",'⚙️ Configuração'!$C$23,IF(O22="Outro",'⚙️ Configuração'!$C$24,0))))</f>
        <v>0</v>
      </c>
      <c r="Q22" s="84">
        <f t="shared" si="2"/>
        <v>29</v>
      </c>
      <c r="R22" s="40" t="str">
        <f t="shared" si="1"/>
        <v>Semana 1 — ver 🔄</v>
      </c>
      <c r="S22" t="str" cm="1">
        <f t="array" ref="S22">IF(D22="","",IFERROR(_xlfn.SWITCH(B22,"Semana 1",IFERROR(INDEX('🔄 Rotação Duplas'!$D$8:$D$17,MATCH(D22,'🔄 Rotação Duplas'!$C$8:$C$17,0)),INDEX('🔄 Rotação Duplas'!$C$8:$C$17,MATCH(D22,'🔄 Rotação Duplas'!$D$8:$D$17,0))),"Semana 2",IFERROR(INDEX('🔄 Rotação Duplas'!$D$22:$D$31,MATCH(D22,'🔄 Rotação Duplas'!$C$22:$C$31,0)),INDEX('🔄 Rotação Duplas'!$C$22:$C$31,MATCH(D22,'🔄 Rotação Duplas'!$D$22:$D$31,0))),"Semana 3",IFERROR(INDEX('🔄 Rotação Duplas'!$D$36:$D$45,MATCH(D22,'🔄 Rotação Duplas'!$C$36:$C$45,0)),INDEX('🔄 Rotação Duplas'!$C$36:$C$45,MATCH(D22,'🔄 Rotação Duplas'!$D$36:$D$45,0))),"Semana 4",IFERROR(INDEX('🔄 Rotação Duplas'!$D$50:$D$59,MATCH(D22,'🔄 Rotação Duplas'!$C$50:$C$59,0)),INDEX('🔄 Rotação Duplas'!$C$50:$C$59,MATCH(D22,'🔄 Rotação Duplas'!$D$50:$D$59,0))),"Semana 5",IFERROR(INDEX('🔄 Rotação Duplas'!$D$64:$D$73,MATCH(D22,'🔄 Rotação Duplas'!$C$64:$C$73,0)),INDEX('🔄 Rotação Duplas'!$C$64:$C$73,MATCH(D22,'🔄 Rotação Duplas'!$D$64:$D$73,0))),"Semana 6",IFERROR(INDEX('🔄 Rotação Duplas'!$D$78:$D$87,MATCH(D22,'🔄 Rotação Duplas'!$C$78:$C$87,0)),INDEX('🔄 Rotação Duplas'!$C$78:$C$87,MATCH(D22,'🔄 Rotação Duplas'!$D$78:$D$87,0))),"Semana 7",IFERROR(INDEX('🔄 Rotação Duplas'!$D$92:$D$101,MATCH(D22,'🔄 Rotação Duplas'!$C$92:$C$101,0)),INDEX('🔄 Rotação Duplas'!$C$92:$C$101,MATCH(D22,'🔄 Rotação Duplas'!$D$92:$D$101,0))),"Semana 8",IFERROR(INDEX('🔄 Rotação Duplas'!$D$106:$D$115,MATCH(D22,'🔄 Rotação Duplas'!$C$106:$C$115,0)),INDEX('🔄 Rotação Duplas'!$C$106:$C$115,MATCH(D22,'🔄 Rotação Duplas'!$D$106:$D$115,0)))),""))</f>
        <v>João Xavier</v>
      </c>
      <c r="T22">
        <f t="shared" si="3"/>
        <v>0</v>
      </c>
    </row>
    <row r="23" spans="2:20" ht="18" customHeight="1" x14ac:dyDescent="0.2">
      <c r="B23" s="78" t="s">
        <v>47</v>
      </c>
      <c r="C23" s="79" t="str">
        <f t="shared" si="0"/>
        <v>Desafio 1</v>
      </c>
      <c r="D23" s="80" t="str">
        <f>'⚙️ Configuração'!C46</f>
        <v>William Fernandes</v>
      </c>
      <c r="E23" s="50">
        <v>11</v>
      </c>
      <c r="F23" s="50">
        <v>5</v>
      </c>
      <c r="G23" s="50">
        <v>1</v>
      </c>
      <c r="H23" s="50"/>
      <c r="I23" s="50"/>
      <c r="J23" s="50"/>
      <c r="K23" s="81">
        <f>(E23*'⚙️ Configuração'!$C$6+F23*'⚙️ Configuração'!$C$7+G23*'⚙️ Configuração'!$C$8+H23*'⚙️ Configuração'!$C$9+I23*'⚙️ Configuração'!$C$10+J23*'⚙️ Configuração'!$C$11)*IF(N23="S",2,1)</f>
        <v>26</v>
      </c>
      <c r="L23" s="90" t="s">
        <v>167</v>
      </c>
      <c r="M23" s="82">
        <f>IF(L23="AT1",'⚙️ Configuração'!$C$14,IF(L23="AT2",'⚙️ Configuração'!$C$15,IF(L23="FI",'⚙️ Configuração'!$C$16,IF(L23="FJ",'⚙️ Configuração'!$C$17,0))))</f>
        <v>0</v>
      </c>
      <c r="N23" s="91" t="s">
        <v>167</v>
      </c>
      <c r="O23" s="92"/>
      <c r="P23" s="83">
        <f>IF(O23="1",'⚙️ Configuração'!$C$21,IF(O23="2",'⚙️ Configuração'!$C$22,IF(O23="3",'⚙️ Configuração'!$C$23,IF(O23="Outro",'⚙️ Configuração'!$C$24,0))))</f>
        <v>0</v>
      </c>
      <c r="Q23" s="84">
        <f t="shared" si="2"/>
        <v>26</v>
      </c>
      <c r="R23" s="40" t="str">
        <f t="shared" si="1"/>
        <v>Semana 1 — ver 🔄</v>
      </c>
      <c r="S23" t="str" cm="1">
        <f t="array" ref="S23">IF(D23="","",IFERROR(_xlfn.SWITCH(B23,"Semana 1",IFERROR(INDEX('🔄 Rotação Duplas'!$D$8:$D$17,MATCH(D23,'🔄 Rotação Duplas'!$C$8:$C$17,0)),INDEX('🔄 Rotação Duplas'!$C$8:$C$17,MATCH(D23,'🔄 Rotação Duplas'!$D$8:$D$17,0))),"Semana 2",IFERROR(INDEX('🔄 Rotação Duplas'!$D$22:$D$31,MATCH(D23,'🔄 Rotação Duplas'!$C$22:$C$31,0)),INDEX('🔄 Rotação Duplas'!$C$22:$C$31,MATCH(D23,'🔄 Rotação Duplas'!$D$22:$D$31,0))),"Semana 3",IFERROR(INDEX('🔄 Rotação Duplas'!$D$36:$D$45,MATCH(D23,'🔄 Rotação Duplas'!$C$36:$C$45,0)),INDEX('🔄 Rotação Duplas'!$C$36:$C$45,MATCH(D23,'🔄 Rotação Duplas'!$D$36:$D$45,0))),"Semana 4",IFERROR(INDEX('🔄 Rotação Duplas'!$D$50:$D$59,MATCH(D23,'🔄 Rotação Duplas'!$C$50:$C$59,0)),INDEX('🔄 Rotação Duplas'!$C$50:$C$59,MATCH(D23,'🔄 Rotação Duplas'!$D$50:$D$59,0))),"Semana 5",IFERROR(INDEX('🔄 Rotação Duplas'!$D$64:$D$73,MATCH(D23,'🔄 Rotação Duplas'!$C$64:$C$73,0)),INDEX('🔄 Rotação Duplas'!$C$64:$C$73,MATCH(D23,'🔄 Rotação Duplas'!$D$64:$D$73,0))),"Semana 6",IFERROR(INDEX('🔄 Rotação Duplas'!$D$78:$D$87,MATCH(D23,'🔄 Rotação Duplas'!$C$78:$C$87,0)),INDEX('🔄 Rotação Duplas'!$C$78:$C$87,MATCH(D23,'🔄 Rotação Duplas'!$D$78:$D$87,0))),"Semana 7",IFERROR(INDEX('🔄 Rotação Duplas'!$D$92:$D$101,MATCH(D23,'🔄 Rotação Duplas'!$C$92:$C$101,0)),INDEX('🔄 Rotação Duplas'!$C$92:$C$101,MATCH(D23,'🔄 Rotação Duplas'!$D$92:$D$101,0))),"Semana 8",IFERROR(INDEX('🔄 Rotação Duplas'!$D$106:$D$115,MATCH(D23,'🔄 Rotação Duplas'!$C$106:$C$115,0)),INDEX('🔄 Rotação Duplas'!$C$106:$C$115,MATCH(D23,'🔄 Rotação Duplas'!$D$106:$D$115,0)))),""))</f>
        <v>Alexandra Correia</v>
      </c>
      <c r="T23">
        <f t="shared" si="3"/>
        <v>0</v>
      </c>
    </row>
    <row r="24" spans="2:20" ht="18" customHeight="1" x14ac:dyDescent="0.2">
      <c r="B24" s="85" t="s">
        <v>47</v>
      </c>
      <c r="C24" s="86" t="str">
        <f t="shared" si="0"/>
        <v>Desafio 1</v>
      </c>
      <c r="D24" s="87" t="str">
        <f>'⚙️ Configuração'!C47</f>
        <v>-</v>
      </c>
      <c r="E24" s="50"/>
      <c r="F24" s="50"/>
      <c r="G24" s="50"/>
      <c r="H24" s="50"/>
      <c r="I24" s="50"/>
      <c r="J24" s="50"/>
      <c r="K24" s="81"/>
      <c r="L24" s="90" t="s">
        <v>167</v>
      </c>
      <c r="M24" s="82">
        <f>IF(L24="AT1",'⚙️ Configuração'!$C$14,IF(L24="AT2",'⚙️ Configuração'!$C$15,IF(L24="FI",'⚙️ Configuração'!$C$16,IF(L24="FJ",'⚙️ Configuração'!$C$17,0))))</f>
        <v>0</v>
      </c>
      <c r="N24" s="91" t="s">
        <v>167</v>
      </c>
      <c r="O24" s="92"/>
      <c r="P24" s="83">
        <f>IF(O24="1",'⚙️ Configuração'!$C$21,IF(O24="2",'⚙️ Configuração'!$C$22,IF(O24="3",'⚙️ Configuração'!$C$23,IF(O24="Outro",'⚙️ Configuração'!$C$24,0))))</f>
        <v>0</v>
      </c>
      <c r="Q24" s="84">
        <f t="shared" si="2"/>
        <v>0</v>
      </c>
      <c r="R24" s="40" t="str">
        <f t="shared" si="1"/>
        <v>Semana 1 — ver 🔄</v>
      </c>
      <c r="S24" t="str" cm="1">
        <f t="array" ref="S24">IF(D24="","",IFERROR(_xlfn.SWITCH(B24,"Semana 1",IFERROR(INDEX('🔄 Rotação Duplas'!$D$8:$D$17,MATCH(D24,'🔄 Rotação Duplas'!$C$8:$C$17,0)),INDEX('🔄 Rotação Duplas'!$C$8:$C$17,MATCH(D24,'🔄 Rotação Duplas'!$D$8:$D$17,0))),"Semana 2",IFERROR(INDEX('🔄 Rotação Duplas'!$D$22:$D$31,MATCH(D24,'🔄 Rotação Duplas'!$C$22:$C$31,0)),INDEX('🔄 Rotação Duplas'!$C$22:$C$31,MATCH(D24,'🔄 Rotação Duplas'!$D$22:$D$31,0))),"Semana 3",IFERROR(INDEX('🔄 Rotação Duplas'!$D$36:$D$45,MATCH(D24,'🔄 Rotação Duplas'!$C$36:$C$45,0)),INDEX('🔄 Rotação Duplas'!$C$36:$C$45,MATCH(D24,'🔄 Rotação Duplas'!$D$36:$D$45,0))),"Semana 4",IFERROR(INDEX('🔄 Rotação Duplas'!$D$50:$D$59,MATCH(D24,'🔄 Rotação Duplas'!$C$50:$C$59,0)),INDEX('🔄 Rotação Duplas'!$C$50:$C$59,MATCH(D24,'🔄 Rotação Duplas'!$D$50:$D$59,0))),"Semana 5",IFERROR(INDEX('🔄 Rotação Duplas'!$D$64:$D$73,MATCH(D24,'🔄 Rotação Duplas'!$C$64:$C$73,0)),INDEX('🔄 Rotação Duplas'!$C$64:$C$73,MATCH(D24,'🔄 Rotação Duplas'!$D$64:$D$73,0))),"Semana 6",IFERROR(INDEX('🔄 Rotação Duplas'!$D$78:$D$87,MATCH(D24,'🔄 Rotação Duplas'!$C$78:$C$87,0)),INDEX('🔄 Rotação Duplas'!$C$78:$C$87,MATCH(D24,'🔄 Rotação Duplas'!$D$78:$D$87,0))),"Semana 7",IFERROR(INDEX('🔄 Rotação Duplas'!$D$92:$D$101,MATCH(D24,'🔄 Rotação Duplas'!$C$92:$C$101,0)),INDEX('🔄 Rotação Duplas'!$C$92:$C$101,MATCH(D24,'🔄 Rotação Duplas'!$D$92:$D$101,0))),"Semana 8",IFERROR(INDEX('🔄 Rotação Duplas'!$D$106:$D$115,MATCH(D24,'🔄 Rotação Duplas'!$C$106:$C$115,0)),INDEX('🔄 Rotação Duplas'!$C$106:$C$115,MATCH(D24,'🔄 Rotação Duplas'!$D$106:$D$115,0)))),""))</f>
        <v>-</v>
      </c>
      <c r="T24">
        <f t="shared" si="3"/>
        <v>0</v>
      </c>
    </row>
    <row r="25" spans="2:20" ht="18" customHeight="1" x14ac:dyDescent="0.2">
      <c r="B25" s="78" t="s">
        <v>47</v>
      </c>
      <c r="C25" s="79" t="str">
        <f t="shared" si="0"/>
        <v>Desafio 1</v>
      </c>
      <c r="D25" s="80" t="str">
        <f>'⚙️ Configuração'!C48</f>
        <v>-</v>
      </c>
      <c r="E25" s="50"/>
      <c r="F25" s="50"/>
      <c r="G25" s="50"/>
      <c r="H25" s="50"/>
      <c r="I25" s="50"/>
      <c r="J25" s="50"/>
      <c r="K25" s="81"/>
      <c r="L25" s="90" t="s">
        <v>167</v>
      </c>
      <c r="M25" s="82">
        <f>IF(L25="AT1",'⚙️ Configuração'!$C$14,IF(L25="AT2",'⚙️ Configuração'!$C$15,IF(L25="FI",'⚙️ Configuração'!$C$16,IF(L25="FJ",'⚙️ Configuração'!$C$17,0))))</f>
        <v>0</v>
      </c>
      <c r="N25" s="91" t="s">
        <v>167</v>
      </c>
      <c r="O25" s="92"/>
      <c r="P25" s="83">
        <f>IF(O25="1",'⚙️ Configuração'!$C$21,IF(O25="2",'⚙️ Configuração'!$C$22,IF(O25="3",'⚙️ Configuração'!$C$23,IF(O25="Outro",'⚙️ Configuração'!$C$24,0))))</f>
        <v>0</v>
      </c>
      <c r="Q25" s="84">
        <f t="shared" si="2"/>
        <v>0</v>
      </c>
      <c r="R25" s="40" t="str">
        <f t="shared" si="1"/>
        <v>Semana 1 — ver 🔄</v>
      </c>
      <c r="S25" t="str" cm="1">
        <f t="array" ref="S25">IF(D25="","",IFERROR(_xlfn.SWITCH(B25,"Semana 1",IFERROR(INDEX('🔄 Rotação Duplas'!$D$8:$D$17,MATCH(D25,'🔄 Rotação Duplas'!$C$8:$C$17,0)),INDEX('🔄 Rotação Duplas'!$C$8:$C$17,MATCH(D25,'🔄 Rotação Duplas'!$D$8:$D$17,0))),"Semana 2",IFERROR(INDEX('🔄 Rotação Duplas'!$D$22:$D$31,MATCH(D25,'🔄 Rotação Duplas'!$C$22:$C$31,0)),INDEX('🔄 Rotação Duplas'!$C$22:$C$31,MATCH(D25,'🔄 Rotação Duplas'!$D$22:$D$31,0))),"Semana 3",IFERROR(INDEX('🔄 Rotação Duplas'!$D$36:$D$45,MATCH(D25,'🔄 Rotação Duplas'!$C$36:$C$45,0)),INDEX('🔄 Rotação Duplas'!$C$36:$C$45,MATCH(D25,'🔄 Rotação Duplas'!$D$36:$D$45,0))),"Semana 4",IFERROR(INDEX('🔄 Rotação Duplas'!$D$50:$D$59,MATCH(D25,'🔄 Rotação Duplas'!$C$50:$C$59,0)),INDEX('🔄 Rotação Duplas'!$C$50:$C$59,MATCH(D25,'🔄 Rotação Duplas'!$D$50:$D$59,0))),"Semana 5",IFERROR(INDEX('🔄 Rotação Duplas'!$D$64:$D$73,MATCH(D25,'🔄 Rotação Duplas'!$C$64:$C$73,0)),INDEX('🔄 Rotação Duplas'!$C$64:$C$73,MATCH(D25,'🔄 Rotação Duplas'!$D$64:$D$73,0))),"Semana 6",IFERROR(INDEX('🔄 Rotação Duplas'!$D$78:$D$87,MATCH(D25,'🔄 Rotação Duplas'!$C$78:$C$87,0)),INDEX('🔄 Rotação Duplas'!$C$78:$C$87,MATCH(D25,'🔄 Rotação Duplas'!$D$78:$D$87,0))),"Semana 7",IFERROR(INDEX('🔄 Rotação Duplas'!$D$92:$D$101,MATCH(D25,'🔄 Rotação Duplas'!$C$92:$C$101,0)),INDEX('🔄 Rotação Duplas'!$C$92:$C$101,MATCH(D25,'🔄 Rotação Duplas'!$D$92:$D$101,0))),"Semana 8",IFERROR(INDEX('🔄 Rotação Duplas'!$D$106:$D$115,MATCH(D25,'🔄 Rotação Duplas'!$C$106:$C$115,0)),INDEX('🔄 Rotação Duplas'!$C$106:$C$115,MATCH(D25,'🔄 Rotação Duplas'!$D$106:$D$115,0)))),""))</f>
        <v>-</v>
      </c>
      <c r="T25">
        <f t="shared" si="3"/>
        <v>0</v>
      </c>
    </row>
    <row r="26" spans="2:20" ht="18" customHeight="1" x14ac:dyDescent="0.2">
      <c r="B26" s="85" t="s">
        <v>47</v>
      </c>
      <c r="C26" s="86" t="str">
        <f t="shared" si="0"/>
        <v>Desafio 1</v>
      </c>
      <c r="D26" s="87" t="str">
        <f>'⚙️ Configuração'!C49</f>
        <v>-</v>
      </c>
      <c r="E26" s="50"/>
      <c r="F26" s="50"/>
      <c r="G26" s="50"/>
      <c r="H26" s="50"/>
      <c r="I26" s="50"/>
      <c r="J26" s="50"/>
      <c r="K26" s="81"/>
      <c r="L26" s="90" t="s">
        <v>167</v>
      </c>
      <c r="M26" s="82">
        <f>IF(L26="AT1",'⚙️ Configuração'!$C$14,IF(L26="AT2",'⚙️ Configuração'!$C$15,IF(L26="FI",'⚙️ Configuração'!$C$16,IF(L26="FJ",'⚙️ Configuração'!$C$17,0))))</f>
        <v>0</v>
      </c>
      <c r="N26" s="91" t="s">
        <v>167</v>
      </c>
      <c r="O26" s="92"/>
      <c r="P26" s="83">
        <f>IF(O26="1",'⚙️ Configuração'!$C$21,IF(O26="2",'⚙️ Configuração'!$C$22,IF(O26="3",'⚙️ Configuração'!$C$23,IF(O26="Outro",'⚙️ Configuração'!$C$24,0))))</f>
        <v>0</v>
      </c>
      <c r="Q26" s="84">
        <f t="shared" si="2"/>
        <v>0</v>
      </c>
      <c r="R26" s="40" t="str">
        <f t="shared" si="1"/>
        <v>Semana 1 — ver 🔄</v>
      </c>
      <c r="S26" t="str" cm="1">
        <f t="array" ref="S26">IF(D26="","",IFERROR(_xlfn.SWITCH(B26,"Semana 1",IFERROR(INDEX('🔄 Rotação Duplas'!$D$8:$D$17,MATCH(D26,'🔄 Rotação Duplas'!$C$8:$C$17,0)),INDEX('🔄 Rotação Duplas'!$C$8:$C$17,MATCH(D26,'🔄 Rotação Duplas'!$D$8:$D$17,0))),"Semana 2",IFERROR(INDEX('🔄 Rotação Duplas'!$D$22:$D$31,MATCH(D26,'🔄 Rotação Duplas'!$C$22:$C$31,0)),INDEX('🔄 Rotação Duplas'!$C$22:$C$31,MATCH(D26,'🔄 Rotação Duplas'!$D$22:$D$31,0))),"Semana 3",IFERROR(INDEX('🔄 Rotação Duplas'!$D$36:$D$45,MATCH(D26,'🔄 Rotação Duplas'!$C$36:$C$45,0)),INDEX('🔄 Rotação Duplas'!$C$36:$C$45,MATCH(D26,'🔄 Rotação Duplas'!$D$36:$D$45,0))),"Semana 4",IFERROR(INDEX('🔄 Rotação Duplas'!$D$50:$D$59,MATCH(D26,'🔄 Rotação Duplas'!$C$50:$C$59,0)),INDEX('🔄 Rotação Duplas'!$C$50:$C$59,MATCH(D26,'🔄 Rotação Duplas'!$D$50:$D$59,0))),"Semana 5",IFERROR(INDEX('🔄 Rotação Duplas'!$D$64:$D$73,MATCH(D26,'🔄 Rotação Duplas'!$C$64:$C$73,0)),INDEX('🔄 Rotação Duplas'!$C$64:$C$73,MATCH(D26,'🔄 Rotação Duplas'!$D$64:$D$73,0))),"Semana 6",IFERROR(INDEX('🔄 Rotação Duplas'!$D$78:$D$87,MATCH(D26,'🔄 Rotação Duplas'!$C$78:$C$87,0)),INDEX('🔄 Rotação Duplas'!$C$78:$C$87,MATCH(D26,'🔄 Rotação Duplas'!$D$78:$D$87,0))),"Semana 7",IFERROR(INDEX('🔄 Rotação Duplas'!$D$92:$D$101,MATCH(D26,'🔄 Rotação Duplas'!$C$92:$C$101,0)),INDEX('🔄 Rotação Duplas'!$C$92:$C$101,MATCH(D26,'🔄 Rotação Duplas'!$D$92:$D$101,0))),"Semana 8",IFERROR(INDEX('🔄 Rotação Duplas'!$D$106:$D$115,MATCH(D26,'🔄 Rotação Duplas'!$C$106:$C$115,0)),INDEX('🔄 Rotação Duplas'!$C$106:$C$115,MATCH(D26,'🔄 Rotação Duplas'!$D$106:$D$115,0)))),""))</f>
        <v>-</v>
      </c>
      <c r="T26">
        <f t="shared" si="3"/>
        <v>0</v>
      </c>
    </row>
    <row r="27" spans="2:20" ht="18" customHeight="1" x14ac:dyDescent="0.2">
      <c r="B27" s="78" t="s">
        <v>47</v>
      </c>
      <c r="C27" s="79" t="str">
        <f t="shared" ref="C27:C46" si="4">"Desafio 2"</f>
        <v>Desafio 2</v>
      </c>
      <c r="D27" s="80" t="str">
        <f>'⚙️ Configuração'!C30</f>
        <v>Carla Cantante</v>
      </c>
      <c r="E27" s="50">
        <v>15</v>
      </c>
      <c r="F27" s="50">
        <v>3</v>
      </c>
      <c r="G27" s="50">
        <v>1</v>
      </c>
      <c r="H27" s="50"/>
      <c r="I27" s="50"/>
      <c r="J27" s="50"/>
      <c r="K27" s="81">
        <f>(E27*'⚙️ Configuração'!$C$6+F27*'⚙️ Configuração'!$C$7+G27*'⚙️ Configuração'!$C$8+H27*'⚙️ Configuração'!$C$9+I27*'⚙️ Configuração'!$C$10+J27*'⚙️ Configuração'!$C$11)*IF(N27="S",2,1)</f>
        <v>26</v>
      </c>
      <c r="L27" s="90" t="s">
        <v>167</v>
      </c>
      <c r="M27" s="82">
        <f>IF(L27="AT1",'⚙️ Configuração'!$C$14,IF(L27="AT2",'⚙️ Configuração'!$C$15,IF(L27="FI",'⚙️ Configuração'!$C$16,IF(L27="FJ",'⚙️ Configuração'!$C$17,0))))</f>
        <v>0</v>
      </c>
      <c r="N27" s="91" t="s">
        <v>167</v>
      </c>
      <c r="O27" s="92"/>
      <c r="P27" s="83">
        <f>IF(O27="1",'⚙️ Configuração'!$C$21,IF(O27="2",'⚙️ Configuração'!$C$22,IF(O27="3",'⚙️ Configuração'!$C$23,IF(O27="Outro",'⚙️ Configuração'!$C$24,0))))</f>
        <v>0</v>
      </c>
      <c r="Q27" s="84">
        <f t="shared" si="2"/>
        <v>26</v>
      </c>
      <c r="R27" s="40" t="str">
        <f t="shared" si="1"/>
        <v>Semana 1 — ver 🔄</v>
      </c>
      <c r="S27" t="str" cm="1">
        <f t="array" ref="S27">IF(D27="","",IFERROR(_xlfn.SWITCH(B27,"Semana 1",IFERROR(INDEX('🔄 Rotação Duplas'!$D$8:$D$17,MATCH(D27,'🔄 Rotação Duplas'!$C$8:$C$17,0)),INDEX('🔄 Rotação Duplas'!$C$8:$C$17,MATCH(D27,'🔄 Rotação Duplas'!$D$8:$D$17,0))),"Semana 2",IFERROR(INDEX('🔄 Rotação Duplas'!$D$22:$D$31,MATCH(D27,'🔄 Rotação Duplas'!$C$22:$C$31,0)),INDEX('🔄 Rotação Duplas'!$C$22:$C$31,MATCH(D27,'🔄 Rotação Duplas'!$D$22:$D$31,0))),"Semana 3",IFERROR(INDEX('🔄 Rotação Duplas'!$D$36:$D$45,MATCH(D27,'🔄 Rotação Duplas'!$C$36:$C$45,0)),INDEX('🔄 Rotação Duplas'!$C$36:$C$45,MATCH(D27,'🔄 Rotação Duplas'!$D$36:$D$45,0))),"Semana 4",IFERROR(INDEX('🔄 Rotação Duplas'!$D$50:$D$59,MATCH(D27,'🔄 Rotação Duplas'!$C$50:$C$59,0)),INDEX('🔄 Rotação Duplas'!$C$50:$C$59,MATCH(D27,'🔄 Rotação Duplas'!$D$50:$D$59,0))),"Semana 5",IFERROR(INDEX('🔄 Rotação Duplas'!$D$64:$D$73,MATCH(D27,'🔄 Rotação Duplas'!$C$64:$C$73,0)),INDEX('🔄 Rotação Duplas'!$C$64:$C$73,MATCH(D27,'🔄 Rotação Duplas'!$D$64:$D$73,0))),"Semana 6",IFERROR(INDEX('🔄 Rotação Duplas'!$D$78:$D$87,MATCH(D27,'🔄 Rotação Duplas'!$C$78:$C$87,0)),INDEX('🔄 Rotação Duplas'!$C$78:$C$87,MATCH(D27,'🔄 Rotação Duplas'!$D$78:$D$87,0))),"Semana 7",IFERROR(INDEX('🔄 Rotação Duplas'!$D$92:$D$101,MATCH(D27,'🔄 Rotação Duplas'!$C$92:$C$101,0)),INDEX('🔄 Rotação Duplas'!$C$92:$C$101,MATCH(D27,'🔄 Rotação Duplas'!$D$92:$D$101,0))),"Semana 8",IFERROR(INDEX('🔄 Rotação Duplas'!$D$106:$D$115,MATCH(D27,'🔄 Rotação Duplas'!$C$106:$C$115,0)),INDEX('🔄 Rotação Duplas'!$C$106:$C$115,MATCH(D27,'🔄 Rotação Duplas'!$D$106:$D$115,0)))),""))</f>
        <v>Denise Filipe</v>
      </c>
      <c r="T27">
        <f t="shared" si="3"/>
        <v>0</v>
      </c>
    </row>
    <row r="28" spans="2:20" ht="18" customHeight="1" x14ac:dyDescent="0.2">
      <c r="B28" s="85" t="s">
        <v>47</v>
      </c>
      <c r="C28" s="86" t="str">
        <f t="shared" si="4"/>
        <v>Desafio 2</v>
      </c>
      <c r="D28" s="87" t="str">
        <f>'⚙️ Configuração'!C31</f>
        <v>Elisabete Mendes</v>
      </c>
      <c r="E28" s="50">
        <v>4</v>
      </c>
      <c r="F28" s="50"/>
      <c r="G28" s="50"/>
      <c r="H28" s="50"/>
      <c r="I28" s="50"/>
      <c r="J28" s="50"/>
      <c r="K28" s="81">
        <f>(E28*'⚙️ Configuração'!$C$6+F28*'⚙️ Configuração'!$C$7+G28*'⚙️ Configuração'!$C$8+H28*'⚙️ Configuração'!$C$9+I28*'⚙️ Configuração'!$C$10+J28*'⚙️ Configuração'!$C$11)*IF(N28="S",2,1)</f>
        <v>4</v>
      </c>
      <c r="L28" s="90" t="s">
        <v>167</v>
      </c>
      <c r="M28" s="82">
        <f>IF(L28="AT1",'⚙️ Configuração'!$C$14,IF(L28="AT2",'⚙️ Configuração'!$C$15,IF(L28="FI",'⚙️ Configuração'!$C$16,IF(L28="FJ",'⚙️ Configuração'!$C$17,0))))</f>
        <v>0</v>
      </c>
      <c r="N28" s="91" t="s">
        <v>167</v>
      </c>
      <c r="O28" s="92"/>
      <c r="P28" s="83">
        <f>IF(O28="1",'⚙️ Configuração'!$C$21,IF(O28="2",'⚙️ Configuração'!$C$22,IF(O28="3",'⚙️ Configuração'!$C$23,IF(O28="Outro",'⚙️ Configuração'!$C$24,0))))</f>
        <v>0</v>
      </c>
      <c r="Q28" s="84">
        <f t="shared" si="2"/>
        <v>4</v>
      </c>
      <c r="R28" s="40" t="str">
        <f t="shared" si="1"/>
        <v>Semana 1 — ver 🔄</v>
      </c>
      <c r="S28" t="str" cm="1">
        <f t="array" ref="S28">IF(D28="","",IFERROR(_xlfn.SWITCH(B28,"Semana 1",IFERROR(INDEX('🔄 Rotação Duplas'!$D$8:$D$17,MATCH(D28,'🔄 Rotação Duplas'!$C$8:$C$17,0)),INDEX('🔄 Rotação Duplas'!$C$8:$C$17,MATCH(D28,'🔄 Rotação Duplas'!$D$8:$D$17,0))),"Semana 2",IFERROR(INDEX('🔄 Rotação Duplas'!$D$22:$D$31,MATCH(D28,'🔄 Rotação Duplas'!$C$22:$C$31,0)),INDEX('🔄 Rotação Duplas'!$C$22:$C$31,MATCH(D28,'🔄 Rotação Duplas'!$D$22:$D$31,0))),"Semana 3",IFERROR(INDEX('🔄 Rotação Duplas'!$D$36:$D$45,MATCH(D28,'🔄 Rotação Duplas'!$C$36:$C$45,0)),INDEX('🔄 Rotação Duplas'!$C$36:$C$45,MATCH(D28,'🔄 Rotação Duplas'!$D$36:$D$45,0))),"Semana 4",IFERROR(INDEX('🔄 Rotação Duplas'!$D$50:$D$59,MATCH(D28,'🔄 Rotação Duplas'!$C$50:$C$59,0)),INDEX('🔄 Rotação Duplas'!$C$50:$C$59,MATCH(D28,'🔄 Rotação Duplas'!$D$50:$D$59,0))),"Semana 5",IFERROR(INDEX('🔄 Rotação Duplas'!$D$64:$D$73,MATCH(D28,'🔄 Rotação Duplas'!$C$64:$C$73,0)),INDEX('🔄 Rotação Duplas'!$C$64:$C$73,MATCH(D28,'🔄 Rotação Duplas'!$D$64:$D$73,0))),"Semana 6",IFERROR(INDEX('🔄 Rotação Duplas'!$D$78:$D$87,MATCH(D28,'🔄 Rotação Duplas'!$C$78:$C$87,0)),INDEX('🔄 Rotação Duplas'!$C$78:$C$87,MATCH(D28,'🔄 Rotação Duplas'!$D$78:$D$87,0))),"Semana 7",IFERROR(INDEX('🔄 Rotação Duplas'!$D$92:$D$101,MATCH(D28,'🔄 Rotação Duplas'!$C$92:$C$101,0)),INDEX('🔄 Rotação Duplas'!$C$92:$C$101,MATCH(D28,'🔄 Rotação Duplas'!$D$92:$D$101,0))),"Semana 8",IFERROR(INDEX('🔄 Rotação Duplas'!$D$106:$D$115,MATCH(D28,'🔄 Rotação Duplas'!$C$106:$C$115,0)),INDEX('🔄 Rotação Duplas'!$C$106:$C$115,MATCH(D28,'🔄 Rotação Duplas'!$D$106:$D$115,0)))),""))</f>
        <v>Helena Rocha</v>
      </c>
      <c r="T28">
        <f t="shared" si="3"/>
        <v>0</v>
      </c>
    </row>
    <row r="29" spans="2:20" ht="18" customHeight="1" x14ac:dyDescent="0.2">
      <c r="B29" s="78" t="s">
        <v>47</v>
      </c>
      <c r="C29" s="79" t="str">
        <f t="shared" si="4"/>
        <v>Desafio 2</v>
      </c>
      <c r="D29" s="80" t="str">
        <f>'⚙️ Configuração'!C32</f>
        <v>Filipa Cunha</v>
      </c>
      <c r="E29" s="50">
        <v>26</v>
      </c>
      <c r="F29" s="50">
        <v>3</v>
      </c>
      <c r="G29" s="50">
        <v>1</v>
      </c>
      <c r="H29" s="50"/>
      <c r="I29" s="50"/>
      <c r="J29" s="50"/>
      <c r="K29" s="81">
        <f>(E29*'⚙️ Configuração'!$C$6+F29*'⚙️ Configuração'!$C$7+G29*'⚙️ Configuração'!$C$8+H29*'⚙️ Configuração'!$C$9+I29*'⚙️ Configuração'!$C$10+J29*'⚙️ Configuração'!$C$11)*IF(N29="S",2,1)</f>
        <v>37</v>
      </c>
      <c r="L29" s="90" t="s">
        <v>167</v>
      </c>
      <c r="M29" s="82">
        <f>IF(L29="AT1",'⚙️ Configuração'!$C$14,IF(L29="AT2",'⚙️ Configuração'!$C$15,IF(L29="FI",'⚙️ Configuração'!$C$16,IF(L29="FJ",'⚙️ Configuração'!$C$17,0))))</f>
        <v>0</v>
      </c>
      <c r="N29" s="91" t="s">
        <v>167</v>
      </c>
      <c r="O29" s="92"/>
      <c r="P29" s="83">
        <f>IF(O29="1",'⚙️ Configuração'!$C$21,IF(O29="2",'⚙️ Configuração'!$C$22,IF(O29="3",'⚙️ Configuração'!$C$23,IF(O29="Outro",'⚙️ Configuração'!$C$24,0))))</f>
        <v>0</v>
      </c>
      <c r="Q29" s="84">
        <f t="shared" si="2"/>
        <v>37</v>
      </c>
      <c r="R29" s="40" t="str">
        <f t="shared" si="1"/>
        <v>Semana 1 — ver 🔄</v>
      </c>
      <c r="S29" t="str" cm="1">
        <f t="array" ref="S29">IF(D29="","",IFERROR(_xlfn.SWITCH(B29,"Semana 1",IFERROR(INDEX('🔄 Rotação Duplas'!$D$8:$D$17,MATCH(D29,'🔄 Rotação Duplas'!$C$8:$C$17,0)),INDEX('🔄 Rotação Duplas'!$C$8:$C$17,MATCH(D29,'🔄 Rotação Duplas'!$D$8:$D$17,0))),"Semana 2",IFERROR(INDEX('🔄 Rotação Duplas'!$D$22:$D$31,MATCH(D29,'🔄 Rotação Duplas'!$C$22:$C$31,0)),INDEX('🔄 Rotação Duplas'!$C$22:$C$31,MATCH(D29,'🔄 Rotação Duplas'!$D$22:$D$31,0))),"Semana 3",IFERROR(INDEX('🔄 Rotação Duplas'!$D$36:$D$45,MATCH(D29,'🔄 Rotação Duplas'!$C$36:$C$45,0)),INDEX('🔄 Rotação Duplas'!$C$36:$C$45,MATCH(D29,'🔄 Rotação Duplas'!$D$36:$D$45,0))),"Semana 4",IFERROR(INDEX('🔄 Rotação Duplas'!$D$50:$D$59,MATCH(D29,'🔄 Rotação Duplas'!$C$50:$C$59,0)),INDEX('🔄 Rotação Duplas'!$C$50:$C$59,MATCH(D29,'🔄 Rotação Duplas'!$D$50:$D$59,0))),"Semana 5",IFERROR(INDEX('🔄 Rotação Duplas'!$D$64:$D$73,MATCH(D29,'🔄 Rotação Duplas'!$C$64:$C$73,0)),INDEX('🔄 Rotação Duplas'!$C$64:$C$73,MATCH(D29,'🔄 Rotação Duplas'!$D$64:$D$73,0))),"Semana 6",IFERROR(INDEX('🔄 Rotação Duplas'!$D$78:$D$87,MATCH(D29,'🔄 Rotação Duplas'!$C$78:$C$87,0)),INDEX('🔄 Rotação Duplas'!$C$78:$C$87,MATCH(D29,'🔄 Rotação Duplas'!$D$78:$D$87,0))),"Semana 7",IFERROR(INDEX('🔄 Rotação Duplas'!$D$92:$D$101,MATCH(D29,'🔄 Rotação Duplas'!$C$92:$C$101,0)),INDEX('🔄 Rotação Duplas'!$C$92:$C$101,MATCH(D29,'🔄 Rotação Duplas'!$D$92:$D$101,0))),"Semana 8",IFERROR(INDEX('🔄 Rotação Duplas'!$D$106:$D$115,MATCH(D29,'🔄 Rotação Duplas'!$C$106:$C$115,0)),INDEX('🔄 Rotação Duplas'!$C$106:$C$115,MATCH(D29,'🔄 Rotação Duplas'!$D$106:$D$115,0)))),""))</f>
        <v>Maria João Travassos</v>
      </c>
      <c r="T29">
        <f t="shared" si="3"/>
        <v>0</v>
      </c>
    </row>
    <row r="30" spans="2:20" ht="18" customHeight="1" x14ac:dyDescent="0.2">
      <c r="B30" s="85" t="s">
        <v>47</v>
      </c>
      <c r="C30" s="86" t="str">
        <f t="shared" si="4"/>
        <v>Desafio 2</v>
      </c>
      <c r="D30" s="87" t="str">
        <f>'⚙️ Configuração'!C33</f>
        <v>Helena Rocha</v>
      </c>
      <c r="E30" s="50">
        <v>10</v>
      </c>
      <c r="F30" s="50">
        <v>2</v>
      </c>
      <c r="G30" s="50"/>
      <c r="H30" s="50"/>
      <c r="I30" s="50"/>
      <c r="J30" s="50"/>
      <c r="K30" s="81">
        <f>(E30*'⚙️ Configuração'!$C$6+F30*'⚙️ Configuração'!$C$7+G30*'⚙️ Configuração'!$C$8+H30*'⚙️ Configuração'!$C$9+I30*'⚙️ Configuração'!$C$10+J30*'⚙️ Configuração'!$C$11)*IF(N30="S",2,1)</f>
        <v>14</v>
      </c>
      <c r="L30" s="90" t="s">
        <v>167</v>
      </c>
      <c r="M30" s="82">
        <f>IF(L30="AT1",'⚙️ Configuração'!$C$14,IF(L30="AT2",'⚙️ Configuração'!$C$15,IF(L30="FI",'⚙️ Configuração'!$C$16,IF(L30="FJ",'⚙️ Configuração'!$C$17,0))))</f>
        <v>0</v>
      </c>
      <c r="N30" s="91" t="s">
        <v>167</v>
      </c>
      <c r="O30" s="92"/>
      <c r="P30" s="83">
        <f>IF(O30="1",'⚙️ Configuração'!$C$21,IF(O30="2",'⚙️ Configuração'!$C$22,IF(O30="3",'⚙️ Configuração'!$C$23,IF(O30="Outro",'⚙️ Configuração'!$C$24,0))))</f>
        <v>0</v>
      </c>
      <c r="Q30" s="84">
        <f t="shared" si="2"/>
        <v>14</v>
      </c>
      <c r="R30" s="40" t="str">
        <f t="shared" si="1"/>
        <v>Semana 1 — ver 🔄</v>
      </c>
      <c r="S30" t="str" cm="1">
        <f t="array" ref="S30">IF(D30="","",IFERROR(_xlfn.SWITCH(B30,"Semana 1",IFERROR(INDEX('🔄 Rotação Duplas'!$D$8:$D$17,MATCH(D30,'🔄 Rotação Duplas'!$C$8:$C$17,0)),INDEX('🔄 Rotação Duplas'!$C$8:$C$17,MATCH(D30,'🔄 Rotação Duplas'!$D$8:$D$17,0))),"Semana 2",IFERROR(INDEX('🔄 Rotação Duplas'!$D$22:$D$31,MATCH(D30,'🔄 Rotação Duplas'!$C$22:$C$31,0)),INDEX('🔄 Rotação Duplas'!$C$22:$C$31,MATCH(D30,'🔄 Rotação Duplas'!$D$22:$D$31,0))),"Semana 3",IFERROR(INDEX('🔄 Rotação Duplas'!$D$36:$D$45,MATCH(D30,'🔄 Rotação Duplas'!$C$36:$C$45,0)),INDEX('🔄 Rotação Duplas'!$C$36:$C$45,MATCH(D30,'🔄 Rotação Duplas'!$D$36:$D$45,0))),"Semana 4",IFERROR(INDEX('🔄 Rotação Duplas'!$D$50:$D$59,MATCH(D30,'🔄 Rotação Duplas'!$C$50:$C$59,0)),INDEX('🔄 Rotação Duplas'!$C$50:$C$59,MATCH(D30,'🔄 Rotação Duplas'!$D$50:$D$59,0))),"Semana 5",IFERROR(INDEX('🔄 Rotação Duplas'!$D$64:$D$73,MATCH(D30,'🔄 Rotação Duplas'!$C$64:$C$73,0)),INDEX('🔄 Rotação Duplas'!$C$64:$C$73,MATCH(D30,'🔄 Rotação Duplas'!$D$64:$D$73,0))),"Semana 6",IFERROR(INDEX('🔄 Rotação Duplas'!$D$78:$D$87,MATCH(D30,'🔄 Rotação Duplas'!$C$78:$C$87,0)),INDEX('🔄 Rotação Duplas'!$C$78:$C$87,MATCH(D30,'🔄 Rotação Duplas'!$D$78:$D$87,0))),"Semana 7",IFERROR(INDEX('🔄 Rotação Duplas'!$D$92:$D$101,MATCH(D30,'🔄 Rotação Duplas'!$C$92:$C$101,0)),INDEX('🔄 Rotação Duplas'!$C$92:$C$101,MATCH(D30,'🔄 Rotação Duplas'!$D$92:$D$101,0))),"Semana 8",IFERROR(INDEX('🔄 Rotação Duplas'!$D$106:$D$115,MATCH(D30,'🔄 Rotação Duplas'!$C$106:$C$115,0)),INDEX('🔄 Rotação Duplas'!$C$106:$C$115,MATCH(D30,'🔄 Rotação Duplas'!$D$106:$D$115,0)))),""))</f>
        <v>Elisabete Mendes</v>
      </c>
      <c r="T30">
        <f t="shared" si="3"/>
        <v>0</v>
      </c>
    </row>
    <row r="31" spans="2:20" ht="18" customHeight="1" x14ac:dyDescent="0.2">
      <c r="B31" s="78" t="s">
        <v>47</v>
      </c>
      <c r="C31" s="79" t="str">
        <f t="shared" si="4"/>
        <v>Desafio 2</v>
      </c>
      <c r="D31" s="80" t="str">
        <f>'⚙️ Configuração'!C34</f>
        <v>João Xavier</v>
      </c>
      <c r="E31" s="50">
        <v>13</v>
      </c>
      <c r="F31" s="50">
        <v>2</v>
      </c>
      <c r="G31" s="50">
        <v>3</v>
      </c>
      <c r="H31" s="50"/>
      <c r="I31" s="50"/>
      <c r="J31" s="50"/>
      <c r="K31" s="81">
        <f>(E31*'⚙️ Configuração'!$C$6+F31*'⚙️ Configuração'!$C$7+G31*'⚙️ Configuração'!$C$8+H31*'⚙️ Configuração'!$C$9+I31*'⚙️ Configuração'!$C$10+J31*'⚙️ Configuração'!$C$11)*IF(N31="S",2,1)</f>
        <v>32</v>
      </c>
      <c r="L31" s="90" t="s">
        <v>167</v>
      </c>
      <c r="M31" s="82">
        <f>IF(L31="AT1",'⚙️ Configuração'!$C$14,IF(L31="AT2",'⚙️ Configuração'!$C$15,IF(L31="FI",'⚙️ Configuração'!$C$16,IF(L31="FJ",'⚙️ Configuração'!$C$17,0))))</f>
        <v>0</v>
      </c>
      <c r="N31" s="91" t="s">
        <v>167</v>
      </c>
      <c r="O31" s="92"/>
      <c r="P31" s="83">
        <f>IF(O31="1",'⚙️ Configuração'!$C$21,IF(O31="2",'⚙️ Configuração'!$C$22,IF(O31="3",'⚙️ Configuração'!$C$23,IF(O31="Outro",'⚙️ Configuração'!$C$24,0))))</f>
        <v>0</v>
      </c>
      <c r="Q31" s="84">
        <f t="shared" si="2"/>
        <v>32</v>
      </c>
      <c r="R31" s="40" t="str">
        <f t="shared" si="1"/>
        <v>Semana 1 — ver 🔄</v>
      </c>
      <c r="S31" t="str" cm="1">
        <f t="array" ref="S31">IF(D31="","",IFERROR(_xlfn.SWITCH(B31,"Semana 1",IFERROR(INDEX('🔄 Rotação Duplas'!$D$8:$D$17,MATCH(D31,'🔄 Rotação Duplas'!$C$8:$C$17,0)),INDEX('🔄 Rotação Duplas'!$C$8:$C$17,MATCH(D31,'🔄 Rotação Duplas'!$D$8:$D$17,0))),"Semana 2",IFERROR(INDEX('🔄 Rotação Duplas'!$D$22:$D$31,MATCH(D31,'🔄 Rotação Duplas'!$C$22:$C$31,0)),INDEX('🔄 Rotação Duplas'!$C$22:$C$31,MATCH(D31,'🔄 Rotação Duplas'!$D$22:$D$31,0))),"Semana 3",IFERROR(INDEX('🔄 Rotação Duplas'!$D$36:$D$45,MATCH(D31,'🔄 Rotação Duplas'!$C$36:$C$45,0)),INDEX('🔄 Rotação Duplas'!$C$36:$C$45,MATCH(D31,'🔄 Rotação Duplas'!$D$36:$D$45,0))),"Semana 4",IFERROR(INDEX('🔄 Rotação Duplas'!$D$50:$D$59,MATCH(D31,'🔄 Rotação Duplas'!$C$50:$C$59,0)),INDEX('🔄 Rotação Duplas'!$C$50:$C$59,MATCH(D31,'🔄 Rotação Duplas'!$D$50:$D$59,0))),"Semana 5",IFERROR(INDEX('🔄 Rotação Duplas'!$D$64:$D$73,MATCH(D31,'🔄 Rotação Duplas'!$C$64:$C$73,0)),INDEX('🔄 Rotação Duplas'!$C$64:$C$73,MATCH(D31,'🔄 Rotação Duplas'!$D$64:$D$73,0))),"Semana 6",IFERROR(INDEX('🔄 Rotação Duplas'!$D$78:$D$87,MATCH(D31,'🔄 Rotação Duplas'!$C$78:$C$87,0)),INDEX('🔄 Rotação Duplas'!$C$78:$C$87,MATCH(D31,'🔄 Rotação Duplas'!$D$78:$D$87,0))),"Semana 7",IFERROR(INDEX('🔄 Rotação Duplas'!$D$92:$D$101,MATCH(D31,'🔄 Rotação Duplas'!$C$92:$C$101,0)),INDEX('🔄 Rotação Duplas'!$C$92:$C$101,MATCH(D31,'🔄 Rotação Duplas'!$D$92:$D$101,0))),"Semana 8",IFERROR(INDEX('🔄 Rotação Duplas'!$D$106:$D$115,MATCH(D31,'🔄 Rotação Duplas'!$C$106:$C$115,0)),INDEX('🔄 Rotação Duplas'!$C$106:$C$115,MATCH(D31,'🔄 Rotação Duplas'!$D$106:$D$115,0)))),""))</f>
        <v>Rita Carmo</v>
      </c>
      <c r="T31">
        <f t="shared" si="3"/>
        <v>0</v>
      </c>
    </row>
    <row r="32" spans="2:20" ht="18" customHeight="1" x14ac:dyDescent="0.2">
      <c r="B32" s="85" t="s">
        <v>47</v>
      </c>
      <c r="C32" s="86" t="str">
        <f t="shared" si="4"/>
        <v>Desafio 2</v>
      </c>
      <c r="D32" s="87" t="str">
        <f>'⚙️ Configuração'!C35</f>
        <v>Tomás Carlos</v>
      </c>
      <c r="E32" s="50">
        <v>11</v>
      </c>
      <c r="F32" s="50">
        <v>2</v>
      </c>
      <c r="G32" s="50"/>
      <c r="H32" s="50"/>
      <c r="I32" s="50"/>
      <c r="J32" s="50"/>
      <c r="K32" s="81">
        <f>(E32*'⚙️ Configuração'!$C$6+F32*'⚙️ Configuração'!$C$7+G32*'⚙️ Configuração'!$C$8+H32*'⚙️ Configuração'!$C$9+I32*'⚙️ Configuração'!$C$10+J32*'⚙️ Configuração'!$C$11)*IF(N32="S",2,1)</f>
        <v>15</v>
      </c>
      <c r="L32" s="90" t="s">
        <v>167</v>
      </c>
      <c r="M32" s="82">
        <f>IF(L32="AT1",'⚙️ Configuração'!$C$14,IF(L32="AT2",'⚙️ Configuração'!$C$15,IF(L32="FI",'⚙️ Configuração'!$C$16,IF(L32="FJ",'⚙️ Configuração'!$C$17,0))))</f>
        <v>0</v>
      </c>
      <c r="N32" s="91" t="s">
        <v>167</v>
      </c>
      <c r="O32" s="92"/>
      <c r="P32" s="83">
        <f>IF(O32="1",'⚙️ Configuração'!$C$21,IF(O32="2",'⚙️ Configuração'!$C$22,IF(O32="3",'⚙️ Configuração'!$C$23,IF(O32="Outro",'⚙️ Configuração'!$C$24,0))))</f>
        <v>0</v>
      </c>
      <c r="Q32" s="84">
        <f t="shared" si="2"/>
        <v>15</v>
      </c>
      <c r="R32" s="40" t="str">
        <f t="shared" si="1"/>
        <v>Semana 1 — ver 🔄</v>
      </c>
      <c r="S32" t="str" cm="1">
        <f t="array" ref="S32">IF(D32="","",IFERROR(_xlfn.SWITCH(B32,"Semana 1",IFERROR(INDEX('🔄 Rotação Duplas'!$D$8:$D$17,MATCH(D32,'🔄 Rotação Duplas'!$C$8:$C$17,0)),INDEX('🔄 Rotação Duplas'!$C$8:$C$17,MATCH(D32,'🔄 Rotação Duplas'!$D$8:$D$17,0))),"Semana 2",IFERROR(INDEX('🔄 Rotação Duplas'!$D$22:$D$31,MATCH(D32,'🔄 Rotação Duplas'!$C$22:$C$31,0)),INDEX('🔄 Rotação Duplas'!$C$22:$C$31,MATCH(D32,'🔄 Rotação Duplas'!$D$22:$D$31,0))),"Semana 3",IFERROR(INDEX('🔄 Rotação Duplas'!$D$36:$D$45,MATCH(D32,'🔄 Rotação Duplas'!$C$36:$C$45,0)),INDEX('🔄 Rotação Duplas'!$C$36:$C$45,MATCH(D32,'🔄 Rotação Duplas'!$D$36:$D$45,0))),"Semana 4",IFERROR(INDEX('🔄 Rotação Duplas'!$D$50:$D$59,MATCH(D32,'🔄 Rotação Duplas'!$C$50:$C$59,0)),INDEX('🔄 Rotação Duplas'!$C$50:$C$59,MATCH(D32,'🔄 Rotação Duplas'!$D$50:$D$59,0))),"Semana 5",IFERROR(INDEX('🔄 Rotação Duplas'!$D$64:$D$73,MATCH(D32,'🔄 Rotação Duplas'!$C$64:$C$73,0)),INDEX('🔄 Rotação Duplas'!$C$64:$C$73,MATCH(D32,'🔄 Rotação Duplas'!$D$64:$D$73,0))),"Semana 6",IFERROR(INDEX('🔄 Rotação Duplas'!$D$78:$D$87,MATCH(D32,'🔄 Rotação Duplas'!$C$78:$C$87,0)),INDEX('🔄 Rotação Duplas'!$C$78:$C$87,MATCH(D32,'🔄 Rotação Duplas'!$D$78:$D$87,0))),"Semana 7",IFERROR(INDEX('🔄 Rotação Duplas'!$D$92:$D$101,MATCH(D32,'🔄 Rotação Duplas'!$C$92:$C$101,0)),INDEX('🔄 Rotação Duplas'!$C$92:$C$101,MATCH(D32,'🔄 Rotação Duplas'!$D$92:$D$101,0))),"Semana 8",IFERROR(INDEX('🔄 Rotação Duplas'!$D$106:$D$115,MATCH(D32,'🔄 Rotação Duplas'!$C$106:$C$115,0)),INDEX('🔄 Rotação Duplas'!$C$106:$C$115,MATCH(D32,'🔄 Rotação Duplas'!$D$106:$D$115,0)))),""))</f>
        <v>Patricia Isabel Silva</v>
      </c>
      <c r="T32">
        <f t="shared" si="3"/>
        <v>0</v>
      </c>
    </row>
    <row r="33" spans="2:20" ht="18" customHeight="1" x14ac:dyDescent="0.2">
      <c r="B33" s="78" t="s">
        <v>47</v>
      </c>
      <c r="C33" s="79" t="str">
        <f t="shared" si="4"/>
        <v>Desafio 2</v>
      </c>
      <c r="D33" s="80" t="str">
        <f>'⚙️ Configuração'!C36</f>
        <v>Alexandra Correia</v>
      </c>
      <c r="E33" s="50">
        <v>9</v>
      </c>
      <c r="F33" s="50">
        <v>2</v>
      </c>
      <c r="G33" s="50">
        <v>2</v>
      </c>
      <c r="H33" s="50"/>
      <c r="I33" s="50"/>
      <c r="J33" s="50"/>
      <c r="K33" s="81">
        <f>(E33*'⚙️ Configuração'!$C$6+F33*'⚙️ Configuração'!$C$7+G33*'⚙️ Configuração'!$C$8+H33*'⚙️ Configuração'!$C$9+I33*'⚙️ Configuração'!$C$10+J33*'⚙️ Configuração'!$C$11)*IF(N33="S",2,1)</f>
        <v>23</v>
      </c>
      <c r="L33" s="90" t="s">
        <v>167</v>
      </c>
      <c r="M33" s="82">
        <f>IF(L33="AT1",'⚙️ Configuração'!$C$14,IF(L33="AT2",'⚙️ Configuração'!$C$15,IF(L33="FI",'⚙️ Configuração'!$C$16,IF(L33="FJ",'⚙️ Configuração'!$C$17,0))))</f>
        <v>0</v>
      </c>
      <c r="N33" s="91" t="s">
        <v>167</v>
      </c>
      <c r="O33" s="92"/>
      <c r="P33" s="83">
        <f>IF(O33="1",'⚙️ Configuração'!$C$21,IF(O33="2",'⚙️ Configuração'!$C$22,IF(O33="3",'⚙️ Configuração'!$C$23,IF(O33="Outro",'⚙️ Configuração'!$C$24,0))))</f>
        <v>0</v>
      </c>
      <c r="Q33" s="84">
        <f t="shared" si="2"/>
        <v>23</v>
      </c>
      <c r="R33" s="40" t="str">
        <f t="shared" si="1"/>
        <v>Semana 1 — ver 🔄</v>
      </c>
      <c r="S33" t="str" cm="1">
        <f t="array" ref="S33">IF(D33="","",IFERROR(_xlfn.SWITCH(B33,"Semana 1",IFERROR(INDEX('🔄 Rotação Duplas'!$D$8:$D$17,MATCH(D33,'🔄 Rotação Duplas'!$C$8:$C$17,0)),INDEX('🔄 Rotação Duplas'!$C$8:$C$17,MATCH(D33,'🔄 Rotação Duplas'!$D$8:$D$17,0))),"Semana 2",IFERROR(INDEX('🔄 Rotação Duplas'!$D$22:$D$31,MATCH(D33,'🔄 Rotação Duplas'!$C$22:$C$31,0)),INDEX('🔄 Rotação Duplas'!$C$22:$C$31,MATCH(D33,'🔄 Rotação Duplas'!$D$22:$D$31,0))),"Semana 3",IFERROR(INDEX('🔄 Rotação Duplas'!$D$36:$D$45,MATCH(D33,'🔄 Rotação Duplas'!$C$36:$C$45,0)),INDEX('🔄 Rotação Duplas'!$C$36:$C$45,MATCH(D33,'🔄 Rotação Duplas'!$D$36:$D$45,0))),"Semana 4",IFERROR(INDEX('🔄 Rotação Duplas'!$D$50:$D$59,MATCH(D33,'🔄 Rotação Duplas'!$C$50:$C$59,0)),INDEX('🔄 Rotação Duplas'!$C$50:$C$59,MATCH(D33,'🔄 Rotação Duplas'!$D$50:$D$59,0))),"Semana 5",IFERROR(INDEX('🔄 Rotação Duplas'!$D$64:$D$73,MATCH(D33,'🔄 Rotação Duplas'!$C$64:$C$73,0)),INDEX('🔄 Rotação Duplas'!$C$64:$C$73,MATCH(D33,'🔄 Rotação Duplas'!$D$64:$D$73,0))),"Semana 6",IFERROR(INDEX('🔄 Rotação Duplas'!$D$78:$D$87,MATCH(D33,'🔄 Rotação Duplas'!$C$78:$C$87,0)),INDEX('🔄 Rotação Duplas'!$C$78:$C$87,MATCH(D33,'🔄 Rotação Duplas'!$D$78:$D$87,0))),"Semana 7",IFERROR(INDEX('🔄 Rotação Duplas'!$D$92:$D$101,MATCH(D33,'🔄 Rotação Duplas'!$C$92:$C$101,0)),INDEX('🔄 Rotação Duplas'!$C$92:$C$101,MATCH(D33,'🔄 Rotação Duplas'!$D$92:$D$101,0))),"Semana 8",IFERROR(INDEX('🔄 Rotação Duplas'!$D$106:$D$115,MATCH(D33,'🔄 Rotação Duplas'!$C$106:$C$115,0)),INDEX('🔄 Rotação Duplas'!$C$106:$C$115,MATCH(D33,'🔄 Rotação Duplas'!$D$106:$D$115,0)))),""))</f>
        <v>William Fernandes</v>
      </c>
      <c r="T33">
        <f t="shared" si="3"/>
        <v>0</v>
      </c>
    </row>
    <row r="34" spans="2:20" ht="18" customHeight="1" x14ac:dyDescent="0.2">
      <c r="B34" s="85" t="s">
        <v>47</v>
      </c>
      <c r="C34" s="86" t="str">
        <f t="shared" si="4"/>
        <v>Desafio 2</v>
      </c>
      <c r="D34" s="87" t="str">
        <f>'⚙️ Configuração'!C37</f>
        <v>Carla Barata</v>
      </c>
      <c r="E34" s="50"/>
      <c r="F34" s="50"/>
      <c r="G34" s="50"/>
      <c r="H34" s="50"/>
      <c r="I34" s="50"/>
      <c r="J34" s="50"/>
      <c r="K34" s="81">
        <f>(E34*'⚙️ Configuração'!$C$6+F34*'⚙️ Configuração'!$C$7+G34*'⚙️ Configuração'!$C$8+H34*'⚙️ Configuração'!$C$9+I34*'⚙️ Configuração'!$C$10+J34*'⚙️ Configuração'!$C$11)*IF(N34="S",2,1)</f>
        <v>0</v>
      </c>
      <c r="L34" s="90" t="s">
        <v>84</v>
      </c>
      <c r="M34" s="82">
        <f>IF(L34="AT1",'⚙️ Configuração'!$C$14,IF(L34="AT2",'⚙️ Configuração'!$C$15,IF(L34="FI",'⚙️ Configuração'!$C$16,IF(L34="FJ",'⚙️ Configuração'!$C$17,0))))</f>
        <v>0</v>
      </c>
      <c r="N34" s="91" t="s">
        <v>167</v>
      </c>
      <c r="O34" s="92"/>
      <c r="P34" s="83">
        <f>IF(O34="1",'⚙️ Configuração'!$C$21,IF(O34="2",'⚙️ Configuração'!$C$22,IF(O34="3",'⚙️ Configuração'!$C$23,IF(O34="Outro",'⚙️ Configuração'!$C$24,0))))</f>
        <v>0</v>
      </c>
      <c r="Q34" s="84">
        <f t="shared" si="2"/>
        <v>0</v>
      </c>
      <c r="R34" s="40" t="str">
        <f t="shared" si="1"/>
        <v>Semana 1 — ver 🔄</v>
      </c>
      <c r="S34" t="str" cm="1">
        <f t="array" ref="S34">IF(D34="","",IFERROR(_xlfn.SWITCH(B34,"Semana 1",IFERROR(INDEX('🔄 Rotação Duplas'!$D$8:$D$17,MATCH(D34,'🔄 Rotação Duplas'!$C$8:$C$17,0)),INDEX('🔄 Rotação Duplas'!$C$8:$C$17,MATCH(D34,'🔄 Rotação Duplas'!$D$8:$D$17,0))),"Semana 2",IFERROR(INDEX('🔄 Rotação Duplas'!$D$22:$D$31,MATCH(D34,'🔄 Rotação Duplas'!$C$22:$C$31,0)),INDEX('🔄 Rotação Duplas'!$C$22:$C$31,MATCH(D34,'🔄 Rotação Duplas'!$D$22:$D$31,0))),"Semana 3",IFERROR(INDEX('🔄 Rotação Duplas'!$D$36:$D$45,MATCH(D34,'🔄 Rotação Duplas'!$C$36:$C$45,0)),INDEX('🔄 Rotação Duplas'!$C$36:$C$45,MATCH(D34,'🔄 Rotação Duplas'!$D$36:$D$45,0))),"Semana 4",IFERROR(INDEX('🔄 Rotação Duplas'!$D$50:$D$59,MATCH(D34,'🔄 Rotação Duplas'!$C$50:$C$59,0)),INDEX('🔄 Rotação Duplas'!$C$50:$C$59,MATCH(D34,'🔄 Rotação Duplas'!$D$50:$D$59,0))),"Semana 5",IFERROR(INDEX('🔄 Rotação Duplas'!$D$64:$D$73,MATCH(D34,'🔄 Rotação Duplas'!$C$64:$C$73,0)),INDEX('🔄 Rotação Duplas'!$C$64:$C$73,MATCH(D34,'🔄 Rotação Duplas'!$D$64:$D$73,0))),"Semana 6",IFERROR(INDEX('🔄 Rotação Duplas'!$D$78:$D$87,MATCH(D34,'🔄 Rotação Duplas'!$C$78:$C$87,0)),INDEX('🔄 Rotação Duplas'!$C$78:$C$87,MATCH(D34,'🔄 Rotação Duplas'!$D$78:$D$87,0))),"Semana 7",IFERROR(INDEX('🔄 Rotação Duplas'!$D$92:$D$101,MATCH(D34,'🔄 Rotação Duplas'!$C$92:$C$101,0)),INDEX('🔄 Rotação Duplas'!$C$92:$C$101,MATCH(D34,'🔄 Rotação Duplas'!$D$92:$D$101,0))),"Semana 8",IFERROR(INDEX('🔄 Rotação Duplas'!$D$106:$D$115,MATCH(D34,'🔄 Rotação Duplas'!$C$106:$C$115,0)),INDEX('🔄 Rotação Duplas'!$C$106:$C$115,MATCH(D34,'🔄 Rotação Duplas'!$D$106:$D$115,0)))),""))</f>
        <v>Paula Martins</v>
      </c>
      <c r="T34">
        <f t="shared" si="3"/>
        <v>0</v>
      </c>
    </row>
    <row r="35" spans="2:20" ht="18" customHeight="1" x14ac:dyDescent="0.2">
      <c r="B35" s="78" t="s">
        <v>47</v>
      </c>
      <c r="C35" s="79" t="str">
        <f t="shared" si="4"/>
        <v>Desafio 2</v>
      </c>
      <c r="D35" s="80" t="str">
        <f>'⚙️ Configuração'!C38</f>
        <v>Denise Filipe</v>
      </c>
      <c r="E35" s="50">
        <v>5</v>
      </c>
      <c r="F35" s="50">
        <v>3</v>
      </c>
      <c r="G35" s="50">
        <v>1</v>
      </c>
      <c r="H35" s="50"/>
      <c r="I35" s="50"/>
      <c r="J35" s="50"/>
      <c r="K35" s="81">
        <f>(E35*'⚙️ Configuração'!$C$6+F35*'⚙️ Configuração'!$C$7+G35*'⚙️ Configuração'!$C$8+H35*'⚙️ Configuração'!$C$9+I35*'⚙️ Configuração'!$C$10+J35*'⚙️ Configuração'!$C$11)*IF(N35="S",2,1)</f>
        <v>16</v>
      </c>
      <c r="L35" s="90" t="s">
        <v>167</v>
      </c>
      <c r="M35" s="82">
        <f>IF(L35="AT1",'⚙️ Configuração'!$C$14,IF(L35="AT2",'⚙️ Configuração'!$C$15,IF(L35="FI",'⚙️ Configuração'!$C$16,IF(L35="FJ",'⚙️ Configuração'!$C$17,0))))</f>
        <v>0</v>
      </c>
      <c r="N35" s="91" t="s">
        <v>167</v>
      </c>
      <c r="O35" s="92"/>
      <c r="P35" s="83">
        <f>IF(O35="1",'⚙️ Configuração'!$C$21,IF(O35="2",'⚙️ Configuração'!$C$22,IF(O35="3",'⚙️ Configuração'!$C$23,IF(O35="Outro",'⚙️ Configuração'!$C$24,0))))</f>
        <v>0</v>
      </c>
      <c r="Q35" s="84">
        <f t="shared" si="2"/>
        <v>16</v>
      </c>
      <c r="R35" s="40" t="str">
        <f t="shared" si="1"/>
        <v>Semana 1 — ver 🔄</v>
      </c>
      <c r="S35" t="str" cm="1">
        <f t="array" ref="S35">IF(D35="","",IFERROR(_xlfn.SWITCH(B35,"Semana 1",IFERROR(INDEX('🔄 Rotação Duplas'!$D$8:$D$17,MATCH(D35,'🔄 Rotação Duplas'!$C$8:$C$17,0)),INDEX('🔄 Rotação Duplas'!$C$8:$C$17,MATCH(D35,'🔄 Rotação Duplas'!$D$8:$D$17,0))),"Semana 2",IFERROR(INDEX('🔄 Rotação Duplas'!$D$22:$D$31,MATCH(D35,'🔄 Rotação Duplas'!$C$22:$C$31,0)),INDEX('🔄 Rotação Duplas'!$C$22:$C$31,MATCH(D35,'🔄 Rotação Duplas'!$D$22:$D$31,0))),"Semana 3",IFERROR(INDEX('🔄 Rotação Duplas'!$D$36:$D$45,MATCH(D35,'🔄 Rotação Duplas'!$C$36:$C$45,0)),INDEX('🔄 Rotação Duplas'!$C$36:$C$45,MATCH(D35,'🔄 Rotação Duplas'!$D$36:$D$45,0))),"Semana 4",IFERROR(INDEX('🔄 Rotação Duplas'!$D$50:$D$59,MATCH(D35,'🔄 Rotação Duplas'!$C$50:$C$59,0)),INDEX('🔄 Rotação Duplas'!$C$50:$C$59,MATCH(D35,'🔄 Rotação Duplas'!$D$50:$D$59,0))),"Semana 5",IFERROR(INDEX('🔄 Rotação Duplas'!$D$64:$D$73,MATCH(D35,'🔄 Rotação Duplas'!$C$64:$C$73,0)),INDEX('🔄 Rotação Duplas'!$C$64:$C$73,MATCH(D35,'🔄 Rotação Duplas'!$D$64:$D$73,0))),"Semana 6",IFERROR(INDEX('🔄 Rotação Duplas'!$D$78:$D$87,MATCH(D35,'🔄 Rotação Duplas'!$C$78:$C$87,0)),INDEX('🔄 Rotação Duplas'!$C$78:$C$87,MATCH(D35,'🔄 Rotação Duplas'!$D$78:$D$87,0))),"Semana 7",IFERROR(INDEX('🔄 Rotação Duplas'!$D$92:$D$101,MATCH(D35,'🔄 Rotação Duplas'!$C$92:$C$101,0)),INDEX('🔄 Rotação Duplas'!$C$92:$C$101,MATCH(D35,'🔄 Rotação Duplas'!$D$92:$D$101,0))),"Semana 8",IFERROR(INDEX('🔄 Rotação Duplas'!$D$106:$D$115,MATCH(D35,'🔄 Rotação Duplas'!$C$106:$C$115,0)),INDEX('🔄 Rotação Duplas'!$C$106:$C$115,MATCH(D35,'🔄 Rotação Duplas'!$D$106:$D$115,0)))),""))</f>
        <v>Carla Cantante</v>
      </c>
      <c r="T35">
        <f t="shared" si="3"/>
        <v>0</v>
      </c>
    </row>
    <row r="36" spans="2:20" ht="18" customHeight="1" x14ac:dyDescent="0.2">
      <c r="B36" s="85" t="s">
        <v>47</v>
      </c>
      <c r="C36" s="86" t="str">
        <f t="shared" si="4"/>
        <v>Desafio 2</v>
      </c>
      <c r="D36" s="87" t="str">
        <f>'⚙️ Configuração'!C39</f>
        <v>Fátima Rodriguez</v>
      </c>
      <c r="E36" s="50">
        <v>15</v>
      </c>
      <c r="F36" s="50">
        <v>3</v>
      </c>
      <c r="G36" s="50">
        <v>2</v>
      </c>
      <c r="H36" s="50"/>
      <c r="I36" s="50"/>
      <c r="J36" s="50"/>
      <c r="K36" s="81">
        <f>(E36*'⚙️ Configuração'!$C$6+F36*'⚙️ Configuração'!$C$7+G36*'⚙️ Configuração'!$C$8+H36*'⚙️ Configuração'!$C$9+I36*'⚙️ Configuração'!$C$10+J36*'⚙️ Configuração'!$C$11)*IF(N36="S",2,1)</f>
        <v>31</v>
      </c>
      <c r="L36" s="90" t="s">
        <v>167</v>
      </c>
      <c r="M36" s="82">
        <f>IF(L36="AT1",'⚙️ Configuração'!$C$14,IF(L36="AT2",'⚙️ Configuração'!$C$15,IF(L36="FI",'⚙️ Configuração'!$C$16,IF(L36="FJ",'⚙️ Configuração'!$C$17,0))))</f>
        <v>0</v>
      </c>
      <c r="N36" s="91" t="s">
        <v>167</v>
      </c>
      <c r="O36" s="92"/>
      <c r="P36" s="83">
        <f>IF(O36="1",'⚙️ Configuração'!$C$21,IF(O36="2",'⚙️ Configuração'!$C$22,IF(O36="3",'⚙️ Configuração'!$C$23,IF(O36="Outro",'⚙️ Configuração'!$C$24,0))))</f>
        <v>0</v>
      </c>
      <c r="Q36" s="84">
        <f t="shared" si="2"/>
        <v>31</v>
      </c>
      <c r="R36" s="40" t="str">
        <f t="shared" si="1"/>
        <v>Semana 1 — ver 🔄</v>
      </c>
      <c r="S36" cm="1">
        <f t="array" ref="S36">IF(D36="","",IFERROR(_xlfn.SWITCH(B36,"Semana 1",IFERROR(INDEX('🔄 Rotação Duplas'!$D$8:$D$17,MATCH(D36,'🔄 Rotação Duplas'!$C$8:$C$17,0)),INDEX('🔄 Rotação Duplas'!$C$8:$C$17,MATCH(D36,'🔄 Rotação Duplas'!$D$8:$D$17,0))),"Semana 2",IFERROR(INDEX('🔄 Rotação Duplas'!$D$22:$D$31,MATCH(D36,'🔄 Rotação Duplas'!$C$22:$C$31,0)),INDEX('🔄 Rotação Duplas'!$C$22:$C$31,MATCH(D36,'🔄 Rotação Duplas'!$D$22:$D$31,0))),"Semana 3",IFERROR(INDEX('🔄 Rotação Duplas'!$D$36:$D$45,MATCH(D36,'🔄 Rotação Duplas'!$C$36:$C$45,0)),INDEX('🔄 Rotação Duplas'!$C$36:$C$45,MATCH(D36,'🔄 Rotação Duplas'!$D$36:$D$45,0))),"Semana 4",IFERROR(INDEX('🔄 Rotação Duplas'!$D$50:$D$59,MATCH(D36,'🔄 Rotação Duplas'!$C$50:$C$59,0)),INDEX('🔄 Rotação Duplas'!$C$50:$C$59,MATCH(D36,'🔄 Rotação Duplas'!$D$50:$D$59,0))),"Semana 5",IFERROR(INDEX('🔄 Rotação Duplas'!$D$64:$D$73,MATCH(D36,'🔄 Rotação Duplas'!$C$64:$C$73,0)),INDEX('🔄 Rotação Duplas'!$C$64:$C$73,MATCH(D36,'🔄 Rotação Duplas'!$D$64:$D$73,0))),"Semana 6",IFERROR(INDEX('🔄 Rotação Duplas'!$D$78:$D$87,MATCH(D36,'🔄 Rotação Duplas'!$C$78:$C$87,0)),INDEX('🔄 Rotação Duplas'!$C$78:$C$87,MATCH(D36,'🔄 Rotação Duplas'!$D$78:$D$87,0))),"Semana 7",IFERROR(INDEX('🔄 Rotação Duplas'!$D$92:$D$101,MATCH(D36,'🔄 Rotação Duplas'!$C$92:$C$101,0)),INDEX('🔄 Rotação Duplas'!$C$92:$C$101,MATCH(D36,'🔄 Rotação Duplas'!$D$92:$D$101,0))),"Semana 8",IFERROR(INDEX('🔄 Rotação Duplas'!$D$106:$D$115,MATCH(D36,'🔄 Rotação Duplas'!$C$106:$C$115,0)),INDEX('🔄 Rotação Duplas'!$C$106:$C$115,MATCH(D36,'🔄 Rotação Duplas'!$D$106:$D$115,0)))),""))</f>
        <v>0</v>
      </c>
      <c r="T36">
        <f t="shared" si="3"/>
        <v>0</v>
      </c>
    </row>
    <row r="37" spans="2:20" ht="18" customHeight="1" x14ac:dyDescent="0.2">
      <c r="B37" s="78" t="s">
        <v>47</v>
      </c>
      <c r="C37" s="79" t="str">
        <f t="shared" si="4"/>
        <v>Desafio 2</v>
      </c>
      <c r="D37" s="80" t="str">
        <f>'⚙️ Configuração'!C40</f>
        <v>Maria João Travassos</v>
      </c>
      <c r="E37" s="50">
        <v>9</v>
      </c>
      <c r="F37" s="50">
        <v>2</v>
      </c>
      <c r="G37" s="50"/>
      <c r="H37" s="50"/>
      <c r="I37" s="50"/>
      <c r="J37" s="50"/>
      <c r="K37" s="81">
        <f>(E37*'⚙️ Configuração'!$C$6+F37*'⚙️ Configuração'!$C$7+G37*'⚙️ Configuração'!$C$8+H37*'⚙️ Configuração'!$C$9+I37*'⚙️ Configuração'!$C$10+J37*'⚙️ Configuração'!$C$11)*IF(N37="S",2,1)</f>
        <v>13</v>
      </c>
      <c r="L37" s="90" t="s">
        <v>167</v>
      </c>
      <c r="M37" s="82">
        <f>IF(L37="AT1",'⚙️ Configuração'!$C$14,IF(L37="AT2",'⚙️ Configuração'!$C$15,IF(L37="FI",'⚙️ Configuração'!$C$16,IF(L37="FJ",'⚙️ Configuração'!$C$17,0))))</f>
        <v>0</v>
      </c>
      <c r="N37" s="91" t="s">
        <v>167</v>
      </c>
      <c r="O37" s="92"/>
      <c r="P37" s="83">
        <f>IF(O37="1",'⚙️ Configuração'!$C$21,IF(O37="2",'⚙️ Configuração'!$C$22,IF(O37="3",'⚙️ Configuração'!$C$23,IF(O37="Outro",'⚙️ Configuração'!$C$24,0))))</f>
        <v>0</v>
      </c>
      <c r="Q37" s="84">
        <f t="shared" si="2"/>
        <v>13</v>
      </c>
      <c r="R37" s="40" t="str">
        <f t="shared" si="1"/>
        <v>Semana 1 — ver 🔄</v>
      </c>
      <c r="S37" t="str" cm="1">
        <f t="array" ref="S37">IF(D37="","",IFERROR(_xlfn.SWITCH(B37,"Semana 1",IFERROR(INDEX('🔄 Rotação Duplas'!$D$8:$D$17,MATCH(D37,'🔄 Rotação Duplas'!$C$8:$C$17,0)),INDEX('🔄 Rotação Duplas'!$C$8:$C$17,MATCH(D37,'🔄 Rotação Duplas'!$D$8:$D$17,0))),"Semana 2",IFERROR(INDEX('🔄 Rotação Duplas'!$D$22:$D$31,MATCH(D37,'🔄 Rotação Duplas'!$C$22:$C$31,0)),INDEX('🔄 Rotação Duplas'!$C$22:$C$31,MATCH(D37,'🔄 Rotação Duplas'!$D$22:$D$31,0))),"Semana 3",IFERROR(INDEX('🔄 Rotação Duplas'!$D$36:$D$45,MATCH(D37,'🔄 Rotação Duplas'!$C$36:$C$45,0)),INDEX('🔄 Rotação Duplas'!$C$36:$C$45,MATCH(D37,'🔄 Rotação Duplas'!$D$36:$D$45,0))),"Semana 4",IFERROR(INDEX('🔄 Rotação Duplas'!$D$50:$D$59,MATCH(D37,'🔄 Rotação Duplas'!$C$50:$C$59,0)),INDEX('🔄 Rotação Duplas'!$C$50:$C$59,MATCH(D37,'🔄 Rotação Duplas'!$D$50:$D$59,0))),"Semana 5",IFERROR(INDEX('🔄 Rotação Duplas'!$D$64:$D$73,MATCH(D37,'🔄 Rotação Duplas'!$C$64:$C$73,0)),INDEX('🔄 Rotação Duplas'!$C$64:$C$73,MATCH(D37,'🔄 Rotação Duplas'!$D$64:$D$73,0))),"Semana 6",IFERROR(INDEX('🔄 Rotação Duplas'!$D$78:$D$87,MATCH(D37,'🔄 Rotação Duplas'!$C$78:$C$87,0)),INDEX('🔄 Rotação Duplas'!$C$78:$C$87,MATCH(D37,'🔄 Rotação Duplas'!$D$78:$D$87,0))),"Semana 7",IFERROR(INDEX('🔄 Rotação Duplas'!$D$92:$D$101,MATCH(D37,'🔄 Rotação Duplas'!$C$92:$C$101,0)),INDEX('🔄 Rotação Duplas'!$C$92:$C$101,MATCH(D37,'🔄 Rotação Duplas'!$D$92:$D$101,0))),"Semana 8",IFERROR(INDEX('🔄 Rotação Duplas'!$D$106:$D$115,MATCH(D37,'🔄 Rotação Duplas'!$C$106:$C$115,0)),INDEX('🔄 Rotação Duplas'!$C$106:$C$115,MATCH(D37,'🔄 Rotação Duplas'!$D$106:$D$115,0)))),""))</f>
        <v>Filipa Cunha</v>
      </c>
      <c r="T37">
        <f t="shared" si="3"/>
        <v>0</v>
      </c>
    </row>
    <row r="38" spans="2:20" ht="18" customHeight="1" x14ac:dyDescent="0.2">
      <c r="B38" s="85" t="s">
        <v>47</v>
      </c>
      <c r="C38" s="86" t="str">
        <f t="shared" si="4"/>
        <v>Desafio 2</v>
      </c>
      <c r="D38" s="87" t="str">
        <f>'⚙️ Configuração'!C41</f>
        <v>Marta Torres</v>
      </c>
      <c r="E38" s="50">
        <v>10</v>
      </c>
      <c r="F38" s="50">
        <v>2</v>
      </c>
      <c r="G38" s="50">
        <v>1</v>
      </c>
      <c r="H38" s="50"/>
      <c r="I38" s="50"/>
      <c r="J38" s="50"/>
      <c r="K38" s="81">
        <f>(E38*'⚙️ Configuração'!$C$6+F38*'⚙️ Configuração'!$C$7+G38*'⚙️ Configuração'!$C$8+H38*'⚙️ Configuração'!$C$9+I38*'⚙️ Configuração'!$C$10+J38*'⚙️ Configuração'!$C$11)*IF(N38="S",2,1)</f>
        <v>19</v>
      </c>
      <c r="L38" s="90" t="s">
        <v>167</v>
      </c>
      <c r="M38" s="82">
        <f>IF(L38="AT1",'⚙️ Configuração'!$C$14,IF(L38="AT2",'⚙️ Configuração'!$C$15,IF(L38="FI",'⚙️ Configuração'!$C$16,IF(L38="FJ",'⚙️ Configuração'!$C$17,0))))</f>
        <v>0</v>
      </c>
      <c r="N38" s="91" t="s">
        <v>167</v>
      </c>
      <c r="O38" s="92"/>
      <c r="P38" s="83">
        <f>IF(O38="1",'⚙️ Configuração'!$C$21,IF(O38="2",'⚙️ Configuração'!$C$22,IF(O38="3",'⚙️ Configuração'!$C$23,IF(O38="Outro",'⚙️ Configuração'!$C$24,0))))</f>
        <v>0</v>
      </c>
      <c r="Q38" s="84">
        <f t="shared" si="2"/>
        <v>19</v>
      </c>
      <c r="R38" s="40" t="str">
        <f t="shared" si="1"/>
        <v>Semana 1 — ver 🔄</v>
      </c>
      <c r="S38" t="str" cm="1">
        <f t="array" ref="S38">IF(D38="","",IFERROR(_xlfn.SWITCH(B38,"Semana 1",IFERROR(INDEX('🔄 Rotação Duplas'!$D$8:$D$17,MATCH(D38,'🔄 Rotação Duplas'!$C$8:$C$17,0)),INDEX('🔄 Rotação Duplas'!$C$8:$C$17,MATCH(D38,'🔄 Rotação Duplas'!$D$8:$D$17,0))),"Semana 2",IFERROR(INDEX('🔄 Rotação Duplas'!$D$22:$D$31,MATCH(D38,'🔄 Rotação Duplas'!$C$22:$C$31,0)),INDEX('🔄 Rotação Duplas'!$C$22:$C$31,MATCH(D38,'🔄 Rotação Duplas'!$D$22:$D$31,0))),"Semana 3",IFERROR(INDEX('🔄 Rotação Duplas'!$D$36:$D$45,MATCH(D38,'🔄 Rotação Duplas'!$C$36:$C$45,0)),INDEX('🔄 Rotação Duplas'!$C$36:$C$45,MATCH(D38,'🔄 Rotação Duplas'!$D$36:$D$45,0))),"Semana 4",IFERROR(INDEX('🔄 Rotação Duplas'!$D$50:$D$59,MATCH(D38,'🔄 Rotação Duplas'!$C$50:$C$59,0)),INDEX('🔄 Rotação Duplas'!$C$50:$C$59,MATCH(D38,'🔄 Rotação Duplas'!$D$50:$D$59,0))),"Semana 5",IFERROR(INDEX('🔄 Rotação Duplas'!$D$64:$D$73,MATCH(D38,'🔄 Rotação Duplas'!$C$64:$C$73,0)),INDEX('🔄 Rotação Duplas'!$C$64:$C$73,MATCH(D38,'🔄 Rotação Duplas'!$D$64:$D$73,0))),"Semana 6",IFERROR(INDEX('🔄 Rotação Duplas'!$D$78:$D$87,MATCH(D38,'🔄 Rotação Duplas'!$C$78:$C$87,0)),INDEX('🔄 Rotação Duplas'!$C$78:$C$87,MATCH(D38,'🔄 Rotação Duplas'!$D$78:$D$87,0))),"Semana 7",IFERROR(INDEX('🔄 Rotação Duplas'!$D$92:$D$101,MATCH(D38,'🔄 Rotação Duplas'!$C$92:$C$101,0)),INDEX('🔄 Rotação Duplas'!$C$92:$C$101,MATCH(D38,'🔄 Rotação Duplas'!$D$92:$D$101,0))),"Semana 8",IFERROR(INDEX('🔄 Rotação Duplas'!$D$106:$D$115,MATCH(D38,'🔄 Rotação Duplas'!$C$106:$C$115,0)),INDEX('🔄 Rotação Duplas'!$C$106:$C$115,MATCH(D38,'🔄 Rotação Duplas'!$D$106:$D$115,0)))),""))</f>
        <v>Paula Miabara</v>
      </c>
      <c r="T38">
        <f t="shared" si="3"/>
        <v>0</v>
      </c>
    </row>
    <row r="39" spans="2:20" ht="18" customHeight="1" x14ac:dyDescent="0.2">
      <c r="B39" s="78" t="s">
        <v>47</v>
      </c>
      <c r="C39" s="79" t="str">
        <f t="shared" si="4"/>
        <v>Desafio 2</v>
      </c>
      <c r="D39" s="80" t="str">
        <f>'⚙️ Configuração'!C42</f>
        <v>Patricia Isabel Silva</v>
      </c>
      <c r="E39" s="50">
        <v>9</v>
      </c>
      <c r="F39" s="50">
        <v>4</v>
      </c>
      <c r="G39" s="50">
        <v>1</v>
      </c>
      <c r="H39" s="50"/>
      <c r="I39" s="50"/>
      <c r="J39" s="50"/>
      <c r="K39" s="81">
        <f>(E39*'⚙️ Configuração'!$C$6+F39*'⚙️ Configuração'!$C$7+G39*'⚙️ Configuração'!$C$8+H39*'⚙️ Configuração'!$C$9+I39*'⚙️ Configuração'!$C$10+J39*'⚙️ Configuração'!$C$11)*IF(N39="S",2,1)</f>
        <v>22</v>
      </c>
      <c r="L39" s="90" t="s">
        <v>167</v>
      </c>
      <c r="M39" s="82">
        <f>IF(L39="AT1",'⚙️ Configuração'!$C$14,IF(L39="AT2",'⚙️ Configuração'!$C$15,IF(L39="FI",'⚙️ Configuração'!$C$16,IF(L39="FJ",'⚙️ Configuração'!$C$17,0))))</f>
        <v>0</v>
      </c>
      <c r="N39" s="91" t="s">
        <v>167</v>
      </c>
      <c r="O39" s="92"/>
      <c r="P39" s="83">
        <f>IF(O39="1",'⚙️ Configuração'!$C$21,IF(O39="2",'⚙️ Configuração'!$C$22,IF(O39="3",'⚙️ Configuração'!$C$23,IF(O39="Outro",'⚙️ Configuração'!$C$24,0))))</f>
        <v>0</v>
      </c>
      <c r="Q39" s="84">
        <f t="shared" si="2"/>
        <v>22</v>
      </c>
      <c r="R39" s="40" t="str">
        <f t="shared" si="1"/>
        <v>Semana 1 — ver 🔄</v>
      </c>
      <c r="S39" t="str" cm="1">
        <f t="array" ref="S39">IF(D39="","",IFERROR(_xlfn.SWITCH(B39,"Semana 1",IFERROR(INDEX('🔄 Rotação Duplas'!$D$8:$D$17,MATCH(D39,'🔄 Rotação Duplas'!$C$8:$C$17,0)),INDEX('🔄 Rotação Duplas'!$C$8:$C$17,MATCH(D39,'🔄 Rotação Duplas'!$D$8:$D$17,0))),"Semana 2",IFERROR(INDEX('🔄 Rotação Duplas'!$D$22:$D$31,MATCH(D39,'🔄 Rotação Duplas'!$C$22:$C$31,0)),INDEX('🔄 Rotação Duplas'!$C$22:$C$31,MATCH(D39,'🔄 Rotação Duplas'!$D$22:$D$31,0))),"Semana 3",IFERROR(INDEX('🔄 Rotação Duplas'!$D$36:$D$45,MATCH(D39,'🔄 Rotação Duplas'!$C$36:$C$45,0)),INDEX('🔄 Rotação Duplas'!$C$36:$C$45,MATCH(D39,'🔄 Rotação Duplas'!$D$36:$D$45,0))),"Semana 4",IFERROR(INDEX('🔄 Rotação Duplas'!$D$50:$D$59,MATCH(D39,'🔄 Rotação Duplas'!$C$50:$C$59,0)),INDEX('🔄 Rotação Duplas'!$C$50:$C$59,MATCH(D39,'🔄 Rotação Duplas'!$D$50:$D$59,0))),"Semana 5",IFERROR(INDEX('🔄 Rotação Duplas'!$D$64:$D$73,MATCH(D39,'🔄 Rotação Duplas'!$C$64:$C$73,0)),INDEX('🔄 Rotação Duplas'!$C$64:$C$73,MATCH(D39,'🔄 Rotação Duplas'!$D$64:$D$73,0))),"Semana 6",IFERROR(INDEX('🔄 Rotação Duplas'!$D$78:$D$87,MATCH(D39,'🔄 Rotação Duplas'!$C$78:$C$87,0)),INDEX('🔄 Rotação Duplas'!$C$78:$C$87,MATCH(D39,'🔄 Rotação Duplas'!$D$78:$D$87,0))),"Semana 7",IFERROR(INDEX('🔄 Rotação Duplas'!$D$92:$D$101,MATCH(D39,'🔄 Rotação Duplas'!$C$92:$C$101,0)),INDEX('🔄 Rotação Duplas'!$C$92:$C$101,MATCH(D39,'🔄 Rotação Duplas'!$D$92:$D$101,0))),"Semana 8",IFERROR(INDEX('🔄 Rotação Duplas'!$D$106:$D$115,MATCH(D39,'🔄 Rotação Duplas'!$C$106:$C$115,0)),INDEX('🔄 Rotação Duplas'!$C$106:$C$115,MATCH(D39,'🔄 Rotação Duplas'!$D$106:$D$115,0)))),""))</f>
        <v>Tomás Carlos</v>
      </c>
      <c r="T39">
        <f t="shared" si="3"/>
        <v>0</v>
      </c>
    </row>
    <row r="40" spans="2:20" ht="18" customHeight="1" x14ac:dyDescent="0.2">
      <c r="B40" s="85" t="s">
        <v>47</v>
      </c>
      <c r="C40" s="86" t="str">
        <f t="shared" si="4"/>
        <v>Desafio 2</v>
      </c>
      <c r="D40" s="87" t="str">
        <f>'⚙️ Configuração'!C43</f>
        <v>Paula Martins</v>
      </c>
      <c r="E40" s="50">
        <v>10</v>
      </c>
      <c r="F40" s="50"/>
      <c r="G40" s="50"/>
      <c r="H40" s="50"/>
      <c r="I40" s="50"/>
      <c r="J40" s="50"/>
      <c r="K40" s="81">
        <f>(E40*'⚙️ Configuração'!$C$6+F40*'⚙️ Configuração'!$C$7+G40*'⚙️ Configuração'!$C$8+H40*'⚙️ Configuração'!$C$9+I40*'⚙️ Configuração'!$C$10+J40*'⚙️ Configuração'!$C$11)*IF(N40="S",2,1)</f>
        <v>10</v>
      </c>
      <c r="L40" s="90" t="s">
        <v>167</v>
      </c>
      <c r="M40" s="82">
        <f>IF(L40="AT1",'⚙️ Configuração'!$C$14,IF(L40="AT2",'⚙️ Configuração'!$C$15,IF(L40="FI",'⚙️ Configuração'!$C$16,IF(L40="FJ",'⚙️ Configuração'!$C$17,0))))</f>
        <v>0</v>
      </c>
      <c r="N40" s="91" t="s">
        <v>167</v>
      </c>
      <c r="O40" s="92"/>
      <c r="P40" s="83">
        <f>IF(O40="1",'⚙️ Configuração'!$C$21,IF(O40="2",'⚙️ Configuração'!$C$22,IF(O40="3",'⚙️ Configuração'!$C$23,IF(O40="Outro",'⚙️ Configuração'!$C$24,0))))</f>
        <v>0</v>
      </c>
      <c r="Q40" s="84">
        <f t="shared" si="2"/>
        <v>10</v>
      </c>
      <c r="R40" s="40" t="str">
        <f t="shared" si="1"/>
        <v>Semana 1 — ver 🔄</v>
      </c>
      <c r="S40" t="str" cm="1">
        <f t="array" ref="S40">IF(D40="","",IFERROR(_xlfn.SWITCH(B40,"Semana 1",IFERROR(INDEX('🔄 Rotação Duplas'!$D$8:$D$17,MATCH(D40,'🔄 Rotação Duplas'!$C$8:$C$17,0)),INDEX('🔄 Rotação Duplas'!$C$8:$C$17,MATCH(D40,'🔄 Rotação Duplas'!$D$8:$D$17,0))),"Semana 2",IFERROR(INDEX('🔄 Rotação Duplas'!$D$22:$D$31,MATCH(D40,'🔄 Rotação Duplas'!$C$22:$C$31,0)),INDEX('🔄 Rotação Duplas'!$C$22:$C$31,MATCH(D40,'🔄 Rotação Duplas'!$D$22:$D$31,0))),"Semana 3",IFERROR(INDEX('🔄 Rotação Duplas'!$D$36:$D$45,MATCH(D40,'🔄 Rotação Duplas'!$C$36:$C$45,0)),INDEX('🔄 Rotação Duplas'!$C$36:$C$45,MATCH(D40,'🔄 Rotação Duplas'!$D$36:$D$45,0))),"Semana 4",IFERROR(INDEX('🔄 Rotação Duplas'!$D$50:$D$59,MATCH(D40,'🔄 Rotação Duplas'!$C$50:$C$59,0)),INDEX('🔄 Rotação Duplas'!$C$50:$C$59,MATCH(D40,'🔄 Rotação Duplas'!$D$50:$D$59,0))),"Semana 5",IFERROR(INDEX('🔄 Rotação Duplas'!$D$64:$D$73,MATCH(D40,'🔄 Rotação Duplas'!$C$64:$C$73,0)),INDEX('🔄 Rotação Duplas'!$C$64:$C$73,MATCH(D40,'🔄 Rotação Duplas'!$D$64:$D$73,0))),"Semana 6",IFERROR(INDEX('🔄 Rotação Duplas'!$D$78:$D$87,MATCH(D40,'🔄 Rotação Duplas'!$C$78:$C$87,0)),INDEX('🔄 Rotação Duplas'!$C$78:$C$87,MATCH(D40,'🔄 Rotação Duplas'!$D$78:$D$87,0))),"Semana 7",IFERROR(INDEX('🔄 Rotação Duplas'!$D$92:$D$101,MATCH(D40,'🔄 Rotação Duplas'!$C$92:$C$101,0)),INDEX('🔄 Rotação Duplas'!$C$92:$C$101,MATCH(D40,'🔄 Rotação Duplas'!$D$92:$D$101,0))),"Semana 8",IFERROR(INDEX('🔄 Rotação Duplas'!$D$106:$D$115,MATCH(D40,'🔄 Rotação Duplas'!$C$106:$C$115,0)),INDEX('🔄 Rotação Duplas'!$C$106:$C$115,MATCH(D40,'🔄 Rotação Duplas'!$D$106:$D$115,0)))),""))</f>
        <v>Carla Barata</v>
      </c>
      <c r="T40">
        <f t="shared" si="3"/>
        <v>0</v>
      </c>
    </row>
    <row r="41" spans="2:20" ht="18" customHeight="1" x14ac:dyDescent="0.2">
      <c r="B41" s="78" t="s">
        <v>47</v>
      </c>
      <c r="C41" s="79" t="str">
        <f t="shared" si="4"/>
        <v>Desafio 2</v>
      </c>
      <c r="D41" s="80" t="str">
        <f>'⚙️ Configuração'!C44</f>
        <v>Paula Miabara</v>
      </c>
      <c r="E41" s="50">
        <v>8</v>
      </c>
      <c r="F41" s="50">
        <v>2</v>
      </c>
      <c r="G41" s="50"/>
      <c r="H41" s="50"/>
      <c r="I41" s="50"/>
      <c r="J41" s="50"/>
      <c r="K41" s="81">
        <f>(E41*'⚙️ Configuração'!$C$6+F41*'⚙️ Configuração'!$C$7+G41*'⚙️ Configuração'!$C$8+H41*'⚙️ Configuração'!$C$9+I41*'⚙️ Configuração'!$C$10+J41*'⚙️ Configuração'!$C$11)*IF(N41="S",2,1)</f>
        <v>12</v>
      </c>
      <c r="L41" s="90" t="s">
        <v>167</v>
      </c>
      <c r="M41" s="82">
        <f>IF(L41="AT1",'⚙️ Configuração'!$C$14,IF(L41="AT2",'⚙️ Configuração'!$C$15,IF(L41="FI",'⚙️ Configuração'!$C$16,IF(L41="FJ",'⚙️ Configuração'!$C$17,0))))</f>
        <v>0</v>
      </c>
      <c r="N41" s="91" t="s">
        <v>167</v>
      </c>
      <c r="O41" s="92"/>
      <c r="P41" s="83">
        <f>IF(O41="1",'⚙️ Configuração'!$C$21,IF(O41="2",'⚙️ Configuração'!$C$22,IF(O41="3",'⚙️ Configuração'!$C$23,IF(O41="Outro",'⚙️ Configuração'!$C$24,0))))</f>
        <v>0</v>
      </c>
      <c r="Q41" s="84">
        <f t="shared" si="2"/>
        <v>12</v>
      </c>
      <c r="R41" s="40" t="str">
        <f t="shared" si="1"/>
        <v>Semana 1 — ver 🔄</v>
      </c>
      <c r="S41" t="str" cm="1">
        <f t="array" ref="S41">IF(D41="","",IFERROR(_xlfn.SWITCH(B41,"Semana 1",IFERROR(INDEX('🔄 Rotação Duplas'!$D$8:$D$17,MATCH(D41,'🔄 Rotação Duplas'!$C$8:$C$17,0)),INDEX('🔄 Rotação Duplas'!$C$8:$C$17,MATCH(D41,'🔄 Rotação Duplas'!$D$8:$D$17,0))),"Semana 2",IFERROR(INDEX('🔄 Rotação Duplas'!$D$22:$D$31,MATCH(D41,'🔄 Rotação Duplas'!$C$22:$C$31,0)),INDEX('🔄 Rotação Duplas'!$C$22:$C$31,MATCH(D41,'🔄 Rotação Duplas'!$D$22:$D$31,0))),"Semana 3",IFERROR(INDEX('🔄 Rotação Duplas'!$D$36:$D$45,MATCH(D41,'🔄 Rotação Duplas'!$C$36:$C$45,0)),INDEX('🔄 Rotação Duplas'!$C$36:$C$45,MATCH(D41,'🔄 Rotação Duplas'!$D$36:$D$45,0))),"Semana 4",IFERROR(INDEX('🔄 Rotação Duplas'!$D$50:$D$59,MATCH(D41,'🔄 Rotação Duplas'!$C$50:$C$59,0)),INDEX('🔄 Rotação Duplas'!$C$50:$C$59,MATCH(D41,'🔄 Rotação Duplas'!$D$50:$D$59,0))),"Semana 5",IFERROR(INDEX('🔄 Rotação Duplas'!$D$64:$D$73,MATCH(D41,'🔄 Rotação Duplas'!$C$64:$C$73,0)),INDEX('🔄 Rotação Duplas'!$C$64:$C$73,MATCH(D41,'🔄 Rotação Duplas'!$D$64:$D$73,0))),"Semana 6",IFERROR(INDEX('🔄 Rotação Duplas'!$D$78:$D$87,MATCH(D41,'🔄 Rotação Duplas'!$C$78:$C$87,0)),INDEX('🔄 Rotação Duplas'!$C$78:$C$87,MATCH(D41,'🔄 Rotação Duplas'!$D$78:$D$87,0))),"Semana 7",IFERROR(INDEX('🔄 Rotação Duplas'!$D$92:$D$101,MATCH(D41,'🔄 Rotação Duplas'!$C$92:$C$101,0)),INDEX('🔄 Rotação Duplas'!$C$92:$C$101,MATCH(D41,'🔄 Rotação Duplas'!$D$92:$D$101,0))),"Semana 8",IFERROR(INDEX('🔄 Rotação Duplas'!$D$106:$D$115,MATCH(D41,'🔄 Rotação Duplas'!$C$106:$C$115,0)),INDEX('🔄 Rotação Duplas'!$C$106:$C$115,MATCH(D41,'🔄 Rotação Duplas'!$D$106:$D$115,0)))),""))</f>
        <v>Marta Torres</v>
      </c>
      <c r="T41">
        <f t="shared" si="3"/>
        <v>0</v>
      </c>
    </row>
    <row r="42" spans="2:20" ht="18" customHeight="1" x14ac:dyDescent="0.2">
      <c r="B42" s="85" t="s">
        <v>47</v>
      </c>
      <c r="C42" s="86" t="str">
        <f t="shared" si="4"/>
        <v>Desafio 2</v>
      </c>
      <c r="D42" s="87" t="str">
        <f>'⚙️ Configuração'!C45</f>
        <v>Rita Carmo</v>
      </c>
      <c r="E42" s="50">
        <v>13</v>
      </c>
      <c r="F42" s="50">
        <v>3</v>
      </c>
      <c r="G42" s="50">
        <v>1</v>
      </c>
      <c r="H42" s="50"/>
      <c r="I42" s="50"/>
      <c r="J42" s="50"/>
      <c r="K42" s="81">
        <f>(E42*'⚙️ Configuração'!$C$6+F42*'⚙️ Configuração'!$C$7+G42*'⚙️ Configuração'!$C$8+H42*'⚙️ Configuração'!$C$9+I42*'⚙️ Configuração'!$C$10+J42*'⚙️ Configuração'!$C$11)*IF(N42="S",2,1)</f>
        <v>24</v>
      </c>
      <c r="L42" s="90" t="s">
        <v>167</v>
      </c>
      <c r="M42" s="82">
        <f>IF(L42="AT1",'⚙️ Configuração'!$C$14,IF(L42="AT2",'⚙️ Configuração'!$C$15,IF(L42="FI",'⚙️ Configuração'!$C$16,IF(L42="FJ",'⚙️ Configuração'!$C$17,0))))</f>
        <v>0</v>
      </c>
      <c r="N42" s="91" t="s">
        <v>167</v>
      </c>
      <c r="O42" s="92"/>
      <c r="P42" s="83">
        <f>IF(O42="1",'⚙️ Configuração'!$C$21,IF(O42="2",'⚙️ Configuração'!$C$22,IF(O42="3",'⚙️ Configuração'!$C$23,IF(O42="Outro",'⚙️ Configuração'!$C$24,0))))</f>
        <v>0</v>
      </c>
      <c r="Q42" s="84">
        <f t="shared" si="2"/>
        <v>24</v>
      </c>
      <c r="R42" s="40" t="str">
        <f t="shared" si="1"/>
        <v>Semana 1 — ver 🔄</v>
      </c>
      <c r="S42" t="str" cm="1">
        <f t="array" ref="S42">IF(D42="","",IFERROR(_xlfn.SWITCH(B42,"Semana 1",IFERROR(INDEX('🔄 Rotação Duplas'!$D$8:$D$17,MATCH(D42,'🔄 Rotação Duplas'!$C$8:$C$17,0)),INDEX('🔄 Rotação Duplas'!$C$8:$C$17,MATCH(D42,'🔄 Rotação Duplas'!$D$8:$D$17,0))),"Semana 2",IFERROR(INDEX('🔄 Rotação Duplas'!$D$22:$D$31,MATCH(D42,'🔄 Rotação Duplas'!$C$22:$C$31,0)),INDEX('🔄 Rotação Duplas'!$C$22:$C$31,MATCH(D42,'🔄 Rotação Duplas'!$D$22:$D$31,0))),"Semana 3",IFERROR(INDEX('🔄 Rotação Duplas'!$D$36:$D$45,MATCH(D42,'🔄 Rotação Duplas'!$C$36:$C$45,0)),INDEX('🔄 Rotação Duplas'!$C$36:$C$45,MATCH(D42,'🔄 Rotação Duplas'!$D$36:$D$45,0))),"Semana 4",IFERROR(INDEX('🔄 Rotação Duplas'!$D$50:$D$59,MATCH(D42,'🔄 Rotação Duplas'!$C$50:$C$59,0)),INDEX('🔄 Rotação Duplas'!$C$50:$C$59,MATCH(D42,'🔄 Rotação Duplas'!$D$50:$D$59,0))),"Semana 5",IFERROR(INDEX('🔄 Rotação Duplas'!$D$64:$D$73,MATCH(D42,'🔄 Rotação Duplas'!$C$64:$C$73,0)),INDEX('🔄 Rotação Duplas'!$C$64:$C$73,MATCH(D42,'🔄 Rotação Duplas'!$D$64:$D$73,0))),"Semana 6",IFERROR(INDEX('🔄 Rotação Duplas'!$D$78:$D$87,MATCH(D42,'🔄 Rotação Duplas'!$C$78:$C$87,0)),INDEX('🔄 Rotação Duplas'!$C$78:$C$87,MATCH(D42,'🔄 Rotação Duplas'!$D$78:$D$87,0))),"Semana 7",IFERROR(INDEX('🔄 Rotação Duplas'!$D$92:$D$101,MATCH(D42,'🔄 Rotação Duplas'!$C$92:$C$101,0)),INDEX('🔄 Rotação Duplas'!$C$92:$C$101,MATCH(D42,'🔄 Rotação Duplas'!$D$92:$D$101,0))),"Semana 8",IFERROR(INDEX('🔄 Rotação Duplas'!$D$106:$D$115,MATCH(D42,'🔄 Rotação Duplas'!$C$106:$C$115,0)),INDEX('🔄 Rotação Duplas'!$C$106:$C$115,MATCH(D42,'🔄 Rotação Duplas'!$D$106:$D$115,0)))),""))</f>
        <v>João Xavier</v>
      </c>
      <c r="T42">
        <f t="shared" si="3"/>
        <v>0</v>
      </c>
    </row>
    <row r="43" spans="2:20" ht="18" customHeight="1" x14ac:dyDescent="0.2">
      <c r="B43" s="78" t="s">
        <v>47</v>
      </c>
      <c r="C43" s="79" t="str">
        <f t="shared" si="4"/>
        <v>Desafio 2</v>
      </c>
      <c r="D43" s="80" t="str">
        <f>'⚙️ Configuração'!C46</f>
        <v>William Fernandes</v>
      </c>
      <c r="E43" s="50">
        <v>14</v>
      </c>
      <c r="F43" s="50">
        <v>4</v>
      </c>
      <c r="G43" s="50">
        <v>3</v>
      </c>
      <c r="H43" s="50"/>
      <c r="I43" s="50"/>
      <c r="J43" s="50"/>
      <c r="K43" s="81">
        <f>(E43*'⚙️ Configuração'!$C$6+F43*'⚙️ Configuração'!$C$7+G43*'⚙️ Configuração'!$C$8+H43*'⚙️ Configuração'!$C$9+I43*'⚙️ Configuração'!$C$10+J43*'⚙️ Configuração'!$C$11)*IF(N43="S",2,1)</f>
        <v>37</v>
      </c>
      <c r="L43" s="90" t="s">
        <v>167</v>
      </c>
      <c r="M43" s="82">
        <f>IF(L43="AT1",'⚙️ Configuração'!$C$14,IF(L43="AT2",'⚙️ Configuração'!$C$15,IF(L43="FI",'⚙️ Configuração'!$C$16,IF(L43="FJ",'⚙️ Configuração'!$C$17,0))))</f>
        <v>0</v>
      </c>
      <c r="N43" s="91" t="s">
        <v>167</v>
      </c>
      <c r="O43" s="92"/>
      <c r="P43" s="83">
        <f>IF(O43="1",'⚙️ Configuração'!$C$21,IF(O43="2",'⚙️ Configuração'!$C$22,IF(O43="3",'⚙️ Configuração'!$C$23,IF(O43="Outro",'⚙️ Configuração'!$C$24,0))))</f>
        <v>0</v>
      </c>
      <c r="Q43" s="84">
        <f t="shared" si="2"/>
        <v>37</v>
      </c>
      <c r="R43" s="40" t="str">
        <f t="shared" si="1"/>
        <v>Semana 1 — ver 🔄</v>
      </c>
      <c r="S43" t="str" cm="1">
        <f t="array" ref="S43">IF(D43="","",IFERROR(_xlfn.SWITCH(B43,"Semana 1",IFERROR(INDEX('🔄 Rotação Duplas'!$D$8:$D$17,MATCH(D43,'🔄 Rotação Duplas'!$C$8:$C$17,0)),INDEX('🔄 Rotação Duplas'!$C$8:$C$17,MATCH(D43,'🔄 Rotação Duplas'!$D$8:$D$17,0))),"Semana 2",IFERROR(INDEX('🔄 Rotação Duplas'!$D$22:$D$31,MATCH(D43,'🔄 Rotação Duplas'!$C$22:$C$31,0)),INDEX('🔄 Rotação Duplas'!$C$22:$C$31,MATCH(D43,'🔄 Rotação Duplas'!$D$22:$D$31,0))),"Semana 3",IFERROR(INDEX('🔄 Rotação Duplas'!$D$36:$D$45,MATCH(D43,'🔄 Rotação Duplas'!$C$36:$C$45,0)),INDEX('🔄 Rotação Duplas'!$C$36:$C$45,MATCH(D43,'🔄 Rotação Duplas'!$D$36:$D$45,0))),"Semana 4",IFERROR(INDEX('🔄 Rotação Duplas'!$D$50:$D$59,MATCH(D43,'🔄 Rotação Duplas'!$C$50:$C$59,0)),INDEX('🔄 Rotação Duplas'!$C$50:$C$59,MATCH(D43,'🔄 Rotação Duplas'!$D$50:$D$59,0))),"Semana 5",IFERROR(INDEX('🔄 Rotação Duplas'!$D$64:$D$73,MATCH(D43,'🔄 Rotação Duplas'!$C$64:$C$73,0)),INDEX('🔄 Rotação Duplas'!$C$64:$C$73,MATCH(D43,'🔄 Rotação Duplas'!$D$64:$D$73,0))),"Semana 6",IFERROR(INDEX('🔄 Rotação Duplas'!$D$78:$D$87,MATCH(D43,'🔄 Rotação Duplas'!$C$78:$C$87,0)),INDEX('🔄 Rotação Duplas'!$C$78:$C$87,MATCH(D43,'🔄 Rotação Duplas'!$D$78:$D$87,0))),"Semana 7",IFERROR(INDEX('🔄 Rotação Duplas'!$D$92:$D$101,MATCH(D43,'🔄 Rotação Duplas'!$C$92:$C$101,0)),INDEX('🔄 Rotação Duplas'!$C$92:$C$101,MATCH(D43,'🔄 Rotação Duplas'!$D$92:$D$101,0))),"Semana 8",IFERROR(INDEX('🔄 Rotação Duplas'!$D$106:$D$115,MATCH(D43,'🔄 Rotação Duplas'!$C$106:$C$115,0)),INDEX('🔄 Rotação Duplas'!$C$106:$C$115,MATCH(D43,'🔄 Rotação Duplas'!$D$106:$D$115,0)))),""))</f>
        <v>Alexandra Correia</v>
      </c>
      <c r="T43">
        <f t="shared" si="3"/>
        <v>0</v>
      </c>
    </row>
    <row r="44" spans="2:20" ht="18" customHeight="1" x14ac:dyDescent="0.2">
      <c r="B44" s="85" t="s">
        <v>47</v>
      </c>
      <c r="C44" s="86" t="str">
        <f t="shared" si="4"/>
        <v>Desafio 2</v>
      </c>
      <c r="D44" s="87" t="str">
        <f>'⚙️ Configuração'!C47</f>
        <v>-</v>
      </c>
      <c r="E44" s="50"/>
      <c r="F44" s="50"/>
      <c r="G44" s="50"/>
      <c r="H44" s="50"/>
      <c r="I44" s="50"/>
      <c r="J44" s="50"/>
      <c r="K44" s="81">
        <f>(E44*'⚙️ Configuração'!$C$6+F44*'⚙️ Configuração'!$C$7+G44*'⚙️ Configuração'!$C$8+H44*'⚙️ Configuração'!$C$9+I44*'⚙️ Configuração'!$C$10+J44*'⚙️ Configuração'!$C$11)*IF(N44="S",2,1)</f>
        <v>0</v>
      </c>
      <c r="L44" s="90" t="s">
        <v>167</v>
      </c>
      <c r="M44" s="82">
        <f>IF(L44="AT1",'⚙️ Configuração'!$C$14,IF(L44="AT2",'⚙️ Configuração'!$C$15,IF(L44="FI",'⚙️ Configuração'!$C$16,IF(L44="FJ",'⚙️ Configuração'!$C$17,0))))</f>
        <v>0</v>
      </c>
      <c r="N44" s="91" t="s">
        <v>167</v>
      </c>
      <c r="O44" s="92"/>
      <c r="P44" s="83">
        <f>IF(O44="1",'⚙️ Configuração'!$C$21,IF(O44="2",'⚙️ Configuração'!$C$22,IF(O44="3",'⚙️ Configuração'!$C$23,IF(O44="Outro",'⚙️ Configuração'!$C$24,0))))</f>
        <v>0</v>
      </c>
      <c r="Q44" s="84">
        <f t="shared" si="2"/>
        <v>0</v>
      </c>
      <c r="R44" s="40" t="str">
        <f t="shared" si="1"/>
        <v>Semana 1 — ver 🔄</v>
      </c>
      <c r="S44" t="str" cm="1">
        <f t="array" ref="S44">IF(D44="","",IFERROR(_xlfn.SWITCH(B44,"Semana 1",IFERROR(INDEX('🔄 Rotação Duplas'!$D$8:$D$17,MATCH(D44,'🔄 Rotação Duplas'!$C$8:$C$17,0)),INDEX('🔄 Rotação Duplas'!$C$8:$C$17,MATCH(D44,'🔄 Rotação Duplas'!$D$8:$D$17,0))),"Semana 2",IFERROR(INDEX('🔄 Rotação Duplas'!$D$22:$D$31,MATCH(D44,'🔄 Rotação Duplas'!$C$22:$C$31,0)),INDEX('🔄 Rotação Duplas'!$C$22:$C$31,MATCH(D44,'🔄 Rotação Duplas'!$D$22:$D$31,0))),"Semana 3",IFERROR(INDEX('🔄 Rotação Duplas'!$D$36:$D$45,MATCH(D44,'🔄 Rotação Duplas'!$C$36:$C$45,0)),INDEX('🔄 Rotação Duplas'!$C$36:$C$45,MATCH(D44,'🔄 Rotação Duplas'!$D$36:$D$45,0))),"Semana 4",IFERROR(INDEX('🔄 Rotação Duplas'!$D$50:$D$59,MATCH(D44,'🔄 Rotação Duplas'!$C$50:$C$59,0)),INDEX('🔄 Rotação Duplas'!$C$50:$C$59,MATCH(D44,'🔄 Rotação Duplas'!$D$50:$D$59,0))),"Semana 5",IFERROR(INDEX('🔄 Rotação Duplas'!$D$64:$D$73,MATCH(D44,'🔄 Rotação Duplas'!$C$64:$C$73,0)),INDEX('🔄 Rotação Duplas'!$C$64:$C$73,MATCH(D44,'🔄 Rotação Duplas'!$D$64:$D$73,0))),"Semana 6",IFERROR(INDEX('🔄 Rotação Duplas'!$D$78:$D$87,MATCH(D44,'🔄 Rotação Duplas'!$C$78:$C$87,0)),INDEX('🔄 Rotação Duplas'!$C$78:$C$87,MATCH(D44,'🔄 Rotação Duplas'!$D$78:$D$87,0))),"Semana 7",IFERROR(INDEX('🔄 Rotação Duplas'!$D$92:$D$101,MATCH(D44,'🔄 Rotação Duplas'!$C$92:$C$101,0)),INDEX('🔄 Rotação Duplas'!$C$92:$C$101,MATCH(D44,'🔄 Rotação Duplas'!$D$92:$D$101,0))),"Semana 8",IFERROR(INDEX('🔄 Rotação Duplas'!$D$106:$D$115,MATCH(D44,'🔄 Rotação Duplas'!$C$106:$C$115,0)),INDEX('🔄 Rotação Duplas'!$C$106:$C$115,MATCH(D44,'🔄 Rotação Duplas'!$D$106:$D$115,0)))),""))</f>
        <v>-</v>
      </c>
      <c r="T44">
        <f t="shared" si="3"/>
        <v>0</v>
      </c>
    </row>
    <row r="45" spans="2:20" ht="18" customHeight="1" x14ac:dyDescent="0.2">
      <c r="B45" s="78" t="s">
        <v>47</v>
      </c>
      <c r="C45" s="79" t="str">
        <f t="shared" si="4"/>
        <v>Desafio 2</v>
      </c>
      <c r="D45" s="80" t="str">
        <f>'⚙️ Configuração'!C48</f>
        <v>-</v>
      </c>
      <c r="E45" s="50"/>
      <c r="F45" s="50"/>
      <c r="G45" s="50"/>
      <c r="H45" s="50"/>
      <c r="I45" s="50"/>
      <c r="J45" s="50"/>
      <c r="K45" s="81">
        <f>(E45*'⚙️ Configuração'!$C$6+F45*'⚙️ Configuração'!$C$7+G45*'⚙️ Configuração'!$C$8+H45*'⚙️ Configuração'!$C$9+I45*'⚙️ Configuração'!$C$10+J45*'⚙️ Configuração'!$C$11)*IF(N45="S",2,1)</f>
        <v>0</v>
      </c>
      <c r="L45" s="90" t="s">
        <v>167</v>
      </c>
      <c r="M45" s="82">
        <f>IF(L45="AT1",'⚙️ Configuração'!$C$14,IF(L45="AT2",'⚙️ Configuração'!$C$15,IF(L45="FI",'⚙️ Configuração'!$C$16,IF(L45="FJ",'⚙️ Configuração'!$C$17,0))))</f>
        <v>0</v>
      </c>
      <c r="N45" s="91" t="s">
        <v>167</v>
      </c>
      <c r="O45" s="92"/>
      <c r="P45" s="83">
        <f>IF(O45="1",'⚙️ Configuração'!$C$21,IF(O45="2",'⚙️ Configuração'!$C$22,IF(O45="3",'⚙️ Configuração'!$C$23,IF(O45="Outro",'⚙️ Configuração'!$C$24,0))))</f>
        <v>0</v>
      </c>
      <c r="Q45" s="84">
        <f t="shared" si="2"/>
        <v>0</v>
      </c>
      <c r="R45" s="40" t="str">
        <f t="shared" si="1"/>
        <v>Semana 1 — ver 🔄</v>
      </c>
      <c r="S45" t="str" cm="1">
        <f t="array" ref="S45">IF(D45="","",IFERROR(_xlfn.SWITCH(B45,"Semana 1",IFERROR(INDEX('🔄 Rotação Duplas'!$D$8:$D$17,MATCH(D45,'🔄 Rotação Duplas'!$C$8:$C$17,0)),INDEX('🔄 Rotação Duplas'!$C$8:$C$17,MATCH(D45,'🔄 Rotação Duplas'!$D$8:$D$17,0))),"Semana 2",IFERROR(INDEX('🔄 Rotação Duplas'!$D$22:$D$31,MATCH(D45,'🔄 Rotação Duplas'!$C$22:$C$31,0)),INDEX('🔄 Rotação Duplas'!$C$22:$C$31,MATCH(D45,'🔄 Rotação Duplas'!$D$22:$D$31,0))),"Semana 3",IFERROR(INDEX('🔄 Rotação Duplas'!$D$36:$D$45,MATCH(D45,'🔄 Rotação Duplas'!$C$36:$C$45,0)),INDEX('🔄 Rotação Duplas'!$C$36:$C$45,MATCH(D45,'🔄 Rotação Duplas'!$D$36:$D$45,0))),"Semana 4",IFERROR(INDEX('🔄 Rotação Duplas'!$D$50:$D$59,MATCH(D45,'🔄 Rotação Duplas'!$C$50:$C$59,0)),INDEX('🔄 Rotação Duplas'!$C$50:$C$59,MATCH(D45,'🔄 Rotação Duplas'!$D$50:$D$59,0))),"Semana 5",IFERROR(INDEX('🔄 Rotação Duplas'!$D$64:$D$73,MATCH(D45,'🔄 Rotação Duplas'!$C$64:$C$73,0)),INDEX('🔄 Rotação Duplas'!$C$64:$C$73,MATCH(D45,'🔄 Rotação Duplas'!$D$64:$D$73,0))),"Semana 6",IFERROR(INDEX('🔄 Rotação Duplas'!$D$78:$D$87,MATCH(D45,'🔄 Rotação Duplas'!$C$78:$C$87,0)),INDEX('🔄 Rotação Duplas'!$C$78:$C$87,MATCH(D45,'🔄 Rotação Duplas'!$D$78:$D$87,0))),"Semana 7",IFERROR(INDEX('🔄 Rotação Duplas'!$D$92:$D$101,MATCH(D45,'🔄 Rotação Duplas'!$C$92:$C$101,0)),INDEX('🔄 Rotação Duplas'!$C$92:$C$101,MATCH(D45,'🔄 Rotação Duplas'!$D$92:$D$101,0))),"Semana 8",IFERROR(INDEX('🔄 Rotação Duplas'!$D$106:$D$115,MATCH(D45,'🔄 Rotação Duplas'!$C$106:$C$115,0)),INDEX('🔄 Rotação Duplas'!$C$106:$C$115,MATCH(D45,'🔄 Rotação Duplas'!$D$106:$D$115,0)))),""))</f>
        <v>-</v>
      </c>
      <c r="T45">
        <f t="shared" si="3"/>
        <v>0</v>
      </c>
    </row>
    <row r="46" spans="2:20" ht="18" customHeight="1" x14ac:dyDescent="0.2">
      <c r="B46" s="85" t="s">
        <v>47</v>
      </c>
      <c r="C46" s="86" t="str">
        <f t="shared" si="4"/>
        <v>Desafio 2</v>
      </c>
      <c r="D46" s="87" t="str">
        <f>'⚙️ Configuração'!C49</f>
        <v>-</v>
      </c>
      <c r="E46" s="50"/>
      <c r="F46" s="50"/>
      <c r="G46" s="50"/>
      <c r="H46" s="50"/>
      <c r="I46" s="50"/>
      <c r="J46" s="50"/>
      <c r="K46" s="81">
        <f>(E46*'⚙️ Configuração'!$C$6+F46*'⚙️ Configuração'!$C$7+G46*'⚙️ Configuração'!$C$8+H46*'⚙️ Configuração'!$C$9+I46*'⚙️ Configuração'!$C$10+J46*'⚙️ Configuração'!$C$11)*IF(N46="S",2,1)</f>
        <v>0</v>
      </c>
      <c r="L46" s="90" t="s">
        <v>167</v>
      </c>
      <c r="M46" s="82">
        <f>IF(L46="AT1",'⚙️ Configuração'!$C$14,IF(L46="AT2",'⚙️ Configuração'!$C$15,IF(L46="FI",'⚙️ Configuração'!$C$16,IF(L46="FJ",'⚙️ Configuração'!$C$17,0))))</f>
        <v>0</v>
      </c>
      <c r="N46" s="91" t="s">
        <v>167</v>
      </c>
      <c r="O46" s="92"/>
      <c r="P46" s="83">
        <f>IF(O46="1",'⚙️ Configuração'!$C$21,IF(O46="2",'⚙️ Configuração'!$C$22,IF(O46="3",'⚙️ Configuração'!$C$23,IF(O46="Outro",'⚙️ Configuração'!$C$24,0))))</f>
        <v>0</v>
      </c>
      <c r="Q46" s="84">
        <f t="shared" si="2"/>
        <v>0</v>
      </c>
      <c r="R46" s="40" t="str">
        <f t="shared" si="1"/>
        <v>Semana 1 — ver 🔄</v>
      </c>
      <c r="S46" t="str" cm="1">
        <f t="array" ref="S46">IF(D46="","",IFERROR(_xlfn.SWITCH(B46,"Semana 1",IFERROR(INDEX('🔄 Rotação Duplas'!$D$8:$D$17,MATCH(D46,'🔄 Rotação Duplas'!$C$8:$C$17,0)),INDEX('🔄 Rotação Duplas'!$C$8:$C$17,MATCH(D46,'🔄 Rotação Duplas'!$D$8:$D$17,0))),"Semana 2",IFERROR(INDEX('🔄 Rotação Duplas'!$D$22:$D$31,MATCH(D46,'🔄 Rotação Duplas'!$C$22:$C$31,0)),INDEX('🔄 Rotação Duplas'!$C$22:$C$31,MATCH(D46,'🔄 Rotação Duplas'!$D$22:$D$31,0))),"Semana 3",IFERROR(INDEX('🔄 Rotação Duplas'!$D$36:$D$45,MATCH(D46,'🔄 Rotação Duplas'!$C$36:$C$45,0)),INDEX('🔄 Rotação Duplas'!$C$36:$C$45,MATCH(D46,'🔄 Rotação Duplas'!$D$36:$D$45,0))),"Semana 4",IFERROR(INDEX('🔄 Rotação Duplas'!$D$50:$D$59,MATCH(D46,'🔄 Rotação Duplas'!$C$50:$C$59,0)),INDEX('🔄 Rotação Duplas'!$C$50:$C$59,MATCH(D46,'🔄 Rotação Duplas'!$D$50:$D$59,0))),"Semana 5",IFERROR(INDEX('🔄 Rotação Duplas'!$D$64:$D$73,MATCH(D46,'🔄 Rotação Duplas'!$C$64:$C$73,0)),INDEX('🔄 Rotação Duplas'!$C$64:$C$73,MATCH(D46,'🔄 Rotação Duplas'!$D$64:$D$73,0))),"Semana 6",IFERROR(INDEX('🔄 Rotação Duplas'!$D$78:$D$87,MATCH(D46,'🔄 Rotação Duplas'!$C$78:$C$87,0)),INDEX('🔄 Rotação Duplas'!$C$78:$C$87,MATCH(D46,'🔄 Rotação Duplas'!$D$78:$D$87,0))),"Semana 7",IFERROR(INDEX('🔄 Rotação Duplas'!$D$92:$D$101,MATCH(D46,'🔄 Rotação Duplas'!$C$92:$C$101,0)),INDEX('🔄 Rotação Duplas'!$C$92:$C$101,MATCH(D46,'🔄 Rotação Duplas'!$D$92:$D$101,0))),"Semana 8",IFERROR(INDEX('🔄 Rotação Duplas'!$D$106:$D$115,MATCH(D46,'🔄 Rotação Duplas'!$C$106:$C$115,0)),INDEX('🔄 Rotação Duplas'!$C$106:$C$115,MATCH(D46,'🔄 Rotação Duplas'!$D$106:$D$115,0)))),""))</f>
        <v>-</v>
      </c>
      <c r="T46">
        <f t="shared" si="3"/>
        <v>0</v>
      </c>
    </row>
    <row r="47" spans="2:20" ht="18" customHeight="1" x14ac:dyDescent="0.2">
      <c r="B47" s="78" t="s">
        <v>47</v>
      </c>
      <c r="C47" s="79" t="str">
        <f t="shared" ref="C47:C66" si="5">"Desafio 3"</f>
        <v>Desafio 3</v>
      </c>
      <c r="D47" s="80" t="str">
        <f>'⚙️ Configuração'!C30</f>
        <v>Carla Cantante</v>
      </c>
      <c r="E47" s="50"/>
      <c r="F47" s="50"/>
      <c r="G47" s="50"/>
      <c r="H47" s="50"/>
      <c r="I47" s="50"/>
      <c r="J47" s="50"/>
      <c r="K47" s="81">
        <f>(E47*'⚙️ Configuração'!$C$6+F47*'⚙️ Configuração'!$C$7+G47*'⚙️ Configuração'!$C$8+H47*'⚙️ Configuração'!$C$9+I47*'⚙️ Configuração'!$C$10+J47*'⚙️ Configuração'!$C$11)*IF(N47="S",2,1)</f>
        <v>0</v>
      </c>
      <c r="L47" s="90" t="s">
        <v>167</v>
      </c>
      <c r="M47" s="82">
        <f>IF(L47="AT1",'⚙️ Configuração'!$C$14,IF(L47="AT2",'⚙️ Configuração'!$C$15,IF(L47="FI",'⚙️ Configuração'!$C$16,IF(L47="FJ",'⚙️ Configuração'!$C$17,0))))</f>
        <v>0</v>
      </c>
      <c r="N47" s="91" t="s">
        <v>167</v>
      </c>
      <c r="O47" s="92"/>
      <c r="P47" s="83">
        <f>IF(O47="1",'⚙️ Configuração'!$C$21,IF(O47="2",'⚙️ Configuração'!$C$22,IF(O47="3",'⚙️ Configuração'!$C$23,IF(O47="Outro",'⚙️ Configuração'!$C$24,0))))</f>
        <v>0</v>
      </c>
      <c r="Q47" s="84">
        <f t="shared" si="2"/>
        <v>0</v>
      </c>
      <c r="R47" s="40" t="str">
        <f t="shared" si="1"/>
        <v>Semana 1 — ver 🔄</v>
      </c>
      <c r="S47" t="str" cm="1">
        <f t="array" ref="S47">IF(D47="","",IFERROR(_xlfn.SWITCH(B47,"Semana 1",IFERROR(INDEX('🔄 Rotação Duplas'!$D$8:$D$17,MATCH(D47,'🔄 Rotação Duplas'!$C$8:$C$17,0)),INDEX('🔄 Rotação Duplas'!$C$8:$C$17,MATCH(D47,'🔄 Rotação Duplas'!$D$8:$D$17,0))),"Semana 2",IFERROR(INDEX('🔄 Rotação Duplas'!$D$22:$D$31,MATCH(D47,'🔄 Rotação Duplas'!$C$22:$C$31,0)),INDEX('🔄 Rotação Duplas'!$C$22:$C$31,MATCH(D47,'🔄 Rotação Duplas'!$D$22:$D$31,0))),"Semana 3",IFERROR(INDEX('🔄 Rotação Duplas'!$D$36:$D$45,MATCH(D47,'🔄 Rotação Duplas'!$C$36:$C$45,0)),INDEX('🔄 Rotação Duplas'!$C$36:$C$45,MATCH(D47,'🔄 Rotação Duplas'!$D$36:$D$45,0))),"Semana 4",IFERROR(INDEX('🔄 Rotação Duplas'!$D$50:$D$59,MATCH(D47,'🔄 Rotação Duplas'!$C$50:$C$59,0)),INDEX('🔄 Rotação Duplas'!$C$50:$C$59,MATCH(D47,'🔄 Rotação Duplas'!$D$50:$D$59,0))),"Semana 5",IFERROR(INDEX('🔄 Rotação Duplas'!$D$64:$D$73,MATCH(D47,'🔄 Rotação Duplas'!$C$64:$C$73,0)),INDEX('🔄 Rotação Duplas'!$C$64:$C$73,MATCH(D47,'🔄 Rotação Duplas'!$D$64:$D$73,0))),"Semana 6",IFERROR(INDEX('🔄 Rotação Duplas'!$D$78:$D$87,MATCH(D47,'🔄 Rotação Duplas'!$C$78:$C$87,0)),INDEX('🔄 Rotação Duplas'!$C$78:$C$87,MATCH(D47,'🔄 Rotação Duplas'!$D$78:$D$87,0))),"Semana 7",IFERROR(INDEX('🔄 Rotação Duplas'!$D$92:$D$101,MATCH(D47,'🔄 Rotação Duplas'!$C$92:$C$101,0)),INDEX('🔄 Rotação Duplas'!$C$92:$C$101,MATCH(D47,'🔄 Rotação Duplas'!$D$92:$D$101,0))),"Semana 8",IFERROR(INDEX('🔄 Rotação Duplas'!$D$106:$D$115,MATCH(D47,'🔄 Rotação Duplas'!$C$106:$C$115,0)),INDEX('🔄 Rotação Duplas'!$C$106:$C$115,MATCH(D47,'🔄 Rotação Duplas'!$D$106:$D$115,0)))),""))</f>
        <v>Denise Filipe</v>
      </c>
      <c r="T47">
        <f t="shared" si="3"/>
        <v>0</v>
      </c>
    </row>
    <row r="48" spans="2:20" ht="18" customHeight="1" x14ac:dyDescent="0.2">
      <c r="B48" s="85" t="s">
        <v>47</v>
      </c>
      <c r="C48" s="86" t="str">
        <f t="shared" si="5"/>
        <v>Desafio 3</v>
      </c>
      <c r="D48" s="87" t="str">
        <f>'⚙️ Configuração'!C31</f>
        <v>Elisabete Mendes</v>
      </c>
      <c r="E48" s="50"/>
      <c r="F48" s="50"/>
      <c r="G48" s="50"/>
      <c r="H48" s="50"/>
      <c r="I48" s="50"/>
      <c r="J48" s="50"/>
      <c r="K48" s="81">
        <f>(E48*'⚙️ Configuração'!$C$6+F48*'⚙️ Configuração'!$C$7+G48*'⚙️ Configuração'!$C$8+H48*'⚙️ Configuração'!$C$9+I48*'⚙️ Configuração'!$C$10+J48*'⚙️ Configuração'!$C$11)*IF(N48="S",2,1)</f>
        <v>0</v>
      </c>
      <c r="L48" s="90" t="s">
        <v>167</v>
      </c>
      <c r="M48" s="82">
        <f>IF(L48="AT1",'⚙️ Configuração'!$C$14,IF(L48="AT2",'⚙️ Configuração'!$C$15,IF(L48="FI",'⚙️ Configuração'!$C$16,IF(L48="FJ",'⚙️ Configuração'!$C$17,0))))</f>
        <v>0</v>
      </c>
      <c r="N48" s="91" t="s">
        <v>167</v>
      </c>
      <c r="O48" s="92"/>
      <c r="P48" s="83">
        <f>IF(O48="1",'⚙️ Configuração'!$C$21,IF(O48="2",'⚙️ Configuração'!$C$22,IF(O48="3",'⚙️ Configuração'!$C$23,IF(O48="Outro",'⚙️ Configuração'!$C$24,0))))</f>
        <v>0</v>
      </c>
      <c r="Q48" s="84">
        <f t="shared" si="2"/>
        <v>0</v>
      </c>
      <c r="R48" s="40" t="str">
        <f t="shared" si="1"/>
        <v>Semana 1 — ver 🔄</v>
      </c>
      <c r="S48" t="str" cm="1">
        <f t="array" ref="S48">IF(D48="","",IFERROR(_xlfn.SWITCH(B48,"Semana 1",IFERROR(INDEX('🔄 Rotação Duplas'!$D$8:$D$17,MATCH(D48,'🔄 Rotação Duplas'!$C$8:$C$17,0)),INDEX('🔄 Rotação Duplas'!$C$8:$C$17,MATCH(D48,'🔄 Rotação Duplas'!$D$8:$D$17,0))),"Semana 2",IFERROR(INDEX('🔄 Rotação Duplas'!$D$22:$D$31,MATCH(D48,'🔄 Rotação Duplas'!$C$22:$C$31,0)),INDEX('🔄 Rotação Duplas'!$C$22:$C$31,MATCH(D48,'🔄 Rotação Duplas'!$D$22:$D$31,0))),"Semana 3",IFERROR(INDEX('🔄 Rotação Duplas'!$D$36:$D$45,MATCH(D48,'🔄 Rotação Duplas'!$C$36:$C$45,0)),INDEX('🔄 Rotação Duplas'!$C$36:$C$45,MATCH(D48,'🔄 Rotação Duplas'!$D$36:$D$45,0))),"Semana 4",IFERROR(INDEX('🔄 Rotação Duplas'!$D$50:$D$59,MATCH(D48,'🔄 Rotação Duplas'!$C$50:$C$59,0)),INDEX('🔄 Rotação Duplas'!$C$50:$C$59,MATCH(D48,'🔄 Rotação Duplas'!$D$50:$D$59,0))),"Semana 5",IFERROR(INDEX('🔄 Rotação Duplas'!$D$64:$D$73,MATCH(D48,'🔄 Rotação Duplas'!$C$64:$C$73,0)),INDEX('🔄 Rotação Duplas'!$C$64:$C$73,MATCH(D48,'🔄 Rotação Duplas'!$D$64:$D$73,0))),"Semana 6",IFERROR(INDEX('🔄 Rotação Duplas'!$D$78:$D$87,MATCH(D48,'🔄 Rotação Duplas'!$C$78:$C$87,0)),INDEX('🔄 Rotação Duplas'!$C$78:$C$87,MATCH(D48,'🔄 Rotação Duplas'!$D$78:$D$87,0))),"Semana 7",IFERROR(INDEX('🔄 Rotação Duplas'!$D$92:$D$101,MATCH(D48,'🔄 Rotação Duplas'!$C$92:$C$101,0)),INDEX('🔄 Rotação Duplas'!$C$92:$C$101,MATCH(D48,'🔄 Rotação Duplas'!$D$92:$D$101,0))),"Semana 8",IFERROR(INDEX('🔄 Rotação Duplas'!$D$106:$D$115,MATCH(D48,'🔄 Rotação Duplas'!$C$106:$C$115,0)),INDEX('🔄 Rotação Duplas'!$C$106:$C$115,MATCH(D48,'🔄 Rotação Duplas'!$D$106:$D$115,0)))),""))</f>
        <v>Helena Rocha</v>
      </c>
      <c r="T48">
        <f t="shared" si="3"/>
        <v>0</v>
      </c>
    </row>
    <row r="49" spans="2:20" ht="18" customHeight="1" x14ac:dyDescent="0.2">
      <c r="B49" s="78" t="s">
        <v>47</v>
      </c>
      <c r="C49" s="79" t="str">
        <f t="shared" si="5"/>
        <v>Desafio 3</v>
      </c>
      <c r="D49" s="80" t="str">
        <f>'⚙️ Configuração'!C32</f>
        <v>Filipa Cunha</v>
      </c>
      <c r="E49" s="50"/>
      <c r="F49" s="50"/>
      <c r="G49" s="50"/>
      <c r="H49" s="50"/>
      <c r="I49" s="50"/>
      <c r="J49" s="50"/>
      <c r="K49" s="81">
        <f>(E49*'⚙️ Configuração'!$C$6+F49*'⚙️ Configuração'!$C$7+G49*'⚙️ Configuração'!$C$8+H49*'⚙️ Configuração'!$C$9+I49*'⚙️ Configuração'!$C$10+J49*'⚙️ Configuração'!$C$11)*IF(N49="S",2,1)</f>
        <v>0</v>
      </c>
      <c r="L49" s="90" t="s">
        <v>167</v>
      </c>
      <c r="M49" s="82">
        <f>IF(L49="AT1",'⚙️ Configuração'!$C$14,IF(L49="AT2",'⚙️ Configuração'!$C$15,IF(L49="FI",'⚙️ Configuração'!$C$16,IF(L49="FJ",'⚙️ Configuração'!$C$17,0))))</f>
        <v>0</v>
      </c>
      <c r="N49" s="91" t="s">
        <v>167</v>
      </c>
      <c r="O49" s="92"/>
      <c r="P49" s="83">
        <f>IF(O49="1",'⚙️ Configuração'!$C$21,IF(O49="2",'⚙️ Configuração'!$C$22,IF(O49="3",'⚙️ Configuração'!$C$23,IF(O49="Outro",'⚙️ Configuração'!$C$24,0))))</f>
        <v>0</v>
      </c>
      <c r="Q49" s="84">
        <f t="shared" si="2"/>
        <v>0</v>
      </c>
      <c r="R49" s="40" t="str">
        <f t="shared" si="1"/>
        <v>Semana 1 — ver 🔄</v>
      </c>
      <c r="S49" t="str" cm="1">
        <f t="array" ref="S49">IF(D49="","",IFERROR(_xlfn.SWITCH(B49,"Semana 1",IFERROR(INDEX('🔄 Rotação Duplas'!$D$8:$D$17,MATCH(D49,'🔄 Rotação Duplas'!$C$8:$C$17,0)),INDEX('🔄 Rotação Duplas'!$C$8:$C$17,MATCH(D49,'🔄 Rotação Duplas'!$D$8:$D$17,0))),"Semana 2",IFERROR(INDEX('🔄 Rotação Duplas'!$D$22:$D$31,MATCH(D49,'🔄 Rotação Duplas'!$C$22:$C$31,0)),INDEX('🔄 Rotação Duplas'!$C$22:$C$31,MATCH(D49,'🔄 Rotação Duplas'!$D$22:$D$31,0))),"Semana 3",IFERROR(INDEX('🔄 Rotação Duplas'!$D$36:$D$45,MATCH(D49,'🔄 Rotação Duplas'!$C$36:$C$45,0)),INDEX('🔄 Rotação Duplas'!$C$36:$C$45,MATCH(D49,'🔄 Rotação Duplas'!$D$36:$D$45,0))),"Semana 4",IFERROR(INDEX('🔄 Rotação Duplas'!$D$50:$D$59,MATCH(D49,'🔄 Rotação Duplas'!$C$50:$C$59,0)),INDEX('🔄 Rotação Duplas'!$C$50:$C$59,MATCH(D49,'🔄 Rotação Duplas'!$D$50:$D$59,0))),"Semana 5",IFERROR(INDEX('🔄 Rotação Duplas'!$D$64:$D$73,MATCH(D49,'🔄 Rotação Duplas'!$C$64:$C$73,0)),INDEX('🔄 Rotação Duplas'!$C$64:$C$73,MATCH(D49,'🔄 Rotação Duplas'!$D$64:$D$73,0))),"Semana 6",IFERROR(INDEX('🔄 Rotação Duplas'!$D$78:$D$87,MATCH(D49,'🔄 Rotação Duplas'!$C$78:$C$87,0)),INDEX('🔄 Rotação Duplas'!$C$78:$C$87,MATCH(D49,'🔄 Rotação Duplas'!$D$78:$D$87,0))),"Semana 7",IFERROR(INDEX('🔄 Rotação Duplas'!$D$92:$D$101,MATCH(D49,'🔄 Rotação Duplas'!$C$92:$C$101,0)),INDEX('🔄 Rotação Duplas'!$C$92:$C$101,MATCH(D49,'🔄 Rotação Duplas'!$D$92:$D$101,0))),"Semana 8",IFERROR(INDEX('🔄 Rotação Duplas'!$D$106:$D$115,MATCH(D49,'🔄 Rotação Duplas'!$C$106:$C$115,0)),INDEX('🔄 Rotação Duplas'!$C$106:$C$115,MATCH(D49,'🔄 Rotação Duplas'!$D$106:$D$115,0)))),""))</f>
        <v>Maria João Travassos</v>
      </c>
      <c r="T49">
        <f t="shared" si="3"/>
        <v>0</v>
      </c>
    </row>
    <row r="50" spans="2:20" ht="18" customHeight="1" x14ac:dyDescent="0.2">
      <c r="B50" s="85" t="s">
        <v>47</v>
      </c>
      <c r="C50" s="86" t="str">
        <f t="shared" si="5"/>
        <v>Desafio 3</v>
      </c>
      <c r="D50" s="87" t="str">
        <f>'⚙️ Configuração'!C33</f>
        <v>Helena Rocha</v>
      </c>
      <c r="E50" s="50"/>
      <c r="F50" s="50"/>
      <c r="G50" s="50"/>
      <c r="H50" s="50"/>
      <c r="I50" s="50"/>
      <c r="J50" s="50"/>
      <c r="K50" s="81">
        <f>(E50*'⚙️ Configuração'!$C$6+F50*'⚙️ Configuração'!$C$7+G50*'⚙️ Configuração'!$C$8+H50*'⚙️ Configuração'!$C$9+I50*'⚙️ Configuração'!$C$10+J50*'⚙️ Configuração'!$C$11)*IF(N50="S",2,1)</f>
        <v>0</v>
      </c>
      <c r="L50" s="90" t="s">
        <v>167</v>
      </c>
      <c r="M50" s="82">
        <f>IF(L50="AT1",'⚙️ Configuração'!$C$14,IF(L50="AT2",'⚙️ Configuração'!$C$15,IF(L50="FI",'⚙️ Configuração'!$C$16,IF(L50="FJ",'⚙️ Configuração'!$C$17,0))))</f>
        <v>0</v>
      </c>
      <c r="N50" s="91" t="s">
        <v>167</v>
      </c>
      <c r="O50" s="92"/>
      <c r="P50" s="83">
        <f>IF(O50="1",'⚙️ Configuração'!$C$21,IF(O50="2",'⚙️ Configuração'!$C$22,IF(O50="3",'⚙️ Configuração'!$C$23,IF(O50="Outro",'⚙️ Configuração'!$C$24,0))))</f>
        <v>0</v>
      </c>
      <c r="Q50" s="84">
        <f t="shared" si="2"/>
        <v>0</v>
      </c>
      <c r="R50" s="40" t="str">
        <f t="shared" si="1"/>
        <v>Semana 1 — ver 🔄</v>
      </c>
      <c r="S50" t="str" cm="1">
        <f t="array" ref="S50">IF(D50="","",IFERROR(_xlfn.SWITCH(B50,"Semana 1",IFERROR(INDEX('🔄 Rotação Duplas'!$D$8:$D$17,MATCH(D50,'🔄 Rotação Duplas'!$C$8:$C$17,0)),INDEX('🔄 Rotação Duplas'!$C$8:$C$17,MATCH(D50,'🔄 Rotação Duplas'!$D$8:$D$17,0))),"Semana 2",IFERROR(INDEX('🔄 Rotação Duplas'!$D$22:$D$31,MATCH(D50,'🔄 Rotação Duplas'!$C$22:$C$31,0)),INDEX('🔄 Rotação Duplas'!$C$22:$C$31,MATCH(D50,'🔄 Rotação Duplas'!$D$22:$D$31,0))),"Semana 3",IFERROR(INDEX('🔄 Rotação Duplas'!$D$36:$D$45,MATCH(D50,'🔄 Rotação Duplas'!$C$36:$C$45,0)),INDEX('🔄 Rotação Duplas'!$C$36:$C$45,MATCH(D50,'🔄 Rotação Duplas'!$D$36:$D$45,0))),"Semana 4",IFERROR(INDEX('🔄 Rotação Duplas'!$D$50:$D$59,MATCH(D50,'🔄 Rotação Duplas'!$C$50:$C$59,0)),INDEX('🔄 Rotação Duplas'!$C$50:$C$59,MATCH(D50,'🔄 Rotação Duplas'!$D$50:$D$59,0))),"Semana 5",IFERROR(INDEX('🔄 Rotação Duplas'!$D$64:$D$73,MATCH(D50,'🔄 Rotação Duplas'!$C$64:$C$73,0)),INDEX('🔄 Rotação Duplas'!$C$64:$C$73,MATCH(D50,'🔄 Rotação Duplas'!$D$64:$D$73,0))),"Semana 6",IFERROR(INDEX('🔄 Rotação Duplas'!$D$78:$D$87,MATCH(D50,'🔄 Rotação Duplas'!$C$78:$C$87,0)),INDEX('🔄 Rotação Duplas'!$C$78:$C$87,MATCH(D50,'🔄 Rotação Duplas'!$D$78:$D$87,0))),"Semana 7",IFERROR(INDEX('🔄 Rotação Duplas'!$D$92:$D$101,MATCH(D50,'🔄 Rotação Duplas'!$C$92:$C$101,0)),INDEX('🔄 Rotação Duplas'!$C$92:$C$101,MATCH(D50,'🔄 Rotação Duplas'!$D$92:$D$101,0))),"Semana 8",IFERROR(INDEX('🔄 Rotação Duplas'!$D$106:$D$115,MATCH(D50,'🔄 Rotação Duplas'!$C$106:$C$115,0)),INDEX('🔄 Rotação Duplas'!$C$106:$C$115,MATCH(D50,'🔄 Rotação Duplas'!$D$106:$D$115,0)))),""))</f>
        <v>Elisabete Mendes</v>
      </c>
      <c r="T50">
        <f t="shared" si="3"/>
        <v>0</v>
      </c>
    </row>
    <row r="51" spans="2:20" ht="18" customHeight="1" x14ac:dyDescent="0.2">
      <c r="B51" s="78" t="s">
        <v>47</v>
      </c>
      <c r="C51" s="79" t="str">
        <f t="shared" si="5"/>
        <v>Desafio 3</v>
      </c>
      <c r="D51" s="80" t="str">
        <f>'⚙️ Configuração'!C34</f>
        <v>João Xavier</v>
      </c>
      <c r="E51" s="50"/>
      <c r="F51" s="50"/>
      <c r="G51" s="50"/>
      <c r="H51" s="50"/>
      <c r="I51" s="50"/>
      <c r="J51" s="50"/>
      <c r="K51" s="81">
        <f>(E51*'⚙️ Configuração'!$C$6+F51*'⚙️ Configuração'!$C$7+G51*'⚙️ Configuração'!$C$8+H51*'⚙️ Configuração'!$C$9+I51*'⚙️ Configuração'!$C$10+J51*'⚙️ Configuração'!$C$11)*IF(N51="S",2,1)</f>
        <v>0</v>
      </c>
      <c r="L51" s="90" t="s">
        <v>167</v>
      </c>
      <c r="M51" s="82">
        <f>IF(L51="AT1",'⚙️ Configuração'!$C$14,IF(L51="AT2",'⚙️ Configuração'!$C$15,IF(L51="FI",'⚙️ Configuração'!$C$16,IF(L51="FJ",'⚙️ Configuração'!$C$17,0))))</f>
        <v>0</v>
      </c>
      <c r="N51" s="91" t="s">
        <v>167</v>
      </c>
      <c r="O51" s="92"/>
      <c r="P51" s="83">
        <f>IF(O51="1",'⚙️ Configuração'!$C$21,IF(O51="2",'⚙️ Configuração'!$C$22,IF(O51="3",'⚙️ Configuração'!$C$23,IF(O51="Outro",'⚙️ Configuração'!$C$24,0))))</f>
        <v>0</v>
      </c>
      <c r="Q51" s="84">
        <f t="shared" si="2"/>
        <v>0</v>
      </c>
      <c r="R51" s="40" t="str">
        <f t="shared" si="1"/>
        <v>Semana 1 — ver 🔄</v>
      </c>
      <c r="S51" t="str" cm="1">
        <f t="array" ref="S51">IF(D51="","",IFERROR(_xlfn.SWITCH(B51,"Semana 1",IFERROR(INDEX('🔄 Rotação Duplas'!$D$8:$D$17,MATCH(D51,'🔄 Rotação Duplas'!$C$8:$C$17,0)),INDEX('🔄 Rotação Duplas'!$C$8:$C$17,MATCH(D51,'🔄 Rotação Duplas'!$D$8:$D$17,0))),"Semana 2",IFERROR(INDEX('🔄 Rotação Duplas'!$D$22:$D$31,MATCH(D51,'🔄 Rotação Duplas'!$C$22:$C$31,0)),INDEX('🔄 Rotação Duplas'!$C$22:$C$31,MATCH(D51,'🔄 Rotação Duplas'!$D$22:$D$31,0))),"Semana 3",IFERROR(INDEX('🔄 Rotação Duplas'!$D$36:$D$45,MATCH(D51,'🔄 Rotação Duplas'!$C$36:$C$45,0)),INDEX('🔄 Rotação Duplas'!$C$36:$C$45,MATCH(D51,'🔄 Rotação Duplas'!$D$36:$D$45,0))),"Semana 4",IFERROR(INDEX('🔄 Rotação Duplas'!$D$50:$D$59,MATCH(D51,'🔄 Rotação Duplas'!$C$50:$C$59,0)),INDEX('🔄 Rotação Duplas'!$C$50:$C$59,MATCH(D51,'🔄 Rotação Duplas'!$D$50:$D$59,0))),"Semana 5",IFERROR(INDEX('🔄 Rotação Duplas'!$D$64:$D$73,MATCH(D51,'🔄 Rotação Duplas'!$C$64:$C$73,0)),INDEX('🔄 Rotação Duplas'!$C$64:$C$73,MATCH(D51,'🔄 Rotação Duplas'!$D$64:$D$73,0))),"Semana 6",IFERROR(INDEX('🔄 Rotação Duplas'!$D$78:$D$87,MATCH(D51,'🔄 Rotação Duplas'!$C$78:$C$87,0)),INDEX('🔄 Rotação Duplas'!$C$78:$C$87,MATCH(D51,'🔄 Rotação Duplas'!$D$78:$D$87,0))),"Semana 7",IFERROR(INDEX('🔄 Rotação Duplas'!$D$92:$D$101,MATCH(D51,'🔄 Rotação Duplas'!$C$92:$C$101,0)),INDEX('🔄 Rotação Duplas'!$C$92:$C$101,MATCH(D51,'🔄 Rotação Duplas'!$D$92:$D$101,0))),"Semana 8",IFERROR(INDEX('🔄 Rotação Duplas'!$D$106:$D$115,MATCH(D51,'🔄 Rotação Duplas'!$C$106:$C$115,0)),INDEX('🔄 Rotação Duplas'!$C$106:$C$115,MATCH(D51,'🔄 Rotação Duplas'!$D$106:$D$115,0)))),""))</f>
        <v>Rita Carmo</v>
      </c>
      <c r="T51">
        <f t="shared" si="3"/>
        <v>0</v>
      </c>
    </row>
    <row r="52" spans="2:20" ht="18" customHeight="1" x14ac:dyDescent="0.2">
      <c r="B52" s="85" t="s">
        <v>47</v>
      </c>
      <c r="C52" s="86" t="str">
        <f t="shared" si="5"/>
        <v>Desafio 3</v>
      </c>
      <c r="D52" s="87" t="str">
        <f>'⚙️ Configuração'!C35</f>
        <v>Tomás Carlos</v>
      </c>
      <c r="E52" s="50"/>
      <c r="F52" s="50"/>
      <c r="G52" s="50"/>
      <c r="H52" s="50"/>
      <c r="I52" s="50"/>
      <c r="J52" s="50"/>
      <c r="K52" s="81">
        <f>(E52*'⚙️ Configuração'!$C$6+F52*'⚙️ Configuração'!$C$7+G52*'⚙️ Configuração'!$C$8+H52*'⚙️ Configuração'!$C$9+I52*'⚙️ Configuração'!$C$10+J52*'⚙️ Configuração'!$C$11)*IF(N52="S",2,1)</f>
        <v>0</v>
      </c>
      <c r="L52" s="90" t="s">
        <v>167</v>
      </c>
      <c r="M52" s="82">
        <f>IF(L52="AT1",'⚙️ Configuração'!$C$14,IF(L52="AT2",'⚙️ Configuração'!$C$15,IF(L52="FI",'⚙️ Configuração'!$C$16,IF(L52="FJ",'⚙️ Configuração'!$C$17,0))))</f>
        <v>0</v>
      </c>
      <c r="N52" s="91" t="s">
        <v>167</v>
      </c>
      <c r="O52" s="92"/>
      <c r="P52" s="83">
        <f>IF(O52="1",'⚙️ Configuração'!$C$21,IF(O52="2",'⚙️ Configuração'!$C$22,IF(O52="3",'⚙️ Configuração'!$C$23,IF(O52="Outro",'⚙️ Configuração'!$C$24,0))))</f>
        <v>0</v>
      </c>
      <c r="Q52" s="84">
        <f t="shared" si="2"/>
        <v>0</v>
      </c>
      <c r="R52" s="40" t="str">
        <f t="shared" si="1"/>
        <v>Semana 1 — ver 🔄</v>
      </c>
      <c r="S52" t="str" cm="1">
        <f t="array" ref="S52">IF(D52="","",IFERROR(_xlfn.SWITCH(B52,"Semana 1",IFERROR(INDEX('🔄 Rotação Duplas'!$D$8:$D$17,MATCH(D52,'🔄 Rotação Duplas'!$C$8:$C$17,0)),INDEX('🔄 Rotação Duplas'!$C$8:$C$17,MATCH(D52,'🔄 Rotação Duplas'!$D$8:$D$17,0))),"Semana 2",IFERROR(INDEX('🔄 Rotação Duplas'!$D$22:$D$31,MATCH(D52,'🔄 Rotação Duplas'!$C$22:$C$31,0)),INDEX('🔄 Rotação Duplas'!$C$22:$C$31,MATCH(D52,'🔄 Rotação Duplas'!$D$22:$D$31,0))),"Semana 3",IFERROR(INDEX('🔄 Rotação Duplas'!$D$36:$D$45,MATCH(D52,'🔄 Rotação Duplas'!$C$36:$C$45,0)),INDEX('🔄 Rotação Duplas'!$C$36:$C$45,MATCH(D52,'🔄 Rotação Duplas'!$D$36:$D$45,0))),"Semana 4",IFERROR(INDEX('🔄 Rotação Duplas'!$D$50:$D$59,MATCH(D52,'🔄 Rotação Duplas'!$C$50:$C$59,0)),INDEX('🔄 Rotação Duplas'!$C$50:$C$59,MATCH(D52,'🔄 Rotação Duplas'!$D$50:$D$59,0))),"Semana 5",IFERROR(INDEX('🔄 Rotação Duplas'!$D$64:$D$73,MATCH(D52,'🔄 Rotação Duplas'!$C$64:$C$73,0)),INDEX('🔄 Rotação Duplas'!$C$64:$C$73,MATCH(D52,'🔄 Rotação Duplas'!$D$64:$D$73,0))),"Semana 6",IFERROR(INDEX('🔄 Rotação Duplas'!$D$78:$D$87,MATCH(D52,'🔄 Rotação Duplas'!$C$78:$C$87,0)),INDEX('🔄 Rotação Duplas'!$C$78:$C$87,MATCH(D52,'🔄 Rotação Duplas'!$D$78:$D$87,0))),"Semana 7",IFERROR(INDEX('🔄 Rotação Duplas'!$D$92:$D$101,MATCH(D52,'🔄 Rotação Duplas'!$C$92:$C$101,0)),INDEX('🔄 Rotação Duplas'!$C$92:$C$101,MATCH(D52,'🔄 Rotação Duplas'!$D$92:$D$101,0))),"Semana 8",IFERROR(INDEX('🔄 Rotação Duplas'!$D$106:$D$115,MATCH(D52,'🔄 Rotação Duplas'!$C$106:$C$115,0)),INDEX('🔄 Rotação Duplas'!$C$106:$C$115,MATCH(D52,'🔄 Rotação Duplas'!$D$106:$D$115,0)))),""))</f>
        <v>Patricia Isabel Silva</v>
      </c>
      <c r="T52">
        <f t="shared" si="3"/>
        <v>0</v>
      </c>
    </row>
    <row r="53" spans="2:20" ht="18" customHeight="1" x14ac:dyDescent="0.2">
      <c r="B53" s="78" t="s">
        <v>47</v>
      </c>
      <c r="C53" s="79" t="str">
        <f t="shared" si="5"/>
        <v>Desafio 3</v>
      </c>
      <c r="D53" s="80" t="str">
        <f>'⚙️ Configuração'!C36</f>
        <v>Alexandra Correia</v>
      </c>
      <c r="E53" s="50"/>
      <c r="F53" s="50"/>
      <c r="G53" s="50"/>
      <c r="H53" s="50"/>
      <c r="I53" s="50"/>
      <c r="J53" s="50"/>
      <c r="K53" s="81">
        <f>(E53*'⚙️ Configuração'!$C$6+F53*'⚙️ Configuração'!$C$7+G53*'⚙️ Configuração'!$C$8+H53*'⚙️ Configuração'!$C$9+I53*'⚙️ Configuração'!$C$10+J53*'⚙️ Configuração'!$C$11)*IF(N53="S",2,1)</f>
        <v>0</v>
      </c>
      <c r="L53" s="90" t="s">
        <v>167</v>
      </c>
      <c r="M53" s="82">
        <f>IF(L53="AT1",'⚙️ Configuração'!$C$14,IF(L53="AT2",'⚙️ Configuração'!$C$15,IF(L53="FI",'⚙️ Configuração'!$C$16,IF(L53="FJ",'⚙️ Configuração'!$C$17,0))))</f>
        <v>0</v>
      </c>
      <c r="N53" s="91" t="s">
        <v>167</v>
      </c>
      <c r="O53" s="92"/>
      <c r="P53" s="83">
        <f>IF(O53="1",'⚙️ Configuração'!$C$21,IF(O53="2",'⚙️ Configuração'!$C$22,IF(O53="3",'⚙️ Configuração'!$C$23,IF(O53="Outro",'⚙️ Configuração'!$C$24,0))))</f>
        <v>0</v>
      </c>
      <c r="Q53" s="84">
        <f t="shared" si="2"/>
        <v>0</v>
      </c>
      <c r="R53" s="40" t="str">
        <f t="shared" si="1"/>
        <v>Semana 1 — ver 🔄</v>
      </c>
      <c r="S53" t="str" cm="1">
        <f t="array" ref="S53">IF(D53="","",IFERROR(_xlfn.SWITCH(B53,"Semana 1",IFERROR(INDEX('🔄 Rotação Duplas'!$D$8:$D$17,MATCH(D53,'🔄 Rotação Duplas'!$C$8:$C$17,0)),INDEX('🔄 Rotação Duplas'!$C$8:$C$17,MATCH(D53,'🔄 Rotação Duplas'!$D$8:$D$17,0))),"Semana 2",IFERROR(INDEX('🔄 Rotação Duplas'!$D$22:$D$31,MATCH(D53,'🔄 Rotação Duplas'!$C$22:$C$31,0)),INDEX('🔄 Rotação Duplas'!$C$22:$C$31,MATCH(D53,'🔄 Rotação Duplas'!$D$22:$D$31,0))),"Semana 3",IFERROR(INDEX('🔄 Rotação Duplas'!$D$36:$D$45,MATCH(D53,'🔄 Rotação Duplas'!$C$36:$C$45,0)),INDEX('🔄 Rotação Duplas'!$C$36:$C$45,MATCH(D53,'🔄 Rotação Duplas'!$D$36:$D$45,0))),"Semana 4",IFERROR(INDEX('🔄 Rotação Duplas'!$D$50:$D$59,MATCH(D53,'🔄 Rotação Duplas'!$C$50:$C$59,0)),INDEX('🔄 Rotação Duplas'!$C$50:$C$59,MATCH(D53,'🔄 Rotação Duplas'!$D$50:$D$59,0))),"Semana 5",IFERROR(INDEX('🔄 Rotação Duplas'!$D$64:$D$73,MATCH(D53,'🔄 Rotação Duplas'!$C$64:$C$73,0)),INDEX('🔄 Rotação Duplas'!$C$64:$C$73,MATCH(D53,'🔄 Rotação Duplas'!$D$64:$D$73,0))),"Semana 6",IFERROR(INDEX('🔄 Rotação Duplas'!$D$78:$D$87,MATCH(D53,'🔄 Rotação Duplas'!$C$78:$C$87,0)),INDEX('🔄 Rotação Duplas'!$C$78:$C$87,MATCH(D53,'🔄 Rotação Duplas'!$D$78:$D$87,0))),"Semana 7",IFERROR(INDEX('🔄 Rotação Duplas'!$D$92:$D$101,MATCH(D53,'🔄 Rotação Duplas'!$C$92:$C$101,0)),INDEX('🔄 Rotação Duplas'!$C$92:$C$101,MATCH(D53,'🔄 Rotação Duplas'!$D$92:$D$101,0))),"Semana 8",IFERROR(INDEX('🔄 Rotação Duplas'!$D$106:$D$115,MATCH(D53,'🔄 Rotação Duplas'!$C$106:$C$115,0)),INDEX('🔄 Rotação Duplas'!$C$106:$C$115,MATCH(D53,'🔄 Rotação Duplas'!$D$106:$D$115,0)))),""))</f>
        <v>William Fernandes</v>
      </c>
      <c r="T53">
        <f t="shared" si="3"/>
        <v>0</v>
      </c>
    </row>
    <row r="54" spans="2:20" ht="18" customHeight="1" x14ac:dyDescent="0.2">
      <c r="B54" s="85" t="s">
        <v>47</v>
      </c>
      <c r="C54" s="86" t="str">
        <f t="shared" si="5"/>
        <v>Desafio 3</v>
      </c>
      <c r="D54" s="87" t="str">
        <f>'⚙️ Configuração'!C37</f>
        <v>Carla Barata</v>
      </c>
      <c r="E54" s="50"/>
      <c r="F54" s="50"/>
      <c r="G54" s="50"/>
      <c r="H54" s="50"/>
      <c r="I54" s="50"/>
      <c r="J54" s="50"/>
      <c r="K54" s="81">
        <f>(E54*'⚙️ Configuração'!$C$6+F54*'⚙️ Configuração'!$C$7+G54*'⚙️ Configuração'!$C$8+H54*'⚙️ Configuração'!$C$9+I54*'⚙️ Configuração'!$C$10+J54*'⚙️ Configuração'!$C$11)*IF(N54="S",2,1)</f>
        <v>0</v>
      </c>
      <c r="L54" s="90" t="s">
        <v>167</v>
      </c>
      <c r="M54" s="82">
        <f>IF(L54="AT1",'⚙️ Configuração'!$C$14,IF(L54="AT2",'⚙️ Configuração'!$C$15,IF(L54="FI",'⚙️ Configuração'!$C$16,IF(L54="FJ",'⚙️ Configuração'!$C$17,0))))</f>
        <v>0</v>
      </c>
      <c r="N54" s="91" t="s">
        <v>167</v>
      </c>
      <c r="O54" s="92"/>
      <c r="P54" s="83">
        <f>IF(O54="1",'⚙️ Configuração'!$C$21,IF(O54="2",'⚙️ Configuração'!$C$22,IF(O54="3",'⚙️ Configuração'!$C$23,IF(O54="Outro",'⚙️ Configuração'!$C$24,0))))</f>
        <v>0</v>
      </c>
      <c r="Q54" s="84">
        <f t="shared" si="2"/>
        <v>0</v>
      </c>
      <c r="R54" s="40" t="str">
        <f t="shared" si="1"/>
        <v>Semana 1 — ver 🔄</v>
      </c>
      <c r="S54" t="str" cm="1">
        <f t="array" ref="S54">IF(D54="","",IFERROR(_xlfn.SWITCH(B54,"Semana 1",IFERROR(INDEX('🔄 Rotação Duplas'!$D$8:$D$17,MATCH(D54,'🔄 Rotação Duplas'!$C$8:$C$17,0)),INDEX('🔄 Rotação Duplas'!$C$8:$C$17,MATCH(D54,'🔄 Rotação Duplas'!$D$8:$D$17,0))),"Semana 2",IFERROR(INDEX('🔄 Rotação Duplas'!$D$22:$D$31,MATCH(D54,'🔄 Rotação Duplas'!$C$22:$C$31,0)),INDEX('🔄 Rotação Duplas'!$C$22:$C$31,MATCH(D54,'🔄 Rotação Duplas'!$D$22:$D$31,0))),"Semana 3",IFERROR(INDEX('🔄 Rotação Duplas'!$D$36:$D$45,MATCH(D54,'🔄 Rotação Duplas'!$C$36:$C$45,0)),INDEX('🔄 Rotação Duplas'!$C$36:$C$45,MATCH(D54,'🔄 Rotação Duplas'!$D$36:$D$45,0))),"Semana 4",IFERROR(INDEX('🔄 Rotação Duplas'!$D$50:$D$59,MATCH(D54,'🔄 Rotação Duplas'!$C$50:$C$59,0)),INDEX('🔄 Rotação Duplas'!$C$50:$C$59,MATCH(D54,'🔄 Rotação Duplas'!$D$50:$D$59,0))),"Semana 5",IFERROR(INDEX('🔄 Rotação Duplas'!$D$64:$D$73,MATCH(D54,'🔄 Rotação Duplas'!$C$64:$C$73,0)),INDEX('🔄 Rotação Duplas'!$C$64:$C$73,MATCH(D54,'🔄 Rotação Duplas'!$D$64:$D$73,0))),"Semana 6",IFERROR(INDEX('🔄 Rotação Duplas'!$D$78:$D$87,MATCH(D54,'🔄 Rotação Duplas'!$C$78:$C$87,0)),INDEX('🔄 Rotação Duplas'!$C$78:$C$87,MATCH(D54,'🔄 Rotação Duplas'!$D$78:$D$87,0))),"Semana 7",IFERROR(INDEX('🔄 Rotação Duplas'!$D$92:$D$101,MATCH(D54,'🔄 Rotação Duplas'!$C$92:$C$101,0)),INDEX('🔄 Rotação Duplas'!$C$92:$C$101,MATCH(D54,'🔄 Rotação Duplas'!$D$92:$D$101,0))),"Semana 8",IFERROR(INDEX('🔄 Rotação Duplas'!$D$106:$D$115,MATCH(D54,'🔄 Rotação Duplas'!$C$106:$C$115,0)),INDEX('🔄 Rotação Duplas'!$C$106:$C$115,MATCH(D54,'🔄 Rotação Duplas'!$D$106:$D$115,0)))),""))</f>
        <v>Paula Martins</v>
      </c>
      <c r="T54">
        <f t="shared" si="3"/>
        <v>0</v>
      </c>
    </row>
    <row r="55" spans="2:20" ht="18" customHeight="1" x14ac:dyDescent="0.2">
      <c r="B55" s="78" t="s">
        <v>47</v>
      </c>
      <c r="C55" s="79" t="str">
        <f t="shared" si="5"/>
        <v>Desafio 3</v>
      </c>
      <c r="D55" s="80" t="str">
        <f>'⚙️ Configuração'!C38</f>
        <v>Denise Filipe</v>
      </c>
      <c r="E55" s="50"/>
      <c r="F55" s="50"/>
      <c r="G55" s="50"/>
      <c r="H55" s="50"/>
      <c r="I55" s="50"/>
      <c r="J55" s="50"/>
      <c r="K55" s="81">
        <f>(E55*'⚙️ Configuração'!$C$6+F55*'⚙️ Configuração'!$C$7+G55*'⚙️ Configuração'!$C$8+H55*'⚙️ Configuração'!$C$9+I55*'⚙️ Configuração'!$C$10+J55*'⚙️ Configuração'!$C$11)*IF(N55="S",2,1)</f>
        <v>0</v>
      </c>
      <c r="L55" s="90" t="s">
        <v>167</v>
      </c>
      <c r="M55" s="82">
        <f>IF(L55="AT1",'⚙️ Configuração'!$C$14,IF(L55="AT2",'⚙️ Configuração'!$C$15,IF(L55="FI",'⚙️ Configuração'!$C$16,IF(L55="FJ",'⚙️ Configuração'!$C$17,0))))</f>
        <v>0</v>
      </c>
      <c r="N55" s="91" t="s">
        <v>167</v>
      </c>
      <c r="O55" s="92"/>
      <c r="P55" s="83">
        <f>IF(O55="1",'⚙️ Configuração'!$C$21,IF(O55="2",'⚙️ Configuração'!$C$22,IF(O55="3",'⚙️ Configuração'!$C$23,IF(O55="Outro",'⚙️ Configuração'!$C$24,0))))</f>
        <v>0</v>
      </c>
      <c r="Q55" s="84">
        <f t="shared" si="2"/>
        <v>0</v>
      </c>
      <c r="R55" s="40" t="str">
        <f t="shared" si="1"/>
        <v>Semana 1 — ver 🔄</v>
      </c>
      <c r="S55" t="str" cm="1">
        <f t="array" ref="S55">IF(D55="","",IFERROR(_xlfn.SWITCH(B55,"Semana 1",IFERROR(INDEX('🔄 Rotação Duplas'!$D$8:$D$17,MATCH(D55,'🔄 Rotação Duplas'!$C$8:$C$17,0)),INDEX('🔄 Rotação Duplas'!$C$8:$C$17,MATCH(D55,'🔄 Rotação Duplas'!$D$8:$D$17,0))),"Semana 2",IFERROR(INDEX('🔄 Rotação Duplas'!$D$22:$D$31,MATCH(D55,'🔄 Rotação Duplas'!$C$22:$C$31,0)),INDEX('🔄 Rotação Duplas'!$C$22:$C$31,MATCH(D55,'🔄 Rotação Duplas'!$D$22:$D$31,0))),"Semana 3",IFERROR(INDEX('🔄 Rotação Duplas'!$D$36:$D$45,MATCH(D55,'🔄 Rotação Duplas'!$C$36:$C$45,0)),INDEX('🔄 Rotação Duplas'!$C$36:$C$45,MATCH(D55,'🔄 Rotação Duplas'!$D$36:$D$45,0))),"Semana 4",IFERROR(INDEX('🔄 Rotação Duplas'!$D$50:$D$59,MATCH(D55,'🔄 Rotação Duplas'!$C$50:$C$59,0)),INDEX('🔄 Rotação Duplas'!$C$50:$C$59,MATCH(D55,'🔄 Rotação Duplas'!$D$50:$D$59,0))),"Semana 5",IFERROR(INDEX('🔄 Rotação Duplas'!$D$64:$D$73,MATCH(D55,'🔄 Rotação Duplas'!$C$64:$C$73,0)),INDEX('🔄 Rotação Duplas'!$C$64:$C$73,MATCH(D55,'🔄 Rotação Duplas'!$D$64:$D$73,0))),"Semana 6",IFERROR(INDEX('🔄 Rotação Duplas'!$D$78:$D$87,MATCH(D55,'🔄 Rotação Duplas'!$C$78:$C$87,0)),INDEX('🔄 Rotação Duplas'!$C$78:$C$87,MATCH(D55,'🔄 Rotação Duplas'!$D$78:$D$87,0))),"Semana 7",IFERROR(INDEX('🔄 Rotação Duplas'!$D$92:$D$101,MATCH(D55,'🔄 Rotação Duplas'!$C$92:$C$101,0)),INDEX('🔄 Rotação Duplas'!$C$92:$C$101,MATCH(D55,'🔄 Rotação Duplas'!$D$92:$D$101,0))),"Semana 8",IFERROR(INDEX('🔄 Rotação Duplas'!$D$106:$D$115,MATCH(D55,'🔄 Rotação Duplas'!$C$106:$C$115,0)),INDEX('🔄 Rotação Duplas'!$C$106:$C$115,MATCH(D55,'🔄 Rotação Duplas'!$D$106:$D$115,0)))),""))</f>
        <v>Carla Cantante</v>
      </c>
      <c r="T55">
        <f t="shared" si="3"/>
        <v>0</v>
      </c>
    </row>
    <row r="56" spans="2:20" ht="18" customHeight="1" x14ac:dyDescent="0.2">
      <c r="B56" s="85" t="s">
        <v>47</v>
      </c>
      <c r="C56" s="86" t="str">
        <f t="shared" si="5"/>
        <v>Desafio 3</v>
      </c>
      <c r="D56" s="87" t="str">
        <f>'⚙️ Configuração'!C39</f>
        <v>Fátima Rodriguez</v>
      </c>
      <c r="E56" s="50"/>
      <c r="F56" s="50"/>
      <c r="G56" s="50"/>
      <c r="H56" s="50"/>
      <c r="I56" s="50"/>
      <c r="J56" s="50"/>
      <c r="K56" s="81">
        <f>(E56*'⚙️ Configuração'!$C$6+F56*'⚙️ Configuração'!$C$7+G56*'⚙️ Configuração'!$C$8+H56*'⚙️ Configuração'!$C$9+I56*'⚙️ Configuração'!$C$10+J56*'⚙️ Configuração'!$C$11)*IF(N56="S",2,1)</f>
        <v>0</v>
      </c>
      <c r="L56" s="90" t="s">
        <v>167</v>
      </c>
      <c r="M56" s="82">
        <f>IF(L56="AT1",'⚙️ Configuração'!$C$14,IF(L56="AT2",'⚙️ Configuração'!$C$15,IF(L56="FI",'⚙️ Configuração'!$C$16,IF(L56="FJ",'⚙️ Configuração'!$C$17,0))))</f>
        <v>0</v>
      </c>
      <c r="N56" s="91" t="s">
        <v>167</v>
      </c>
      <c r="O56" s="92"/>
      <c r="P56" s="83">
        <f>IF(O56="1",'⚙️ Configuração'!$C$21,IF(O56="2",'⚙️ Configuração'!$C$22,IF(O56="3",'⚙️ Configuração'!$C$23,IF(O56="Outro",'⚙️ Configuração'!$C$24,0))))</f>
        <v>0</v>
      </c>
      <c r="Q56" s="84">
        <f t="shared" si="2"/>
        <v>0</v>
      </c>
      <c r="R56" s="40" t="str">
        <f t="shared" si="1"/>
        <v>Semana 1 — ver 🔄</v>
      </c>
      <c r="S56" cm="1">
        <f t="array" ref="S56">IF(D56="","",IFERROR(_xlfn.SWITCH(B56,"Semana 1",IFERROR(INDEX('🔄 Rotação Duplas'!$D$8:$D$17,MATCH(D56,'🔄 Rotação Duplas'!$C$8:$C$17,0)),INDEX('🔄 Rotação Duplas'!$C$8:$C$17,MATCH(D56,'🔄 Rotação Duplas'!$D$8:$D$17,0))),"Semana 2",IFERROR(INDEX('🔄 Rotação Duplas'!$D$22:$D$31,MATCH(D56,'🔄 Rotação Duplas'!$C$22:$C$31,0)),INDEX('🔄 Rotação Duplas'!$C$22:$C$31,MATCH(D56,'🔄 Rotação Duplas'!$D$22:$D$31,0))),"Semana 3",IFERROR(INDEX('🔄 Rotação Duplas'!$D$36:$D$45,MATCH(D56,'🔄 Rotação Duplas'!$C$36:$C$45,0)),INDEX('🔄 Rotação Duplas'!$C$36:$C$45,MATCH(D56,'🔄 Rotação Duplas'!$D$36:$D$45,0))),"Semana 4",IFERROR(INDEX('🔄 Rotação Duplas'!$D$50:$D$59,MATCH(D56,'🔄 Rotação Duplas'!$C$50:$C$59,0)),INDEX('🔄 Rotação Duplas'!$C$50:$C$59,MATCH(D56,'🔄 Rotação Duplas'!$D$50:$D$59,0))),"Semana 5",IFERROR(INDEX('🔄 Rotação Duplas'!$D$64:$D$73,MATCH(D56,'🔄 Rotação Duplas'!$C$64:$C$73,0)),INDEX('🔄 Rotação Duplas'!$C$64:$C$73,MATCH(D56,'🔄 Rotação Duplas'!$D$64:$D$73,0))),"Semana 6",IFERROR(INDEX('🔄 Rotação Duplas'!$D$78:$D$87,MATCH(D56,'🔄 Rotação Duplas'!$C$78:$C$87,0)),INDEX('🔄 Rotação Duplas'!$C$78:$C$87,MATCH(D56,'🔄 Rotação Duplas'!$D$78:$D$87,0))),"Semana 7",IFERROR(INDEX('🔄 Rotação Duplas'!$D$92:$D$101,MATCH(D56,'🔄 Rotação Duplas'!$C$92:$C$101,0)),INDEX('🔄 Rotação Duplas'!$C$92:$C$101,MATCH(D56,'🔄 Rotação Duplas'!$D$92:$D$101,0))),"Semana 8",IFERROR(INDEX('🔄 Rotação Duplas'!$D$106:$D$115,MATCH(D56,'🔄 Rotação Duplas'!$C$106:$C$115,0)),INDEX('🔄 Rotação Duplas'!$C$106:$C$115,MATCH(D56,'🔄 Rotação Duplas'!$D$106:$D$115,0)))),""))</f>
        <v>0</v>
      </c>
      <c r="T56">
        <f t="shared" si="3"/>
        <v>0</v>
      </c>
    </row>
    <row r="57" spans="2:20" ht="18" customHeight="1" x14ac:dyDescent="0.2">
      <c r="B57" s="78" t="s">
        <v>47</v>
      </c>
      <c r="C57" s="79" t="str">
        <f t="shared" si="5"/>
        <v>Desafio 3</v>
      </c>
      <c r="D57" s="80" t="str">
        <f>'⚙️ Configuração'!C40</f>
        <v>Maria João Travassos</v>
      </c>
      <c r="E57" s="50"/>
      <c r="F57" s="50"/>
      <c r="G57" s="50"/>
      <c r="H57" s="50"/>
      <c r="I57" s="50"/>
      <c r="J57" s="50"/>
      <c r="K57" s="81">
        <f>(E57*'⚙️ Configuração'!$C$6+F57*'⚙️ Configuração'!$C$7+G57*'⚙️ Configuração'!$C$8+H57*'⚙️ Configuração'!$C$9+I57*'⚙️ Configuração'!$C$10+J57*'⚙️ Configuração'!$C$11)*IF(N57="S",2,1)</f>
        <v>0</v>
      </c>
      <c r="L57" s="90" t="s">
        <v>167</v>
      </c>
      <c r="M57" s="82">
        <f>IF(L57="AT1",'⚙️ Configuração'!$C$14,IF(L57="AT2",'⚙️ Configuração'!$C$15,IF(L57="FI",'⚙️ Configuração'!$C$16,IF(L57="FJ",'⚙️ Configuração'!$C$17,0))))</f>
        <v>0</v>
      </c>
      <c r="N57" s="91" t="s">
        <v>167</v>
      </c>
      <c r="O57" s="92"/>
      <c r="P57" s="83">
        <f>IF(O57="1",'⚙️ Configuração'!$C$21,IF(O57="2",'⚙️ Configuração'!$C$22,IF(O57="3",'⚙️ Configuração'!$C$23,IF(O57="Outro",'⚙️ Configuração'!$C$24,0))))</f>
        <v>0</v>
      </c>
      <c r="Q57" s="84">
        <f t="shared" si="2"/>
        <v>0</v>
      </c>
      <c r="R57" s="40" t="str">
        <f t="shared" si="1"/>
        <v>Semana 1 — ver 🔄</v>
      </c>
      <c r="S57" t="str" cm="1">
        <f t="array" ref="S57">IF(D57="","",IFERROR(_xlfn.SWITCH(B57,"Semana 1",IFERROR(INDEX('🔄 Rotação Duplas'!$D$8:$D$17,MATCH(D57,'🔄 Rotação Duplas'!$C$8:$C$17,0)),INDEX('🔄 Rotação Duplas'!$C$8:$C$17,MATCH(D57,'🔄 Rotação Duplas'!$D$8:$D$17,0))),"Semana 2",IFERROR(INDEX('🔄 Rotação Duplas'!$D$22:$D$31,MATCH(D57,'🔄 Rotação Duplas'!$C$22:$C$31,0)),INDEX('🔄 Rotação Duplas'!$C$22:$C$31,MATCH(D57,'🔄 Rotação Duplas'!$D$22:$D$31,0))),"Semana 3",IFERROR(INDEX('🔄 Rotação Duplas'!$D$36:$D$45,MATCH(D57,'🔄 Rotação Duplas'!$C$36:$C$45,0)),INDEX('🔄 Rotação Duplas'!$C$36:$C$45,MATCH(D57,'🔄 Rotação Duplas'!$D$36:$D$45,0))),"Semana 4",IFERROR(INDEX('🔄 Rotação Duplas'!$D$50:$D$59,MATCH(D57,'🔄 Rotação Duplas'!$C$50:$C$59,0)),INDEX('🔄 Rotação Duplas'!$C$50:$C$59,MATCH(D57,'🔄 Rotação Duplas'!$D$50:$D$59,0))),"Semana 5",IFERROR(INDEX('🔄 Rotação Duplas'!$D$64:$D$73,MATCH(D57,'🔄 Rotação Duplas'!$C$64:$C$73,0)),INDEX('🔄 Rotação Duplas'!$C$64:$C$73,MATCH(D57,'🔄 Rotação Duplas'!$D$64:$D$73,0))),"Semana 6",IFERROR(INDEX('🔄 Rotação Duplas'!$D$78:$D$87,MATCH(D57,'🔄 Rotação Duplas'!$C$78:$C$87,0)),INDEX('🔄 Rotação Duplas'!$C$78:$C$87,MATCH(D57,'🔄 Rotação Duplas'!$D$78:$D$87,0))),"Semana 7",IFERROR(INDEX('🔄 Rotação Duplas'!$D$92:$D$101,MATCH(D57,'🔄 Rotação Duplas'!$C$92:$C$101,0)),INDEX('🔄 Rotação Duplas'!$C$92:$C$101,MATCH(D57,'🔄 Rotação Duplas'!$D$92:$D$101,0))),"Semana 8",IFERROR(INDEX('🔄 Rotação Duplas'!$D$106:$D$115,MATCH(D57,'🔄 Rotação Duplas'!$C$106:$C$115,0)),INDEX('🔄 Rotação Duplas'!$C$106:$C$115,MATCH(D57,'🔄 Rotação Duplas'!$D$106:$D$115,0)))),""))</f>
        <v>Filipa Cunha</v>
      </c>
      <c r="T57">
        <f t="shared" si="3"/>
        <v>0</v>
      </c>
    </row>
    <row r="58" spans="2:20" ht="18" customHeight="1" x14ac:dyDescent="0.2">
      <c r="B58" s="85" t="s">
        <v>47</v>
      </c>
      <c r="C58" s="86" t="str">
        <f t="shared" si="5"/>
        <v>Desafio 3</v>
      </c>
      <c r="D58" s="87" t="str">
        <f>'⚙️ Configuração'!C41</f>
        <v>Marta Torres</v>
      </c>
      <c r="E58" s="50"/>
      <c r="F58" s="50"/>
      <c r="G58" s="50"/>
      <c r="H58" s="50"/>
      <c r="I58" s="50"/>
      <c r="J58" s="50"/>
      <c r="K58" s="81">
        <f>(E58*'⚙️ Configuração'!$C$6+F58*'⚙️ Configuração'!$C$7+G58*'⚙️ Configuração'!$C$8+H58*'⚙️ Configuração'!$C$9+I58*'⚙️ Configuração'!$C$10+J58*'⚙️ Configuração'!$C$11)*IF(N58="S",2,1)</f>
        <v>0</v>
      </c>
      <c r="L58" s="90" t="s">
        <v>167</v>
      </c>
      <c r="M58" s="82">
        <f>IF(L58="AT1",'⚙️ Configuração'!$C$14,IF(L58="AT2",'⚙️ Configuração'!$C$15,IF(L58="FI",'⚙️ Configuração'!$C$16,IF(L58="FJ",'⚙️ Configuração'!$C$17,0))))</f>
        <v>0</v>
      </c>
      <c r="N58" s="91" t="s">
        <v>167</v>
      </c>
      <c r="O58" s="92"/>
      <c r="P58" s="83">
        <f>IF(O58="1",'⚙️ Configuração'!$C$21,IF(O58="2",'⚙️ Configuração'!$C$22,IF(O58="3",'⚙️ Configuração'!$C$23,IF(O58="Outro",'⚙️ Configuração'!$C$24,0))))</f>
        <v>0</v>
      </c>
      <c r="Q58" s="84">
        <f t="shared" si="2"/>
        <v>0</v>
      </c>
      <c r="R58" s="40" t="str">
        <f t="shared" si="1"/>
        <v>Semana 1 — ver 🔄</v>
      </c>
      <c r="S58" t="str" cm="1">
        <f t="array" ref="S58">IF(D58="","",IFERROR(_xlfn.SWITCH(B58,"Semana 1",IFERROR(INDEX('🔄 Rotação Duplas'!$D$8:$D$17,MATCH(D58,'🔄 Rotação Duplas'!$C$8:$C$17,0)),INDEX('🔄 Rotação Duplas'!$C$8:$C$17,MATCH(D58,'🔄 Rotação Duplas'!$D$8:$D$17,0))),"Semana 2",IFERROR(INDEX('🔄 Rotação Duplas'!$D$22:$D$31,MATCH(D58,'🔄 Rotação Duplas'!$C$22:$C$31,0)),INDEX('🔄 Rotação Duplas'!$C$22:$C$31,MATCH(D58,'🔄 Rotação Duplas'!$D$22:$D$31,0))),"Semana 3",IFERROR(INDEX('🔄 Rotação Duplas'!$D$36:$D$45,MATCH(D58,'🔄 Rotação Duplas'!$C$36:$C$45,0)),INDEX('🔄 Rotação Duplas'!$C$36:$C$45,MATCH(D58,'🔄 Rotação Duplas'!$D$36:$D$45,0))),"Semana 4",IFERROR(INDEX('🔄 Rotação Duplas'!$D$50:$D$59,MATCH(D58,'🔄 Rotação Duplas'!$C$50:$C$59,0)),INDEX('🔄 Rotação Duplas'!$C$50:$C$59,MATCH(D58,'🔄 Rotação Duplas'!$D$50:$D$59,0))),"Semana 5",IFERROR(INDEX('🔄 Rotação Duplas'!$D$64:$D$73,MATCH(D58,'🔄 Rotação Duplas'!$C$64:$C$73,0)),INDEX('🔄 Rotação Duplas'!$C$64:$C$73,MATCH(D58,'🔄 Rotação Duplas'!$D$64:$D$73,0))),"Semana 6",IFERROR(INDEX('🔄 Rotação Duplas'!$D$78:$D$87,MATCH(D58,'🔄 Rotação Duplas'!$C$78:$C$87,0)),INDEX('🔄 Rotação Duplas'!$C$78:$C$87,MATCH(D58,'🔄 Rotação Duplas'!$D$78:$D$87,0))),"Semana 7",IFERROR(INDEX('🔄 Rotação Duplas'!$D$92:$D$101,MATCH(D58,'🔄 Rotação Duplas'!$C$92:$C$101,0)),INDEX('🔄 Rotação Duplas'!$C$92:$C$101,MATCH(D58,'🔄 Rotação Duplas'!$D$92:$D$101,0))),"Semana 8",IFERROR(INDEX('🔄 Rotação Duplas'!$D$106:$D$115,MATCH(D58,'🔄 Rotação Duplas'!$C$106:$C$115,0)),INDEX('🔄 Rotação Duplas'!$C$106:$C$115,MATCH(D58,'🔄 Rotação Duplas'!$D$106:$D$115,0)))),""))</f>
        <v>Paula Miabara</v>
      </c>
      <c r="T58">
        <f t="shared" si="3"/>
        <v>0</v>
      </c>
    </row>
    <row r="59" spans="2:20" ht="18" customHeight="1" x14ac:dyDescent="0.2">
      <c r="B59" s="78" t="s">
        <v>47</v>
      </c>
      <c r="C59" s="79" t="str">
        <f t="shared" si="5"/>
        <v>Desafio 3</v>
      </c>
      <c r="D59" s="80" t="str">
        <f>'⚙️ Configuração'!C42</f>
        <v>Patricia Isabel Silva</v>
      </c>
      <c r="E59" s="50"/>
      <c r="F59" s="50"/>
      <c r="G59" s="50"/>
      <c r="H59" s="50"/>
      <c r="I59" s="50"/>
      <c r="J59" s="50"/>
      <c r="K59" s="81">
        <f>(E59*'⚙️ Configuração'!$C$6+F59*'⚙️ Configuração'!$C$7+G59*'⚙️ Configuração'!$C$8+H59*'⚙️ Configuração'!$C$9+I59*'⚙️ Configuração'!$C$10+J59*'⚙️ Configuração'!$C$11)*IF(N59="S",2,1)</f>
        <v>0</v>
      </c>
      <c r="L59" s="90" t="s">
        <v>167</v>
      </c>
      <c r="M59" s="82">
        <f>IF(L59="AT1",'⚙️ Configuração'!$C$14,IF(L59="AT2",'⚙️ Configuração'!$C$15,IF(L59="FI",'⚙️ Configuração'!$C$16,IF(L59="FJ",'⚙️ Configuração'!$C$17,0))))</f>
        <v>0</v>
      </c>
      <c r="N59" s="91" t="s">
        <v>167</v>
      </c>
      <c r="O59" s="92"/>
      <c r="P59" s="83">
        <f>IF(O59="1",'⚙️ Configuração'!$C$21,IF(O59="2",'⚙️ Configuração'!$C$22,IF(O59="3",'⚙️ Configuração'!$C$23,IF(O59="Outro",'⚙️ Configuração'!$C$24,0))))</f>
        <v>0</v>
      </c>
      <c r="Q59" s="84">
        <f t="shared" si="2"/>
        <v>0</v>
      </c>
      <c r="R59" s="40" t="str">
        <f t="shared" si="1"/>
        <v>Semana 1 — ver 🔄</v>
      </c>
      <c r="S59" t="str" cm="1">
        <f t="array" ref="S59">IF(D59="","",IFERROR(_xlfn.SWITCH(B59,"Semana 1",IFERROR(INDEX('🔄 Rotação Duplas'!$D$8:$D$17,MATCH(D59,'🔄 Rotação Duplas'!$C$8:$C$17,0)),INDEX('🔄 Rotação Duplas'!$C$8:$C$17,MATCH(D59,'🔄 Rotação Duplas'!$D$8:$D$17,0))),"Semana 2",IFERROR(INDEX('🔄 Rotação Duplas'!$D$22:$D$31,MATCH(D59,'🔄 Rotação Duplas'!$C$22:$C$31,0)),INDEX('🔄 Rotação Duplas'!$C$22:$C$31,MATCH(D59,'🔄 Rotação Duplas'!$D$22:$D$31,0))),"Semana 3",IFERROR(INDEX('🔄 Rotação Duplas'!$D$36:$D$45,MATCH(D59,'🔄 Rotação Duplas'!$C$36:$C$45,0)),INDEX('🔄 Rotação Duplas'!$C$36:$C$45,MATCH(D59,'🔄 Rotação Duplas'!$D$36:$D$45,0))),"Semana 4",IFERROR(INDEX('🔄 Rotação Duplas'!$D$50:$D$59,MATCH(D59,'🔄 Rotação Duplas'!$C$50:$C$59,0)),INDEX('🔄 Rotação Duplas'!$C$50:$C$59,MATCH(D59,'🔄 Rotação Duplas'!$D$50:$D$59,0))),"Semana 5",IFERROR(INDEX('🔄 Rotação Duplas'!$D$64:$D$73,MATCH(D59,'🔄 Rotação Duplas'!$C$64:$C$73,0)),INDEX('🔄 Rotação Duplas'!$C$64:$C$73,MATCH(D59,'🔄 Rotação Duplas'!$D$64:$D$73,0))),"Semana 6",IFERROR(INDEX('🔄 Rotação Duplas'!$D$78:$D$87,MATCH(D59,'🔄 Rotação Duplas'!$C$78:$C$87,0)),INDEX('🔄 Rotação Duplas'!$C$78:$C$87,MATCH(D59,'🔄 Rotação Duplas'!$D$78:$D$87,0))),"Semana 7",IFERROR(INDEX('🔄 Rotação Duplas'!$D$92:$D$101,MATCH(D59,'🔄 Rotação Duplas'!$C$92:$C$101,0)),INDEX('🔄 Rotação Duplas'!$C$92:$C$101,MATCH(D59,'🔄 Rotação Duplas'!$D$92:$D$101,0))),"Semana 8",IFERROR(INDEX('🔄 Rotação Duplas'!$D$106:$D$115,MATCH(D59,'🔄 Rotação Duplas'!$C$106:$C$115,0)),INDEX('🔄 Rotação Duplas'!$C$106:$C$115,MATCH(D59,'🔄 Rotação Duplas'!$D$106:$D$115,0)))),""))</f>
        <v>Tomás Carlos</v>
      </c>
      <c r="T59">
        <f t="shared" si="3"/>
        <v>0</v>
      </c>
    </row>
    <row r="60" spans="2:20" ht="18" customHeight="1" x14ac:dyDescent="0.2">
      <c r="B60" s="85" t="s">
        <v>47</v>
      </c>
      <c r="C60" s="86" t="str">
        <f t="shared" si="5"/>
        <v>Desafio 3</v>
      </c>
      <c r="D60" s="87" t="str">
        <f>'⚙️ Configuração'!C43</f>
        <v>Paula Martins</v>
      </c>
      <c r="E60" s="50"/>
      <c r="F60" s="50"/>
      <c r="G60" s="50"/>
      <c r="H60" s="50"/>
      <c r="I60" s="50"/>
      <c r="J60" s="50"/>
      <c r="K60" s="81">
        <f>(E60*'⚙️ Configuração'!$C$6+F60*'⚙️ Configuração'!$C$7+G60*'⚙️ Configuração'!$C$8+H60*'⚙️ Configuração'!$C$9+I60*'⚙️ Configuração'!$C$10+J60*'⚙️ Configuração'!$C$11)*IF(N60="S",2,1)</f>
        <v>0</v>
      </c>
      <c r="L60" s="90" t="s">
        <v>167</v>
      </c>
      <c r="M60" s="82">
        <f>IF(L60="AT1",'⚙️ Configuração'!$C$14,IF(L60="AT2",'⚙️ Configuração'!$C$15,IF(L60="FI",'⚙️ Configuração'!$C$16,IF(L60="FJ",'⚙️ Configuração'!$C$17,0))))</f>
        <v>0</v>
      </c>
      <c r="N60" s="91" t="s">
        <v>167</v>
      </c>
      <c r="O60" s="92"/>
      <c r="P60" s="83">
        <f>IF(O60="1",'⚙️ Configuração'!$C$21,IF(O60="2",'⚙️ Configuração'!$C$22,IF(O60="3",'⚙️ Configuração'!$C$23,IF(O60="Outro",'⚙️ Configuração'!$C$24,0))))</f>
        <v>0</v>
      </c>
      <c r="Q60" s="84">
        <f t="shared" si="2"/>
        <v>0</v>
      </c>
      <c r="R60" s="40" t="str">
        <f t="shared" si="1"/>
        <v>Semana 1 — ver 🔄</v>
      </c>
      <c r="S60" t="str" cm="1">
        <f t="array" ref="S60">IF(D60="","",IFERROR(_xlfn.SWITCH(B60,"Semana 1",IFERROR(INDEX('🔄 Rotação Duplas'!$D$8:$D$17,MATCH(D60,'🔄 Rotação Duplas'!$C$8:$C$17,0)),INDEX('🔄 Rotação Duplas'!$C$8:$C$17,MATCH(D60,'🔄 Rotação Duplas'!$D$8:$D$17,0))),"Semana 2",IFERROR(INDEX('🔄 Rotação Duplas'!$D$22:$D$31,MATCH(D60,'🔄 Rotação Duplas'!$C$22:$C$31,0)),INDEX('🔄 Rotação Duplas'!$C$22:$C$31,MATCH(D60,'🔄 Rotação Duplas'!$D$22:$D$31,0))),"Semana 3",IFERROR(INDEX('🔄 Rotação Duplas'!$D$36:$D$45,MATCH(D60,'🔄 Rotação Duplas'!$C$36:$C$45,0)),INDEX('🔄 Rotação Duplas'!$C$36:$C$45,MATCH(D60,'🔄 Rotação Duplas'!$D$36:$D$45,0))),"Semana 4",IFERROR(INDEX('🔄 Rotação Duplas'!$D$50:$D$59,MATCH(D60,'🔄 Rotação Duplas'!$C$50:$C$59,0)),INDEX('🔄 Rotação Duplas'!$C$50:$C$59,MATCH(D60,'🔄 Rotação Duplas'!$D$50:$D$59,0))),"Semana 5",IFERROR(INDEX('🔄 Rotação Duplas'!$D$64:$D$73,MATCH(D60,'🔄 Rotação Duplas'!$C$64:$C$73,0)),INDEX('🔄 Rotação Duplas'!$C$64:$C$73,MATCH(D60,'🔄 Rotação Duplas'!$D$64:$D$73,0))),"Semana 6",IFERROR(INDEX('🔄 Rotação Duplas'!$D$78:$D$87,MATCH(D60,'🔄 Rotação Duplas'!$C$78:$C$87,0)),INDEX('🔄 Rotação Duplas'!$C$78:$C$87,MATCH(D60,'🔄 Rotação Duplas'!$D$78:$D$87,0))),"Semana 7",IFERROR(INDEX('🔄 Rotação Duplas'!$D$92:$D$101,MATCH(D60,'🔄 Rotação Duplas'!$C$92:$C$101,0)),INDEX('🔄 Rotação Duplas'!$C$92:$C$101,MATCH(D60,'🔄 Rotação Duplas'!$D$92:$D$101,0))),"Semana 8",IFERROR(INDEX('🔄 Rotação Duplas'!$D$106:$D$115,MATCH(D60,'🔄 Rotação Duplas'!$C$106:$C$115,0)),INDEX('🔄 Rotação Duplas'!$C$106:$C$115,MATCH(D60,'🔄 Rotação Duplas'!$D$106:$D$115,0)))),""))</f>
        <v>Carla Barata</v>
      </c>
      <c r="T60">
        <f t="shared" si="3"/>
        <v>0</v>
      </c>
    </row>
    <row r="61" spans="2:20" ht="18" customHeight="1" x14ac:dyDescent="0.2">
      <c r="B61" s="78" t="s">
        <v>47</v>
      </c>
      <c r="C61" s="79" t="str">
        <f t="shared" si="5"/>
        <v>Desafio 3</v>
      </c>
      <c r="D61" s="80" t="str">
        <f>'⚙️ Configuração'!C44</f>
        <v>Paula Miabara</v>
      </c>
      <c r="E61" s="50"/>
      <c r="F61" s="50"/>
      <c r="G61" s="50"/>
      <c r="H61" s="50"/>
      <c r="I61" s="50"/>
      <c r="J61" s="50"/>
      <c r="K61" s="81">
        <f>(E61*'⚙️ Configuração'!$C$6+F61*'⚙️ Configuração'!$C$7+G61*'⚙️ Configuração'!$C$8+H61*'⚙️ Configuração'!$C$9+I61*'⚙️ Configuração'!$C$10+J61*'⚙️ Configuração'!$C$11)*IF(N61="S",2,1)</f>
        <v>0</v>
      </c>
      <c r="L61" s="90" t="s">
        <v>167</v>
      </c>
      <c r="M61" s="82">
        <f>IF(L61="AT1",'⚙️ Configuração'!$C$14,IF(L61="AT2",'⚙️ Configuração'!$C$15,IF(L61="FI",'⚙️ Configuração'!$C$16,IF(L61="FJ",'⚙️ Configuração'!$C$17,0))))</f>
        <v>0</v>
      </c>
      <c r="N61" s="91" t="s">
        <v>167</v>
      </c>
      <c r="O61" s="92"/>
      <c r="P61" s="83">
        <f>IF(O61="1",'⚙️ Configuração'!$C$21,IF(O61="2",'⚙️ Configuração'!$C$22,IF(O61="3",'⚙️ Configuração'!$C$23,IF(O61="Outro",'⚙️ Configuração'!$C$24,0))))</f>
        <v>0</v>
      </c>
      <c r="Q61" s="84">
        <f t="shared" si="2"/>
        <v>0</v>
      </c>
      <c r="R61" s="40" t="str">
        <f t="shared" si="1"/>
        <v>Semana 1 — ver 🔄</v>
      </c>
      <c r="S61" t="str" cm="1">
        <f t="array" ref="S61">IF(D61="","",IFERROR(_xlfn.SWITCH(B61,"Semana 1",IFERROR(INDEX('🔄 Rotação Duplas'!$D$8:$D$17,MATCH(D61,'🔄 Rotação Duplas'!$C$8:$C$17,0)),INDEX('🔄 Rotação Duplas'!$C$8:$C$17,MATCH(D61,'🔄 Rotação Duplas'!$D$8:$D$17,0))),"Semana 2",IFERROR(INDEX('🔄 Rotação Duplas'!$D$22:$D$31,MATCH(D61,'🔄 Rotação Duplas'!$C$22:$C$31,0)),INDEX('🔄 Rotação Duplas'!$C$22:$C$31,MATCH(D61,'🔄 Rotação Duplas'!$D$22:$D$31,0))),"Semana 3",IFERROR(INDEX('🔄 Rotação Duplas'!$D$36:$D$45,MATCH(D61,'🔄 Rotação Duplas'!$C$36:$C$45,0)),INDEX('🔄 Rotação Duplas'!$C$36:$C$45,MATCH(D61,'🔄 Rotação Duplas'!$D$36:$D$45,0))),"Semana 4",IFERROR(INDEX('🔄 Rotação Duplas'!$D$50:$D$59,MATCH(D61,'🔄 Rotação Duplas'!$C$50:$C$59,0)),INDEX('🔄 Rotação Duplas'!$C$50:$C$59,MATCH(D61,'🔄 Rotação Duplas'!$D$50:$D$59,0))),"Semana 5",IFERROR(INDEX('🔄 Rotação Duplas'!$D$64:$D$73,MATCH(D61,'🔄 Rotação Duplas'!$C$64:$C$73,0)),INDEX('🔄 Rotação Duplas'!$C$64:$C$73,MATCH(D61,'🔄 Rotação Duplas'!$D$64:$D$73,0))),"Semana 6",IFERROR(INDEX('🔄 Rotação Duplas'!$D$78:$D$87,MATCH(D61,'🔄 Rotação Duplas'!$C$78:$C$87,0)),INDEX('🔄 Rotação Duplas'!$C$78:$C$87,MATCH(D61,'🔄 Rotação Duplas'!$D$78:$D$87,0))),"Semana 7",IFERROR(INDEX('🔄 Rotação Duplas'!$D$92:$D$101,MATCH(D61,'🔄 Rotação Duplas'!$C$92:$C$101,0)),INDEX('🔄 Rotação Duplas'!$C$92:$C$101,MATCH(D61,'🔄 Rotação Duplas'!$D$92:$D$101,0))),"Semana 8",IFERROR(INDEX('🔄 Rotação Duplas'!$D$106:$D$115,MATCH(D61,'🔄 Rotação Duplas'!$C$106:$C$115,0)),INDEX('🔄 Rotação Duplas'!$C$106:$C$115,MATCH(D61,'🔄 Rotação Duplas'!$D$106:$D$115,0)))),""))</f>
        <v>Marta Torres</v>
      </c>
      <c r="T61">
        <f t="shared" si="3"/>
        <v>0</v>
      </c>
    </row>
    <row r="62" spans="2:20" ht="18" customHeight="1" x14ac:dyDescent="0.2">
      <c r="B62" s="85" t="s">
        <v>47</v>
      </c>
      <c r="C62" s="86" t="str">
        <f t="shared" si="5"/>
        <v>Desafio 3</v>
      </c>
      <c r="D62" s="87" t="str">
        <f>'⚙️ Configuração'!C45</f>
        <v>Rita Carmo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81">
        <f>(E62*'⚙️ Configuração'!$C$6+F62*'⚙️ Configuração'!$C$7+G62*'⚙️ Configuração'!$C$8+H62*'⚙️ Configuração'!$C$9+I62*'⚙️ Configuração'!$C$10+J62*'⚙️ Configuração'!$C$11)*IF(N62="S",2,1)</f>
        <v>0</v>
      </c>
      <c r="L62" s="90" t="s">
        <v>167</v>
      </c>
      <c r="M62" s="82">
        <f>IF(L62="AT1",'⚙️ Configuração'!$C$14,IF(L62="AT2",'⚙️ Configuração'!$C$15,IF(L62="FI",'⚙️ Configuração'!$C$16,IF(L62="FJ",'⚙️ Configuração'!$C$17,0))))</f>
        <v>0</v>
      </c>
      <c r="N62" s="91" t="s">
        <v>167</v>
      </c>
      <c r="O62" s="92"/>
      <c r="P62" s="83">
        <f>IF(O62="1",'⚙️ Configuração'!$C$21,IF(O62="2",'⚙️ Configuração'!$C$22,IF(O62="3",'⚙️ Configuração'!$C$23,IF(O62="Outro",'⚙️ Configuração'!$C$24,0))))</f>
        <v>0</v>
      </c>
      <c r="Q62" s="84">
        <f t="shared" si="2"/>
        <v>0</v>
      </c>
      <c r="R62" s="40" t="str">
        <f t="shared" si="1"/>
        <v>Semana 1 — ver 🔄</v>
      </c>
      <c r="S62" t="str" cm="1">
        <f t="array" ref="S62">IF(D62="","",IFERROR(_xlfn.SWITCH(B62,"Semana 1",IFERROR(INDEX('🔄 Rotação Duplas'!$D$8:$D$17,MATCH(D62,'🔄 Rotação Duplas'!$C$8:$C$17,0)),INDEX('🔄 Rotação Duplas'!$C$8:$C$17,MATCH(D62,'🔄 Rotação Duplas'!$D$8:$D$17,0))),"Semana 2",IFERROR(INDEX('🔄 Rotação Duplas'!$D$22:$D$31,MATCH(D62,'🔄 Rotação Duplas'!$C$22:$C$31,0)),INDEX('🔄 Rotação Duplas'!$C$22:$C$31,MATCH(D62,'🔄 Rotação Duplas'!$D$22:$D$31,0))),"Semana 3",IFERROR(INDEX('🔄 Rotação Duplas'!$D$36:$D$45,MATCH(D62,'🔄 Rotação Duplas'!$C$36:$C$45,0)),INDEX('🔄 Rotação Duplas'!$C$36:$C$45,MATCH(D62,'🔄 Rotação Duplas'!$D$36:$D$45,0))),"Semana 4",IFERROR(INDEX('🔄 Rotação Duplas'!$D$50:$D$59,MATCH(D62,'🔄 Rotação Duplas'!$C$50:$C$59,0)),INDEX('🔄 Rotação Duplas'!$C$50:$C$59,MATCH(D62,'🔄 Rotação Duplas'!$D$50:$D$59,0))),"Semana 5",IFERROR(INDEX('🔄 Rotação Duplas'!$D$64:$D$73,MATCH(D62,'🔄 Rotação Duplas'!$C$64:$C$73,0)),INDEX('🔄 Rotação Duplas'!$C$64:$C$73,MATCH(D62,'🔄 Rotação Duplas'!$D$64:$D$73,0))),"Semana 6",IFERROR(INDEX('🔄 Rotação Duplas'!$D$78:$D$87,MATCH(D62,'🔄 Rotação Duplas'!$C$78:$C$87,0)),INDEX('🔄 Rotação Duplas'!$C$78:$C$87,MATCH(D62,'🔄 Rotação Duplas'!$D$78:$D$87,0))),"Semana 7",IFERROR(INDEX('🔄 Rotação Duplas'!$D$92:$D$101,MATCH(D62,'🔄 Rotação Duplas'!$C$92:$C$101,0)),INDEX('🔄 Rotação Duplas'!$C$92:$C$101,MATCH(D62,'🔄 Rotação Duplas'!$D$92:$D$101,0))),"Semana 8",IFERROR(INDEX('🔄 Rotação Duplas'!$D$106:$D$115,MATCH(D62,'🔄 Rotação Duplas'!$C$106:$C$115,0)),INDEX('🔄 Rotação Duplas'!$C$106:$C$115,MATCH(D62,'🔄 Rotação Duplas'!$D$106:$D$115,0)))),""))</f>
        <v>João Xavier</v>
      </c>
      <c r="T62">
        <f t="shared" si="3"/>
        <v>0</v>
      </c>
    </row>
    <row r="63" spans="2:20" ht="18" customHeight="1" x14ac:dyDescent="0.2">
      <c r="B63" s="78" t="s">
        <v>47</v>
      </c>
      <c r="C63" s="79" t="str">
        <f t="shared" si="5"/>
        <v>Desafio 3</v>
      </c>
      <c r="D63" s="80" t="str">
        <f>'⚙️ Configuração'!C46</f>
        <v>William Fernandes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81">
        <f>(E63*'⚙️ Configuração'!$C$6+F63*'⚙️ Configuração'!$C$7+G63*'⚙️ Configuração'!$C$8+H63*'⚙️ Configuração'!$C$9+I63*'⚙️ Configuração'!$C$10+J63*'⚙️ Configuração'!$C$11)*IF(N63="S",2,1)</f>
        <v>0</v>
      </c>
      <c r="L63" s="90" t="s">
        <v>167</v>
      </c>
      <c r="M63" s="82">
        <f>IF(L63="AT1",'⚙️ Configuração'!$C$14,IF(L63="AT2",'⚙️ Configuração'!$C$15,IF(L63="FI",'⚙️ Configuração'!$C$16,IF(L63="FJ",'⚙️ Configuração'!$C$17,0))))</f>
        <v>0</v>
      </c>
      <c r="N63" s="91" t="s">
        <v>167</v>
      </c>
      <c r="O63" s="92"/>
      <c r="P63" s="83">
        <f>IF(O63="1",'⚙️ Configuração'!$C$21,IF(O63="2",'⚙️ Configuração'!$C$22,IF(O63="3",'⚙️ Configuração'!$C$23,IF(O63="Outro",'⚙️ Configuração'!$C$24,0))))</f>
        <v>0</v>
      </c>
      <c r="Q63" s="84">
        <f t="shared" si="2"/>
        <v>0</v>
      </c>
      <c r="R63" s="40" t="str">
        <f t="shared" si="1"/>
        <v>Semana 1 — ver 🔄</v>
      </c>
      <c r="S63" t="str" cm="1">
        <f t="array" ref="S63">IF(D63="","",IFERROR(_xlfn.SWITCH(B63,"Semana 1",IFERROR(INDEX('🔄 Rotação Duplas'!$D$8:$D$17,MATCH(D63,'🔄 Rotação Duplas'!$C$8:$C$17,0)),INDEX('🔄 Rotação Duplas'!$C$8:$C$17,MATCH(D63,'🔄 Rotação Duplas'!$D$8:$D$17,0))),"Semana 2",IFERROR(INDEX('🔄 Rotação Duplas'!$D$22:$D$31,MATCH(D63,'🔄 Rotação Duplas'!$C$22:$C$31,0)),INDEX('🔄 Rotação Duplas'!$C$22:$C$31,MATCH(D63,'🔄 Rotação Duplas'!$D$22:$D$31,0))),"Semana 3",IFERROR(INDEX('🔄 Rotação Duplas'!$D$36:$D$45,MATCH(D63,'🔄 Rotação Duplas'!$C$36:$C$45,0)),INDEX('🔄 Rotação Duplas'!$C$36:$C$45,MATCH(D63,'🔄 Rotação Duplas'!$D$36:$D$45,0))),"Semana 4",IFERROR(INDEX('🔄 Rotação Duplas'!$D$50:$D$59,MATCH(D63,'🔄 Rotação Duplas'!$C$50:$C$59,0)),INDEX('🔄 Rotação Duplas'!$C$50:$C$59,MATCH(D63,'🔄 Rotação Duplas'!$D$50:$D$59,0))),"Semana 5",IFERROR(INDEX('🔄 Rotação Duplas'!$D$64:$D$73,MATCH(D63,'🔄 Rotação Duplas'!$C$64:$C$73,0)),INDEX('🔄 Rotação Duplas'!$C$64:$C$73,MATCH(D63,'🔄 Rotação Duplas'!$D$64:$D$73,0))),"Semana 6",IFERROR(INDEX('🔄 Rotação Duplas'!$D$78:$D$87,MATCH(D63,'🔄 Rotação Duplas'!$C$78:$C$87,0)),INDEX('🔄 Rotação Duplas'!$C$78:$C$87,MATCH(D63,'🔄 Rotação Duplas'!$D$78:$D$87,0))),"Semana 7",IFERROR(INDEX('🔄 Rotação Duplas'!$D$92:$D$101,MATCH(D63,'🔄 Rotação Duplas'!$C$92:$C$101,0)),INDEX('🔄 Rotação Duplas'!$C$92:$C$101,MATCH(D63,'🔄 Rotação Duplas'!$D$92:$D$101,0))),"Semana 8",IFERROR(INDEX('🔄 Rotação Duplas'!$D$106:$D$115,MATCH(D63,'🔄 Rotação Duplas'!$C$106:$C$115,0)),INDEX('🔄 Rotação Duplas'!$C$106:$C$115,MATCH(D63,'🔄 Rotação Duplas'!$D$106:$D$115,0)))),""))</f>
        <v>Alexandra Correia</v>
      </c>
      <c r="T63">
        <f t="shared" si="3"/>
        <v>0</v>
      </c>
    </row>
    <row r="64" spans="2:20" ht="18" customHeight="1" x14ac:dyDescent="0.2">
      <c r="B64" s="85" t="s">
        <v>47</v>
      </c>
      <c r="C64" s="86" t="str">
        <f t="shared" si="5"/>
        <v>Desafio 3</v>
      </c>
      <c r="D64" s="87" t="str">
        <f>'⚙️ Configuração'!C47</f>
        <v>-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81">
        <f>(E64*'⚙️ Configuração'!$C$6+F64*'⚙️ Configuração'!$C$7+G64*'⚙️ Configuração'!$C$8+H64*'⚙️ Configuração'!$C$9+I64*'⚙️ Configuração'!$C$10+J64*'⚙️ Configuração'!$C$11)*IF(N64="S",2,1)</f>
        <v>0</v>
      </c>
      <c r="L64" s="90" t="s">
        <v>167</v>
      </c>
      <c r="M64" s="82">
        <f>IF(L64="AT1",'⚙️ Configuração'!$C$14,IF(L64="AT2",'⚙️ Configuração'!$C$15,IF(L64="FI",'⚙️ Configuração'!$C$16,IF(L64="FJ",'⚙️ Configuração'!$C$17,0))))</f>
        <v>0</v>
      </c>
      <c r="N64" s="91" t="s">
        <v>167</v>
      </c>
      <c r="O64" s="92"/>
      <c r="P64" s="83">
        <f>IF(O64="1",'⚙️ Configuração'!$C$21,IF(O64="2",'⚙️ Configuração'!$C$22,IF(O64="3",'⚙️ Configuração'!$C$23,IF(O64="Outro",'⚙️ Configuração'!$C$24,0))))</f>
        <v>0</v>
      </c>
      <c r="Q64" s="84">
        <f t="shared" si="2"/>
        <v>0</v>
      </c>
      <c r="R64" s="40" t="str">
        <f t="shared" si="1"/>
        <v>Semana 1 — ver 🔄</v>
      </c>
      <c r="S64" t="str" cm="1">
        <f t="array" ref="S64">IF(D64="","",IFERROR(_xlfn.SWITCH(B64,"Semana 1",IFERROR(INDEX('🔄 Rotação Duplas'!$D$8:$D$17,MATCH(D64,'🔄 Rotação Duplas'!$C$8:$C$17,0)),INDEX('🔄 Rotação Duplas'!$C$8:$C$17,MATCH(D64,'🔄 Rotação Duplas'!$D$8:$D$17,0))),"Semana 2",IFERROR(INDEX('🔄 Rotação Duplas'!$D$22:$D$31,MATCH(D64,'🔄 Rotação Duplas'!$C$22:$C$31,0)),INDEX('🔄 Rotação Duplas'!$C$22:$C$31,MATCH(D64,'🔄 Rotação Duplas'!$D$22:$D$31,0))),"Semana 3",IFERROR(INDEX('🔄 Rotação Duplas'!$D$36:$D$45,MATCH(D64,'🔄 Rotação Duplas'!$C$36:$C$45,0)),INDEX('🔄 Rotação Duplas'!$C$36:$C$45,MATCH(D64,'🔄 Rotação Duplas'!$D$36:$D$45,0))),"Semana 4",IFERROR(INDEX('🔄 Rotação Duplas'!$D$50:$D$59,MATCH(D64,'🔄 Rotação Duplas'!$C$50:$C$59,0)),INDEX('🔄 Rotação Duplas'!$C$50:$C$59,MATCH(D64,'🔄 Rotação Duplas'!$D$50:$D$59,0))),"Semana 5",IFERROR(INDEX('🔄 Rotação Duplas'!$D$64:$D$73,MATCH(D64,'🔄 Rotação Duplas'!$C$64:$C$73,0)),INDEX('🔄 Rotação Duplas'!$C$64:$C$73,MATCH(D64,'🔄 Rotação Duplas'!$D$64:$D$73,0))),"Semana 6",IFERROR(INDEX('🔄 Rotação Duplas'!$D$78:$D$87,MATCH(D64,'🔄 Rotação Duplas'!$C$78:$C$87,0)),INDEX('🔄 Rotação Duplas'!$C$78:$C$87,MATCH(D64,'🔄 Rotação Duplas'!$D$78:$D$87,0))),"Semana 7",IFERROR(INDEX('🔄 Rotação Duplas'!$D$92:$D$101,MATCH(D64,'🔄 Rotação Duplas'!$C$92:$C$101,0)),INDEX('🔄 Rotação Duplas'!$C$92:$C$101,MATCH(D64,'🔄 Rotação Duplas'!$D$92:$D$101,0))),"Semana 8",IFERROR(INDEX('🔄 Rotação Duplas'!$D$106:$D$115,MATCH(D64,'🔄 Rotação Duplas'!$C$106:$C$115,0)),INDEX('🔄 Rotação Duplas'!$C$106:$C$115,MATCH(D64,'🔄 Rotação Duplas'!$D$106:$D$115,0)))),""))</f>
        <v>-</v>
      </c>
      <c r="T64">
        <f t="shared" si="3"/>
        <v>0</v>
      </c>
    </row>
    <row r="65" spans="2:20" ht="18" customHeight="1" x14ac:dyDescent="0.2">
      <c r="B65" s="78" t="s">
        <v>47</v>
      </c>
      <c r="C65" s="79" t="str">
        <f t="shared" si="5"/>
        <v>Desafio 3</v>
      </c>
      <c r="D65" s="80" t="str">
        <f>'⚙️ Configuração'!C48</f>
        <v>-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81">
        <f>(E65*'⚙️ Configuração'!$C$6+F65*'⚙️ Configuração'!$C$7+G65*'⚙️ Configuração'!$C$8+H65*'⚙️ Configuração'!$C$9+I65*'⚙️ Configuração'!$C$10+J65*'⚙️ Configuração'!$C$11)*IF(N65="S",2,1)</f>
        <v>0</v>
      </c>
      <c r="L65" s="90" t="s">
        <v>167</v>
      </c>
      <c r="M65" s="82">
        <f>IF(L65="AT1",'⚙️ Configuração'!$C$14,IF(L65="AT2",'⚙️ Configuração'!$C$15,IF(L65="FI",'⚙️ Configuração'!$C$16,IF(L65="FJ",'⚙️ Configuração'!$C$17,0))))</f>
        <v>0</v>
      </c>
      <c r="N65" s="91" t="s">
        <v>167</v>
      </c>
      <c r="O65" s="92"/>
      <c r="P65" s="83">
        <f>IF(O65="1",'⚙️ Configuração'!$C$21,IF(O65="2",'⚙️ Configuração'!$C$22,IF(O65="3",'⚙️ Configuração'!$C$23,IF(O65="Outro",'⚙️ Configuração'!$C$24,0))))</f>
        <v>0</v>
      </c>
      <c r="Q65" s="84">
        <f t="shared" si="2"/>
        <v>0</v>
      </c>
      <c r="R65" s="40" t="str">
        <f t="shared" si="1"/>
        <v>Semana 1 — ver 🔄</v>
      </c>
      <c r="S65" t="str" cm="1">
        <f t="array" ref="S65">IF(D65="","",IFERROR(_xlfn.SWITCH(B65,"Semana 1",IFERROR(INDEX('🔄 Rotação Duplas'!$D$8:$D$17,MATCH(D65,'🔄 Rotação Duplas'!$C$8:$C$17,0)),INDEX('🔄 Rotação Duplas'!$C$8:$C$17,MATCH(D65,'🔄 Rotação Duplas'!$D$8:$D$17,0))),"Semana 2",IFERROR(INDEX('🔄 Rotação Duplas'!$D$22:$D$31,MATCH(D65,'🔄 Rotação Duplas'!$C$22:$C$31,0)),INDEX('🔄 Rotação Duplas'!$C$22:$C$31,MATCH(D65,'🔄 Rotação Duplas'!$D$22:$D$31,0))),"Semana 3",IFERROR(INDEX('🔄 Rotação Duplas'!$D$36:$D$45,MATCH(D65,'🔄 Rotação Duplas'!$C$36:$C$45,0)),INDEX('🔄 Rotação Duplas'!$C$36:$C$45,MATCH(D65,'🔄 Rotação Duplas'!$D$36:$D$45,0))),"Semana 4",IFERROR(INDEX('🔄 Rotação Duplas'!$D$50:$D$59,MATCH(D65,'🔄 Rotação Duplas'!$C$50:$C$59,0)),INDEX('🔄 Rotação Duplas'!$C$50:$C$59,MATCH(D65,'🔄 Rotação Duplas'!$D$50:$D$59,0))),"Semana 5",IFERROR(INDEX('🔄 Rotação Duplas'!$D$64:$D$73,MATCH(D65,'🔄 Rotação Duplas'!$C$64:$C$73,0)),INDEX('🔄 Rotação Duplas'!$C$64:$C$73,MATCH(D65,'🔄 Rotação Duplas'!$D$64:$D$73,0))),"Semana 6",IFERROR(INDEX('🔄 Rotação Duplas'!$D$78:$D$87,MATCH(D65,'🔄 Rotação Duplas'!$C$78:$C$87,0)),INDEX('🔄 Rotação Duplas'!$C$78:$C$87,MATCH(D65,'🔄 Rotação Duplas'!$D$78:$D$87,0))),"Semana 7",IFERROR(INDEX('🔄 Rotação Duplas'!$D$92:$D$101,MATCH(D65,'🔄 Rotação Duplas'!$C$92:$C$101,0)),INDEX('🔄 Rotação Duplas'!$C$92:$C$101,MATCH(D65,'🔄 Rotação Duplas'!$D$92:$D$101,0))),"Semana 8",IFERROR(INDEX('🔄 Rotação Duplas'!$D$106:$D$115,MATCH(D65,'🔄 Rotação Duplas'!$C$106:$C$115,0)),INDEX('🔄 Rotação Duplas'!$C$106:$C$115,MATCH(D65,'🔄 Rotação Duplas'!$D$106:$D$115,0)))),""))</f>
        <v>-</v>
      </c>
      <c r="T65">
        <f t="shared" si="3"/>
        <v>0</v>
      </c>
    </row>
    <row r="66" spans="2:20" ht="18" customHeight="1" x14ac:dyDescent="0.2">
      <c r="B66" s="85" t="s">
        <v>47</v>
      </c>
      <c r="C66" s="86" t="str">
        <f t="shared" si="5"/>
        <v>Desafio 3</v>
      </c>
      <c r="D66" s="87" t="str">
        <f>'⚙️ Configuração'!C49</f>
        <v>-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81">
        <f>(E66*'⚙️ Configuração'!$C$6+F66*'⚙️ Configuração'!$C$7+G66*'⚙️ Configuração'!$C$8+H66*'⚙️ Configuração'!$C$9+I66*'⚙️ Configuração'!$C$10+J66*'⚙️ Configuração'!$C$11)*IF(N66="S",2,1)</f>
        <v>0</v>
      </c>
      <c r="L66" s="90" t="s">
        <v>167</v>
      </c>
      <c r="M66" s="82">
        <f>IF(L66="AT1",'⚙️ Configuração'!$C$14,IF(L66="AT2",'⚙️ Configuração'!$C$15,IF(L66="FI",'⚙️ Configuração'!$C$16,IF(L66="FJ",'⚙️ Configuração'!$C$17,0))))</f>
        <v>0</v>
      </c>
      <c r="N66" s="91" t="s">
        <v>167</v>
      </c>
      <c r="O66" s="92"/>
      <c r="P66" s="83">
        <f>IF(O66="1",'⚙️ Configuração'!$C$21,IF(O66="2",'⚙️ Configuração'!$C$22,IF(O66="3",'⚙️ Configuração'!$C$23,IF(O66="Outro",'⚙️ Configuração'!$C$24,0))))</f>
        <v>0</v>
      </c>
      <c r="Q66" s="84">
        <f t="shared" si="2"/>
        <v>0</v>
      </c>
      <c r="R66" s="40" t="str">
        <f t="shared" si="1"/>
        <v>Semana 1 — ver 🔄</v>
      </c>
      <c r="S66" t="str" cm="1">
        <f t="array" ref="S66">IF(D66="","",IFERROR(_xlfn.SWITCH(B66,"Semana 1",IFERROR(INDEX('🔄 Rotação Duplas'!$D$8:$D$17,MATCH(D66,'🔄 Rotação Duplas'!$C$8:$C$17,0)),INDEX('🔄 Rotação Duplas'!$C$8:$C$17,MATCH(D66,'🔄 Rotação Duplas'!$D$8:$D$17,0))),"Semana 2",IFERROR(INDEX('🔄 Rotação Duplas'!$D$22:$D$31,MATCH(D66,'🔄 Rotação Duplas'!$C$22:$C$31,0)),INDEX('🔄 Rotação Duplas'!$C$22:$C$31,MATCH(D66,'🔄 Rotação Duplas'!$D$22:$D$31,0))),"Semana 3",IFERROR(INDEX('🔄 Rotação Duplas'!$D$36:$D$45,MATCH(D66,'🔄 Rotação Duplas'!$C$36:$C$45,0)),INDEX('🔄 Rotação Duplas'!$C$36:$C$45,MATCH(D66,'🔄 Rotação Duplas'!$D$36:$D$45,0))),"Semana 4",IFERROR(INDEX('🔄 Rotação Duplas'!$D$50:$D$59,MATCH(D66,'🔄 Rotação Duplas'!$C$50:$C$59,0)),INDEX('🔄 Rotação Duplas'!$C$50:$C$59,MATCH(D66,'🔄 Rotação Duplas'!$D$50:$D$59,0))),"Semana 5",IFERROR(INDEX('🔄 Rotação Duplas'!$D$64:$D$73,MATCH(D66,'🔄 Rotação Duplas'!$C$64:$C$73,0)),INDEX('🔄 Rotação Duplas'!$C$64:$C$73,MATCH(D66,'🔄 Rotação Duplas'!$D$64:$D$73,0))),"Semana 6",IFERROR(INDEX('🔄 Rotação Duplas'!$D$78:$D$87,MATCH(D66,'🔄 Rotação Duplas'!$C$78:$C$87,0)),INDEX('🔄 Rotação Duplas'!$C$78:$C$87,MATCH(D66,'🔄 Rotação Duplas'!$D$78:$D$87,0))),"Semana 7",IFERROR(INDEX('🔄 Rotação Duplas'!$D$92:$D$101,MATCH(D66,'🔄 Rotação Duplas'!$C$92:$C$101,0)),INDEX('🔄 Rotação Duplas'!$C$92:$C$101,MATCH(D66,'🔄 Rotação Duplas'!$D$92:$D$101,0))),"Semana 8",IFERROR(INDEX('🔄 Rotação Duplas'!$D$106:$D$115,MATCH(D66,'🔄 Rotação Duplas'!$C$106:$C$115,0)),INDEX('🔄 Rotação Duplas'!$C$106:$C$115,MATCH(D66,'🔄 Rotação Duplas'!$D$106:$D$115,0)))),""))</f>
        <v>-</v>
      </c>
      <c r="T66">
        <f t="shared" si="3"/>
        <v>0</v>
      </c>
    </row>
    <row r="67" spans="2:20" ht="18" customHeight="1" x14ac:dyDescent="0.2">
      <c r="B67" s="78" t="s">
        <v>47</v>
      </c>
      <c r="C67" s="79" t="str">
        <f t="shared" ref="C67:C86" si="6">"Desafio 4"</f>
        <v>Desafio 4</v>
      </c>
      <c r="D67" s="80" t="str">
        <f>'⚙️ Configuração'!C30</f>
        <v>Carla Cantante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81">
        <f>(E67*'⚙️ Configuração'!$C$6+F67*'⚙️ Configuração'!$C$7+G67*'⚙️ Configuração'!$C$8+H67*'⚙️ Configuração'!$C$9+I67*'⚙️ Configuração'!$C$10+J67*'⚙️ Configuração'!$C$11)*IF(N67="S",2,1)</f>
        <v>0</v>
      </c>
      <c r="L67" s="90" t="s">
        <v>167</v>
      </c>
      <c r="M67" s="82">
        <f>IF(L67="AT1",'⚙️ Configuração'!$C$14,IF(L67="AT2",'⚙️ Configuração'!$C$15,IF(L67="FI",'⚙️ Configuração'!$C$16,IF(L67="FJ",'⚙️ Configuração'!$C$17,0))))</f>
        <v>0</v>
      </c>
      <c r="N67" s="91" t="s">
        <v>167</v>
      </c>
      <c r="O67" s="92"/>
      <c r="P67" s="83">
        <f>IF(O67="1",'⚙️ Configuração'!$C$21,IF(O67="2",'⚙️ Configuração'!$C$22,IF(O67="3",'⚙️ Configuração'!$C$23,IF(O67="Outro",'⚙️ Configuração'!$C$24,0))))</f>
        <v>0</v>
      </c>
      <c r="Q67" s="84">
        <f t="shared" si="2"/>
        <v>0</v>
      </c>
      <c r="R67" s="40" t="str">
        <f t="shared" si="1"/>
        <v>Semana 1 — ver 🔄</v>
      </c>
      <c r="S67" t="str" cm="1">
        <f t="array" ref="S67">IF(D67="","",IFERROR(_xlfn.SWITCH(B67,"Semana 1",IFERROR(INDEX('🔄 Rotação Duplas'!$D$8:$D$17,MATCH(D67,'🔄 Rotação Duplas'!$C$8:$C$17,0)),INDEX('🔄 Rotação Duplas'!$C$8:$C$17,MATCH(D67,'🔄 Rotação Duplas'!$D$8:$D$17,0))),"Semana 2",IFERROR(INDEX('🔄 Rotação Duplas'!$D$22:$D$31,MATCH(D67,'🔄 Rotação Duplas'!$C$22:$C$31,0)),INDEX('🔄 Rotação Duplas'!$C$22:$C$31,MATCH(D67,'🔄 Rotação Duplas'!$D$22:$D$31,0))),"Semana 3",IFERROR(INDEX('🔄 Rotação Duplas'!$D$36:$D$45,MATCH(D67,'🔄 Rotação Duplas'!$C$36:$C$45,0)),INDEX('🔄 Rotação Duplas'!$C$36:$C$45,MATCH(D67,'🔄 Rotação Duplas'!$D$36:$D$45,0))),"Semana 4",IFERROR(INDEX('🔄 Rotação Duplas'!$D$50:$D$59,MATCH(D67,'🔄 Rotação Duplas'!$C$50:$C$59,0)),INDEX('🔄 Rotação Duplas'!$C$50:$C$59,MATCH(D67,'🔄 Rotação Duplas'!$D$50:$D$59,0))),"Semana 5",IFERROR(INDEX('🔄 Rotação Duplas'!$D$64:$D$73,MATCH(D67,'🔄 Rotação Duplas'!$C$64:$C$73,0)),INDEX('🔄 Rotação Duplas'!$C$64:$C$73,MATCH(D67,'🔄 Rotação Duplas'!$D$64:$D$73,0))),"Semana 6",IFERROR(INDEX('🔄 Rotação Duplas'!$D$78:$D$87,MATCH(D67,'🔄 Rotação Duplas'!$C$78:$C$87,0)),INDEX('🔄 Rotação Duplas'!$C$78:$C$87,MATCH(D67,'🔄 Rotação Duplas'!$D$78:$D$87,0))),"Semana 7",IFERROR(INDEX('🔄 Rotação Duplas'!$D$92:$D$101,MATCH(D67,'🔄 Rotação Duplas'!$C$92:$C$101,0)),INDEX('🔄 Rotação Duplas'!$C$92:$C$101,MATCH(D67,'🔄 Rotação Duplas'!$D$92:$D$101,0))),"Semana 8",IFERROR(INDEX('🔄 Rotação Duplas'!$D$106:$D$115,MATCH(D67,'🔄 Rotação Duplas'!$C$106:$C$115,0)),INDEX('🔄 Rotação Duplas'!$C$106:$C$115,MATCH(D67,'🔄 Rotação Duplas'!$D$106:$D$115,0)))),""))</f>
        <v>Denise Filipe</v>
      </c>
      <c r="T67">
        <f t="shared" si="3"/>
        <v>0</v>
      </c>
    </row>
    <row r="68" spans="2:20" ht="18" customHeight="1" x14ac:dyDescent="0.2">
      <c r="B68" s="85" t="s">
        <v>47</v>
      </c>
      <c r="C68" s="86" t="str">
        <f t="shared" si="6"/>
        <v>Desafio 4</v>
      </c>
      <c r="D68" s="87" t="str">
        <f>'⚙️ Configuração'!C31</f>
        <v>Elisabete Mendes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81">
        <f>(E68*'⚙️ Configuração'!$C$6+F68*'⚙️ Configuração'!$C$7+G68*'⚙️ Configuração'!$C$8+H68*'⚙️ Configuração'!$C$9+I68*'⚙️ Configuração'!$C$10+J68*'⚙️ Configuração'!$C$11)*IF(N68="S",2,1)</f>
        <v>0</v>
      </c>
      <c r="L68" s="90" t="s">
        <v>167</v>
      </c>
      <c r="M68" s="82">
        <f>IF(L68="AT1",'⚙️ Configuração'!$C$14,IF(L68="AT2",'⚙️ Configuração'!$C$15,IF(L68="FI",'⚙️ Configuração'!$C$16,IF(L68="FJ",'⚙️ Configuração'!$C$17,0))))</f>
        <v>0</v>
      </c>
      <c r="N68" s="91" t="s">
        <v>167</v>
      </c>
      <c r="O68" s="92"/>
      <c r="P68" s="83">
        <f>IF(O68="1",'⚙️ Configuração'!$C$21,IF(O68="2",'⚙️ Configuração'!$C$22,IF(O68="3",'⚙️ Configuração'!$C$23,IF(O68="Outro",'⚙️ Configuração'!$C$24,0))))</f>
        <v>0</v>
      </c>
      <c r="Q68" s="84">
        <f t="shared" si="2"/>
        <v>0</v>
      </c>
      <c r="R68" s="40" t="str">
        <f t="shared" si="1"/>
        <v>Semana 1 — ver 🔄</v>
      </c>
      <c r="S68" t="str" cm="1">
        <f t="array" ref="S68">IF(D68="","",IFERROR(_xlfn.SWITCH(B68,"Semana 1",IFERROR(INDEX('🔄 Rotação Duplas'!$D$8:$D$17,MATCH(D68,'🔄 Rotação Duplas'!$C$8:$C$17,0)),INDEX('🔄 Rotação Duplas'!$C$8:$C$17,MATCH(D68,'🔄 Rotação Duplas'!$D$8:$D$17,0))),"Semana 2",IFERROR(INDEX('🔄 Rotação Duplas'!$D$22:$D$31,MATCH(D68,'🔄 Rotação Duplas'!$C$22:$C$31,0)),INDEX('🔄 Rotação Duplas'!$C$22:$C$31,MATCH(D68,'🔄 Rotação Duplas'!$D$22:$D$31,0))),"Semana 3",IFERROR(INDEX('🔄 Rotação Duplas'!$D$36:$D$45,MATCH(D68,'🔄 Rotação Duplas'!$C$36:$C$45,0)),INDEX('🔄 Rotação Duplas'!$C$36:$C$45,MATCH(D68,'🔄 Rotação Duplas'!$D$36:$D$45,0))),"Semana 4",IFERROR(INDEX('🔄 Rotação Duplas'!$D$50:$D$59,MATCH(D68,'🔄 Rotação Duplas'!$C$50:$C$59,0)),INDEX('🔄 Rotação Duplas'!$C$50:$C$59,MATCH(D68,'🔄 Rotação Duplas'!$D$50:$D$59,0))),"Semana 5",IFERROR(INDEX('🔄 Rotação Duplas'!$D$64:$D$73,MATCH(D68,'🔄 Rotação Duplas'!$C$64:$C$73,0)),INDEX('🔄 Rotação Duplas'!$C$64:$C$73,MATCH(D68,'🔄 Rotação Duplas'!$D$64:$D$73,0))),"Semana 6",IFERROR(INDEX('🔄 Rotação Duplas'!$D$78:$D$87,MATCH(D68,'🔄 Rotação Duplas'!$C$78:$C$87,0)),INDEX('🔄 Rotação Duplas'!$C$78:$C$87,MATCH(D68,'🔄 Rotação Duplas'!$D$78:$D$87,0))),"Semana 7",IFERROR(INDEX('🔄 Rotação Duplas'!$D$92:$D$101,MATCH(D68,'🔄 Rotação Duplas'!$C$92:$C$101,0)),INDEX('🔄 Rotação Duplas'!$C$92:$C$101,MATCH(D68,'🔄 Rotação Duplas'!$D$92:$D$101,0))),"Semana 8",IFERROR(INDEX('🔄 Rotação Duplas'!$D$106:$D$115,MATCH(D68,'🔄 Rotação Duplas'!$C$106:$C$115,0)),INDEX('🔄 Rotação Duplas'!$C$106:$C$115,MATCH(D68,'🔄 Rotação Duplas'!$D$106:$D$115,0)))),""))</f>
        <v>Helena Rocha</v>
      </c>
      <c r="T68">
        <f t="shared" si="3"/>
        <v>0</v>
      </c>
    </row>
    <row r="69" spans="2:20" ht="18" customHeight="1" x14ac:dyDescent="0.2">
      <c r="B69" s="78" t="s">
        <v>47</v>
      </c>
      <c r="C69" s="79" t="str">
        <f t="shared" si="6"/>
        <v>Desafio 4</v>
      </c>
      <c r="D69" s="80" t="str">
        <f>'⚙️ Configuração'!C32</f>
        <v>Filipa Cunha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81">
        <f>(E69*'⚙️ Configuração'!$C$6+F69*'⚙️ Configuração'!$C$7+G69*'⚙️ Configuração'!$C$8+H69*'⚙️ Configuração'!$C$9+I69*'⚙️ Configuração'!$C$10+J69*'⚙️ Configuração'!$C$11)*IF(N69="S",2,1)</f>
        <v>0</v>
      </c>
      <c r="L69" s="90" t="s">
        <v>167</v>
      </c>
      <c r="M69" s="82">
        <f>IF(L69="AT1",'⚙️ Configuração'!$C$14,IF(L69="AT2",'⚙️ Configuração'!$C$15,IF(L69="FI",'⚙️ Configuração'!$C$16,IF(L69="FJ",'⚙️ Configuração'!$C$17,0))))</f>
        <v>0</v>
      </c>
      <c r="N69" s="91" t="s">
        <v>167</v>
      </c>
      <c r="O69" s="92"/>
      <c r="P69" s="83">
        <f>IF(O69="1",'⚙️ Configuração'!$C$21,IF(O69="2",'⚙️ Configuração'!$C$22,IF(O69="3",'⚙️ Configuração'!$C$23,IF(O69="Outro",'⚙️ Configuração'!$C$24,0))))</f>
        <v>0</v>
      </c>
      <c r="Q69" s="84">
        <f t="shared" si="2"/>
        <v>0</v>
      </c>
      <c r="R69" s="40" t="str">
        <f t="shared" si="1"/>
        <v>Semana 1 — ver 🔄</v>
      </c>
      <c r="S69" t="str" cm="1">
        <f t="array" ref="S69">IF(D69="","",IFERROR(_xlfn.SWITCH(B69,"Semana 1",IFERROR(INDEX('🔄 Rotação Duplas'!$D$8:$D$17,MATCH(D69,'🔄 Rotação Duplas'!$C$8:$C$17,0)),INDEX('🔄 Rotação Duplas'!$C$8:$C$17,MATCH(D69,'🔄 Rotação Duplas'!$D$8:$D$17,0))),"Semana 2",IFERROR(INDEX('🔄 Rotação Duplas'!$D$22:$D$31,MATCH(D69,'🔄 Rotação Duplas'!$C$22:$C$31,0)),INDEX('🔄 Rotação Duplas'!$C$22:$C$31,MATCH(D69,'🔄 Rotação Duplas'!$D$22:$D$31,0))),"Semana 3",IFERROR(INDEX('🔄 Rotação Duplas'!$D$36:$D$45,MATCH(D69,'🔄 Rotação Duplas'!$C$36:$C$45,0)),INDEX('🔄 Rotação Duplas'!$C$36:$C$45,MATCH(D69,'🔄 Rotação Duplas'!$D$36:$D$45,0))),"Semana 4",IFERROR(INDEX('🔄 Rotação Duplas'!$D$50:$D$59,MATCH(D69,'🔄 Rotação Duplas'!$C$50:$C$59,0)),INDEX('🔄 Rotação Duplas'!$C$50:$C$59,MATCH(D69,'🔄 Rotação Duplas'!$D$50:$D$59,0))),"Semana 5",IFERROR(INDEX('🔄 Rotação Duplas'!$D$64:$D$73,MATCH(D69,'🔄 Rotação Duplas'!$C$64:$C$73,0)),INDEX('🔄 Rotação Duplas'!$C$64:$C$73,MATCH(D69,'🔄 Rotação Duplas'!$D$64:$D$73,0))),"Semana 6",IFERROR(INDEX('🔄 Rotação Duplas'!$D$78:$D$87,MATCH(D69,'🔄 Rotação Duplas'!$C$78:$C$87,0)),INDEX('🔄 Rotação Duplas'!$C$78:$C$87,MATCH(D69,'🔄 Rotação Duplas'!$D$78:$D$87,0))),"Semana 7",IFERROR(INDEX('🔄 Rotação Duplas'!$D$92:$D$101,MATCH(D69,'🔄 Rotação Duplas'!$C$92:$C$101,0)),INDEX('🔄 Rotação Duplas'!$C$92:$C$101,MATCH(D69,'🔄 Rotação Duplas'!$D$92:$D$101,0))),"Semana 8",IFERROR(INDEX('🔄 Rotação Duplas'!$D$106:$D$115,MATCH(D69,'🔄 Rotação Duplas'!$C$106:$C$115,0)),INDEX('🔄 Rotação Duplas'!$C$106:$C$115,MATCH(D69,'🔄 Rotação Duplas'!$D$106:$D$115,0)))),""))</f>
        <v>Maria João Travassos</v>
      </c>
      <c r="T69">
        <f t="shared" si="3"/>
        <v>0</v>
      </c>
    </row>
    <row r="70" spans="2:20" ht="18" customHeight="1" x14ac:dyDescent="0.2">
      <c r="B70" s="85" t="s">
        <v>47</v>
      </c>
      <c r="C70" s="86" t="str">
        <f t="shared" si="6"/>
        <v>Desafio 4</v>
      </c>
      <c r="D70" s="87" t="str">
        <f>'⚙️ Configuração'!C33</f>
        <v>Helena Rocha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81">
        <f>(E70*'⚙️ Configuração'!$C$6+F70*'⚙️ Configuração'!$C$7+G70*'⚙️ Configuração'!$C$8+H70*'⚙️ Configuração'!$C$9+I70*'⚙️ Configuração'!$C$10+J70*'⚙️ Configuração'!$C$11)*IF(N70="S",2,1)</f>
        <v>0</v>
      </c>
      <c r="L70" s="90" t="s">
        <v>167</v>
      </c>
      <c r="M70" s="82">
        <f>IF(L70="AT1",'⚙️ Configuração'!$C$14,IF(L70="AT2",'⚙️ Configuração'!$C$15,IF(L70="FI",'⚙️ Configuração'!$C$16,IF(L70="FJ",'⚙️ Configuração'!$C$17,0))))</f>
        <v>0</v>
      </c>
      <c r="N70" s="91" t="s">
        <v>167</v>
      </c>
      <c r="O70" s="92"/>
      <c r="P70" s="83">
        <f>IF(O70="1",'⚙️ Configuração'!$C$21,IF(O70="2",'⚙️ Configuração'!$C$22,IF(O70="3",'⚙️ Configuração'!$C$23,IF(O70="Outro",'⚙️ Configuração'!$C$24,0))))</f>
        <v>0</v>
      </c>
      <c r="Q70" s="84">
        <f t="shared" si="2"/>
        <v>0</v>
      </c>
      <c r="R70" s="40" t="str">
        <f t="shared" si="1"/>
        <v>Semana 1 — ver 🔄</v>
      </c>
      <c r="S70" t="str" cm="1">
        <f t="array" ref="S70">IF(D70="","",IFERROR(_xlfn.SWITCH(B70,"Semana 1",IFERROR(INDEX('🔄 Rotação Duplas'!$D$8:$D$17,MATCH(D70,'🔄 Rotação Duplas'!$C$8:$C$17,0)),INDEX('🔄 Rotação Duplas'!$C$8:$C$17,MATCH(D70,'🔄 Rotação Duplas'!$D$8:$D$17,0))),"Semana 2",IFERROR(INDEX('🔄 Rotação Duplas'!$D$22:$D$31,MATCH(D70,'🔄 Rotação Duplas'!$C$22:$C$31,0)),INDEX('🔄 Rotação Duplas'!$C$22:$C$31,MATCH(D70,'🔄 Rotação Duplas'!$D$22:$D$31,0))),"Semana 3",IFERROR(INDEX('🔄 Rotação Duplas'!$D$36:$D$45,MATCH(D70,'🔄 Rotação Duplas'!$C$36:$C$45,0)),INDEX('🔄 Rotação Duplas'!$C$36:$C$45,MATCH(D70,'🔄 Rotação Duplas'!$D$36:$D$45,0))),"Semana 4",IFERROR(INDEX('🔄 Rotação Duplas'!$D$50:$D$59,MATCH(D70,'🔄 Rotação Duplas'!$C$50:$C$59,0)),INDEX('🔄 Rotação Duplas'!$C$50:$C$59,MATCH(D70,'🔄 Rotação Duplas'!$D$50:$D$59,0))),"Semana 5",IFERROR(INDEX('🔄 Rotação Duplas'!$D$64:$D$73,MATCH(D70,'🔄 Rotação Duplas'!$C$64:$C$73,0)),INDEX('🔄 Rotação Duplas'!$C$64:$C$73,MATCH(D70,'🔄 Rotação Duplas'!$D$64:$D$73,0))),"Semana 6",IFERROR(INDEX('🔄 Rotação Duplas'!$D$78:$D$87,MATCH(D70,'🔄 Rotação Duplas'!$C$78:$C$87,0)),INDEX('🔄 Rotação Duplas'!$C$78:$C$87,MATCH(D70,'🔄 Rotação Duplas'!$D$78:$D$87,0))),"Semana 7",IFERROR(INDEX('🔄 Rotação Duplas'!$D$92:$D$101,MATCH(D70,'🔄 Rotação Duplas'!$C$92:$C$101,0)),INDEX('🔄 Rotação Duplas'!$C$92:$C$101,MATCH(D70,'🔄 Rotação Duplas'!$D$92:$D$101,0))),"Semana 8",IFERROR(INDEX('🔄 Rotação Duplas'!$D$106:$D$115,MATCH(D70,'🔄 Rotação Duplas'!$C$106:$C$115,0)),INDEX('🔄 Rotação Duplas'!$C$106:$C$115,MATCH(D70,'🔄 Rotação Duplas'!$D$106:$D$115,0)))),""))</f>
        <v>Elisabete Mendes</v>
      </c>
      <c r="T70">
        <f t="shared" si="3"/>
        <v>0</v>
      </c>
    </row>
    <row r="71" spans="2:20" ht="18" customHeight="1" x14ac:dyDescent="0.2">
      <c r="B71" s="78" t="s">
        <v>47</v>
      </c>
      <c r="C71" s="79" t="str">
        <f t="shared" si="6"/>
        <v>Desafio 4</v>
      </c>
      <c r="D71" s="80" t="str">
        <f>'⚙️ Configuração'!C34</f>
        <v>João Xavier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81">
        <f>(E71*'⚙️ Configuração'!$C$6+F71*'⚙️ Configuração'!$C$7+G71*'⚙️ Configuração'!$C$8+H71*'⚙️ Configuração'!$C$9+I71*'⚙️ Configuração'!$C$10+J71*'⚙️ Configuração'!$C$11)*IF(N71="S",2,1)</f>
        <v>0</v>
      </c>
      <c r="L71" s="90" t="s">
        <v>167</v>
      </c>
      <c r="M71" s="82">
        <f>IF(L71="AT1",'⚙️ Configuração'!$C$14,IF(L71="AT2",'⚙️ Configuração'!$C$15,IF(L71="FI",'⚙️ Configuração'!$C$16,IF(L71="FJ",'⚙️ Configuração'!$C$17,0))))</f>
        <v>0</v>
      </c>
      <c r="N71" s="91" t="s">
        <v>167</v>
      </c>
      <c r="O71" s="92"/>
      <c r="P71" s="83">
        <f>IF(O71="1",'⚙️ Configuração'!$C$21,IF(O71="2",'⚙️ Configuração'!$C$22,IF(O71="3",'⚙️ Configuração'!$C$23,IF(O71="Outro",'⚙️ Configuração'!$C$24,0))))</f>
        <v>0</v>
      </c>
      <c r="Q71" s="84">
        <f t="shared" si="2"/>
        <v>0</v>
      </c>
      <c r="R71" s="40" t="str">
        <f t="shared" si="1"/>
        <v>Semana 1 — ver 🔄</v>
      </c>
      <c r="S71" t="str" cm="1">
        <f t="array" ref="S71">IF(D71="","",IFERROR(_xlfn.SWITCH(B71,"Semana 1",IFERROR(INDEX('🔄 Rotação Duplas'!$D$8:$D$17,MATCH(D71,'🔄 Rotação Duplas'!$C$8:$C$17,0)),INDEX('🔄 Rotação Duplas'!$C$8:$C$17,MATCH(D71,'🔄 Rotação Duplas'!$D$8:$D$17,0))),"Semana 2",IFERROR(INDEX('🔄 Rotação Duplas'!$D$22:$D$31,MATCH(D71,'🔄 Rotação Duplas'!$C$22:$C$31,0)),INDEX('🔄 Rotação Duplas'!$C$22:$C$31,MATCH(D71,'🔄 Rotação Duplas'!$D$22:$D$31,0))),"Semana 3",IFERROR(INDEX('🔄 Rotação Duplas'!$D$36:$D$45,MATCH(D71,'🔄 Rotação Duplas'!$C$36:$C$45,0)),INDEX('🔄 Rotação Duplas'!$C$36:$C$45,MATCH(D71,'🔄 Rotação Duplas'!$D$36:$D$45,0))),"Semana 4",IFERROR(INDEX('🔄 Rotação Duplas'!$D$50:$D$59,MATCH(D71,'🔄 Rotação Duplas'!$C$50:$C$59,0)),INDEX('🔄 Rotação Duplas'!$C$50:$C$59,MATCH(D71,'🔄 Rotação Duplas'!$D$50:$D$59,0))),"Semana 5",IFERROR(INDEX('🔄 Rotação Duplas'!$D$64:$D$73,MATCH(D71,'🔄 Rotação Duplas'!$C$64:$C$73,0)),INDEX('🔄 Rotação Duplas'!$C$64:$C$73,MATCH(D71,'🔄 Rotação Duplas'!$D$64:$D$73,0))),"Semana 6",IFERROR(INDEX('🔄 Rotação Duplas'!$D$78:$D$87,MATCH(D71,'🔄 Rotação Duplas'!$C$78:$C$87,0)),INDEX('🔄 Rotação Duplas'!$C$78:$C$87,MATCH(D71,'🔄 Rotação Duplas'!$D$78:$D$87,0))),"Semana 7",IFERROR(INDEX('🔄 Rotação Duplas'!$D$92:$D$101,MATCH(D71,'🔄 Rotação Duplas'!$C$92:$C$101,0)),INDEX('🔄 Rotação Duplas'!$C$92:$C$101,MATCH(D71,'🔄 Rotação Duplas'!$D$92:$D$101,0))),"Semana 8",IFERROR(INDEX('🔄 Rotação Duplas'!$D$106:$D$115,MATCH(D71,'🔄 Rotação Duplas'!$C$106:$C$115,0)),INDEX('🔄 Rotação Duplas'!$C$106:$C$115,MATCH(D71,'🔄 Rotação Duplas'!$D$106:$D$115,0)))),""))</f>
        <v>Rita Carmo</v>
      </c>
      <c r="T71">
        <f t="shared" si="3"/>
        <v>0</v>
      </c>
    </row>
    <row r="72" spans="2:20" ht="18" customHeight="1" x14ac:dyDescent="0.2">
      <c r="B72" s="85" t="s">
        <v>47</v>
      </c>
      <c r="C72" s="86" t="str">
        <f t="shared" si="6"/>
        <v>Desafio 4</v>
      </c>
      <c r="D72" s="87" t="str">
        <f>'⚙️ Configuração'!C35</f>
        <v>Tomás Carlos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81">
        <f>(E72*'⚙️ Configuração'!$C$6+F72*'⚙️ Configuração'!$C$7+G72*'⚙️ Configuração'!$C$8+H72*'⚙️ Configuração'!$C$9+I72*'⚙️ Configuração'!$C$10+J72*'⚙️ Configuração'!$C$11)*IF(N72="S",2,1)</f>
        <v>0</v>
      </c>
      <c r="L72" s="90" t="s">
        <v>167</v>
      </c>
      <c r="M72" s="82">
        <f>IF(L72="AT1",'⚙️ Configuração'!$C$14,IF(L72="AT2",'⚙️ Configuração'!$C$15,IF(L72="FI",'⚙️ Configuração'!$C$16,IF(L72="FJ",'⚙️ Configuração'!$C$17,0))))</f>
        <v>0</v>
      </c>
      <c r="N72" s="91" t="s">
        <v>167</v>
      </c>
      <c r="O72" s="92"/>
      <c r="P72" s="83">
        <f>IF(O72="1",'⚙️ Configuração'!$C$21,IF(O72="2",'⚙️ Configuração'!$C$22,IF(O72="3",'⚙️ Configuração'!$C$23,IF(O72="Outro",'⚙️ Configuração'!$C$24,0))))</f>
        <v>0</v>
      </c>
      <c r="Q72" s="84">
        <f t="shared" ref="Q72:Q135" si="7">K72+M72+P72</f>
        <v>0</v>
      </c>
      <c r="R72" s="40" t="str">
        <f t="shared" si="1"/>
        <v>Semana 1 — ver 🔄</v>
      </c>
      <c r="S72" t="str" cm="1">
        <f t="array" ref="S72">IF(D72="","",IFERROR(_xlfn.SWITCH(B72,"Semana 1",IFERROR(INDEX('🔄 Rotação Duplas'!$D$8:$D$17,MATCH(D72,'🔄 Rotação Duplas'!$C$8:$C$17,0)),INDEX('🔄 Rotação Duplas'!$C$8:$C$17,MATCH(D72,'🔄 Rotação Duplas'!$D$8:$D$17,0))),"Semana 2",IFERROR(INDEX('🔄 Rotação Duplas'!$D$22:$D$31,MATCH(D72,'🔄 Rotação Duplas'!$C$22:$C$31,0)),INDEX('🔄 Rotação Duplas'!$C$22:$C$31,MATCH(D72,'🔄 Rotação Duplas'!$D$22:$D$31,0))),"Semana 3",IFERROR(INDEX('🔄 Rotação Duplas'!$D$36:$D$45,MATCH(D72,'🔄 Rotação Duplas'!$C$36:$C$45,0)),INDEX('🔄 Rotação Duplas'!$C$36:$C$45,MATCH(D72,'🔄 Rotação Duplas'!$D$36:$D$45,0))),"Semana 4",IFERROR(INDEX('🔄 Rotação Duplas'!$D$50:$D$59,MATCH(D72,'🔄 Rotação Duplas'!$C$50:$C$59,0)),INDEX('🔄 Rotação Duplas'!$C$50:$C$59,MATCH(D72,'🔄 Rotação Duplas'!$D$50:$D$59,0))),"Semana 5",IFERROR(INDEX('🔄 Rotação Duplas'!$D$64:$D$73,MATCH(D72,'🔄 Rotação Duplas'!$C$64:$C$73,0)),INDEX('🔄 Rotação Duplas'!$C$64:$C$73,MATCH(D72,'🔄 Rotação Duplas'!$D$64:$D$73,0))),"Semana 6",IFERROR(INDEX('🔄 Rotação Duplas'!$D$78:$D$87,MATCH(D72,'🔄 Rotação Duplas'!$C$78:$C$87,0)),INDEX('🔄 Rotação Duplas'!$C$78:$C$87,MATCH(D72,'🔄 Rotação Duplas'!$D$78:$D$87,0))),"Semana 7",IFERROR(INDEX('🔄 Rotação Duplas'!$D$92:$D$101,MATCH(D72,'🔄 Rotação Duplas'!$C$92:$C$101,0)),INDEX('🔄 Rotação Duplas'!$C$92:$C$101,MATCH(D72,'🔄 Rotação Duplas'!$D$92:$D$101,0))),"Semana 8",IFERROR(INDEX('🔄 Rotação Duplas'!$D$106:$D$115,MATCH(D72,'🔄 Rotação Duplas'!$C$106:$C$115,0)),INDEX('🔄 Rotação Duplas'!$C$106:$C$115,MATCH(D72,'🔄 Rotação Duplas'!$D$106:$D$115,0)))),""))</f>
        <v>Patricia Isabel Silva</v>
      </c>
      <c r="T72">
        <f t="shared" ref="T72:T135" si="8">IF(OR(D72="",D72="-",S72="",S72="-"),0,COUNTIFS($B$7:$B$646,B72,$D$7:$D$646,D72,$N$7:$N$646,"S")+COUNTIFS($B$7:$B$646,B72,$D$7:$D$646,S72,$N$7:$N$646,"S"))</f>
        <v>0</v>
      </c>
    </row>
    <row r="73" spans="2:20" ht="18" customHeight="1" x14ac:dyDescent="0.2">
      <c r="B73" s="78" t="s">
        <v>47</v>
      </c>
      <c r="C73" s="79" t="str">
        <f t="shared" si="6"/>
        <v>Desafio 4</v>
      </c>
      <c r="D73" s="80" t="str">
        <f>'⚙️ Configuração'!C36</f>
        <v>Alexandra Correia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81">
        <f>(E73*'⚙️ Configuração'!$C$6+F73*'⚙️ Configuração'!$C$7+G73*'⚙️ Configuração'!$C$8+H73*'⚙️ Configuração'!$C$9+I73*'⚙️ Configuração'!$C$10+J73*'⚙️ Configuração'!$C$11)*IF(N73="S",2,1)</f>
        <v>0</v>
      </c>
      <c r="L73" s="90" t="s">
        <v>167</v>
      </c>
      <c r="M73" s="82">
        <f>IF(L73="AT1",'⚙️ Configuração'!$C$14,IF(L73="AT2",'⚙️ Configuração'!$C$15,IF(L73="FI",'⚙️ Configuração'!$C$16,IF(L73="FJ",'⚙️ Configuração'!$C$17,0))))</f>
        <v>0</v>
      </c>
      <c r="N73" s="91" t="s">
        <v>167</v>
      </c>
      <c r="O73" s="92"/>
      <c r="P73" s="83">
        <f>IF(O73="1",'⚙️ Configuração'!$C$21,IF(O73="2",'⚙️ Configuração'!$C$22,IF(O73="3",'⚙️ Configuração'!$C$23,IF(O73="Outro",'⚙️ Configuração'!$C$24,0))))</f>
        <v>0</v>
      </c>
      <c r="Q73" s="84">
        <f t="shared" si="7"/>
        <v>0</v>
      </c>
      <c r="R73" s="40" t="str">
        <f t="shared" si="1"/>
        <v>Semana 1 — ver 🔄</v>
      </c>
      <c r="S73" t="str" cm="1">
        <f t="array" ref="S73">IF(D73="","",IFERROR(_xlfn.SWITCH(B73,"Semana 1",IFERROR(INDEX('🔄 Rotação Duplas'!$D$8:$D$17,MATCH(D73,'🔄 Rotação Duplas'!$C$8:$C$17,0)),INDEX('🔄 Rotação Duplas'!$C$8:$C$17,MATCH(D73,'🔄 Rotação Duplas'!$D$8:$D$17,0))),"Semana 2",IFERROR(INDEX('🔄 Rotação Duplas'!$D$22:$D$31,MATCH(D73,'🔄 Rotação Duplas'!$C$22:$C$31,0)),INDEX('🔄 Rotação Duplas'!$C$22:$C$31,MATCH(D73,'🔄 Rotação Duplas'!$D$22:$D$31,0))),"Semana 3",IFERROR(INDEX('🔄 Rotação Duplas'!$D$36:$D$45,MATCH(D73,'🔄 Rotação Duplas'!$C$36:$C$45,0)),INDEX('🔄 Rotação Duplas'!$C$36:$C$45,MATCH(D73,'🔄 Rotação Duplas'!$D$36:$D$45,0))),"Semana 4",IFERROR(INDEX('🔄 Rotação Duplas'!$D$50:$D$59,MATCH(D73,'🔄 Rotação Duplas'!$C$50:$C$59,0)),INDEX('🔄 Rotação Duplas'!$C$50:$C$59,MATCH(D73,'🔄 Rotação Duplas'!$D$50:$D$59,0))),"Semana 5",IFERROR(INDEX('🔄 Rotação Duplas'!$D$64:$D$73,MATCH(D73,'🔄 Rotação Duplas'!$C$64:$C$73,0)),INDEX('🔄 Rotação Duplas'!$C$64:$C$73,MATCH(D73,'🔄 Rotação Duplas'!$D$64:$D$73,0))),"Semana 6",IFERROR(INDEX('🔄 Rotação Duplas'!$D$78:$D$87,MATCH(D73,'🔄 Rotação Duplas'!$C$78:$C$87,0)),INDEX('🔄 Rotação Duplas'!$C$78:$C$87,MATCH(D73,'🔄 Rotação Duplas'!$D$78:$D$87,0))),"Semana 7",IFERROR(INDEX('🔄 Rotação Duplas'!$D$92:$D$101,MATCH(D73,'🔄 Rotação Duplas'!$C$92:$C$101,0)),INDEX('🔄 Rotação Duplas'!$C$92:$C$101,MATCH(D73,'🔄 Rotação Duplas'!$D$92:$D$101,0))),"Semana 8",IFERROR(INDEX('🔄 Rotação Duplas'!$D$106:$D$115,MATCH(D73,'🔄 Rotação Duplas'!$C$106:$C$115,0)),INDEX('🔄 Rotação Duplas'!$C$106:$C$115,MATCH(D73,'🔄 Rotação Duplas'!$D$106:$D$115,0)))),""))</f>
        <v>William Fernandes</v>
      </c>
      <c r="T73">
        <f t="shared" si="8"/>
        <v>0</v>
      </c>
    </row>
    <row r="74" spans="2:20" ht="18" customHeight="1" x14ac:dyDescent="0.2">
      <c r="B74" s="85" t="s">
        <v>47</v>
      </c>
      <c r="C74" s="86" t="str">
        <f t="shared" si="6"/>
        <v>Desafio 4</v>
      </c>
      <c r="D74" s="87" t="str">
        <f>'⚙️ Configuração'!C37</f>
        <v>Carla Barata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81">
        <f>(E74*'⚙️ Configuração'!$C$6+F74*'⚙️ Configuração'!$C$7+G74*'⚙️ Configuração'!$C$8+H74*'⚙️ Configuração'!$C$9+I74*'⚙️ Configuração'!$C$10+J74*'⚙️ Configuração'!$C$11)*IF(N74="S",2,1)</f>
        <v>0</v>
      </c>
      <c r="L74" s="90" t="s">
        <v>167</v>
      </c>
      <c r="M74" s="82">
        <f>IF(L74="AT1",'⚙️ Configuração'!$C$14,IF(L74="AT2",'⚙️ Configuração'!$C$15,IF(L74="FI",'⚙️ Configuração'!$C$16,IF(L74="FJ",'⚙️ Configuração'!$C$17,0))))</f>
        <v>0</v>
      </c>
      <c r="N74" s="91" t="s">
        <v>167</v>
      </c>
      <c r="O74" s="92"/>
      <c r="P74" s="83">
        <f>IF(O74="1",'⚙️ Configuração'!$C$21,IF(O74="2",'⚙️ Configuração'!$C$22,IF(O74="3",'⚙️ Configuração'!$C$23,IF(O74="Outro",'⚙️ Configuração'!$C$24,0))))</f>
        <v>0</v>
      </c>
      <c r="Q74" s="84">
        <f t="shared" si="7"/>
        <v>0</v>
      </c>
      <c r="R74" s="40" t="str">
        <f t="shared" si="1"/>
        <v>Semana 1 — ver 🔄</v>
      </c>
      <c r="S74" t="str" cm="1">
        <f t="array" ref="S74">IF(D74="","",IFERROR(_xlfn.SWITCH(B74,"Semana 1",IFERROR(INDEX('🔄 Rotação Duplas'!$D$8:$D$17,MATCH(D74,'🔄 Rotação Duplas'!$C$8:$C$17,0)),INDEX('🔄 Rotação Duplas'!$C$8:$C$17,MATCH(D74,'🔄 Rotação Duplas'!$D$8:$D$17,0))),"Semana 2",IFERROR(INDEX('🔄 Rotação Duplas'!$D$22:$D$31,MATCH(D74,'🔄 Rotação Duplas'!$C$22:$C$31,0)),INDEX('🔄 Rotação Duplas'!$C$22:$C$31,MATCH(D74,'🔄 Rotação Duplas'!$D$22:$D$31,0))),"Semana 3",IFERROR(INDEX('🔄 Rotação Duplas'!$D$36:$D$45,MATCH(D74,'🔄 Rotação Duplas'!$C$36:$C$45,0)),INDEX('🔄 Rotação Duplas'!$C$36:$C$45,MATCH(D74,'🔄 Rotação Duplas'!$D$36:$D$45,0))),"Semana 4",IFERROR(INDEX('🔄 Rotação Duplas'!$D$50:$D$59,MATCH(D74,'🔄 Rotação Duplas'!$C$50:$C$59,0)),INDEX('🔄 Rotação Duplas'!$C$50:$C$59,MATCH(D74,'🔄 Rotação Duplas'!$D$50:$D$59,0))),"Semana 5",IFERROR(INDEX('🔄 Rotação Duplas'!$D$64:$D$73,MATCH(D74,'🔄 Rotação Duplas'!$C$64:$C$73,0)),INDEX('🔄 Rotação Duplas'!$C$64:$C$73,MATCH(D74,'🔄 Rotação Duplas'!$D$64:$D$73,0))),"Semana 6",IFERROR(INDEX('🔄 Rotação Duplas'!$D$78:$D$87,MATCH(D74,'🔄 Rotação Duplas'!$C$78:$C$87,0)),INDEX('🔄 Rotação Duplas'!$C$78:$C$87,MATCH(D74,'🔄 Rotação Duplas'!$D$78:$D$87,0))),"Semana 7",IFERROR(INDEX('🔄 Rotação Duplas'!$D$92:$D$101,MATCH(D74,'🔄 Rotação Duplas'!$C$92:$C$101,0)),INDEX('🔄 Rotação Duplas'!$C$92:$C$101,MATCH(D74,'🔄 Rotação Duplas'!$D$92:$D$101,0))),"Semana 8",IFERROR(INDEX('🔄 Rotação Duplas'!$D$106:$D$115,MATCH(D74,'🔄 Rotação Duplas'!$C$106:$C$115,0)),INDEX('🔄 Rotação Duplas'!$C$106:$C$115,MATCH(D74,'🔄 Rotação Duplas'!$D$106:$D$115,0)))),""))</f>
        <v>Paula Martins</v>
      </c>
      <c r="T74">
        <f t="shared" si="8"/>
        <v>0</v>
      </c>
    </row>
    <row r="75" spans="2:20" ht="18" customHeight="1" x14ac:dyDescent="0.2">
      <c r="B75" s="78" t="s">
        <v>47</v>
      </c>
      <c r="C75" s="79" t="str">
        <f t="shared" si="6"/>
        <v>Desafio 4</v>
      </c>
      <c r="D75" s="80" t="str">
        <f>'⚙️ Configuração'!C38</f>
        <v>Denise Filipe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81">
        <f>(E75*'⚙️ Configuração'!$C$6+F75*'⚙️ Configuração'!$C$7+G75*'⚙️ Configuração'!$C$8+H75*'⚙️ Configuração'!$C$9+I75*'⚙️ Configuração'!$C$10+J75*'⚙️ Configuração'!$C$11)*IF(N75="S",2,1)</f>
        <v>0</v>
      </c>
      <c r="L75" s="90" t="s">
        <v>167</v>
      </c>
      <c r="M75" s="82">
        <f>IF(L75="AT1",'⚙️ Configuração'!$C$14,IF(L75="AT2",'⚙️ Configuração'!$C$15,IF(L75="FI",'⚙️ Configuração'!$C$16,IF(L75="FJ",'⚙️ Configuração'!$C$17,0))))</f>
        <v>0</v>
      </c>
      <c r="N75" s="91" t="s">
        <v>167</v>
      </c>
      <c r="O75" s="92"/>
      <c r="P75" s="83">
        <f>IF(O75="1",'⚙️ Configuração'!$C$21,IF(O75="2",'⚙️ Configuração'!$C$22,IF(O75="3",'⚙️ Configuração'!$C$23,IF(O75="Outro",'⚙️ Configuração'!$C$24,0))))</f>
        <v>0</v>
      </c>
      <c r="Q75" s="84">
        <f t="shared" si="7"/>
        <v>0</v>
      </c>
      <c r="R75" s="40" t="str">
        <f t="shared" si="1"/>
        <v>Semana 1 — ver 🔄</v>
      </c>
      <c r="S75" t="str" cm="1">
        <f t="array" ref="S75">IF(D75="","",IFERROR(_xlfn.SWITCH(B75,"Semana 1",IFERROR(INDEX('🔄 Rotação Duplas'!$D$8:$D$17,MATCH(D75,'🔄 Rotação Duplas'!$C$8:$C$17,0)),INDEX('🔄 Rotação Duplas'!$C$8:$C$17,MATCH(D75,'🔄 Rotação Duplas'!$D$8:$D$17,0))),"Semana 2",IFERROR(INDEX('🔄 Rotação Duplas'!$D$22:$D$31,MATCH(D75,'🔄 Rotação Duplas'!$C$22:$C$31,0)),INDEX('🔄 Rotação Duplas'!$C$22:$C$31,MATCH(D75,'🔄 Rotação Duplas'!$D$22:$D$31,0))),"Semana 3",IFERROR(INDEX('🔄 Rotação Duplas'!$D$36:$D$45,MATCH(D75,'🔄 Rotação Duplas'!$C$36:$C$45,0)),INDEX('🔄 Rotação Duplas'!$C$36:$C$45,MATCH(D75,'🔄 Rotação Duplas'!$D$36:$D$45,0))),"Semana 4",IFERROR(INDEX('🔄 Rotação Duplas'!$D$50:$D$59,MATCH(D75,'🔄 Rotação Duplas'!$C$50:$C$59,0)),INDEX('🔄 Rotação Duplas'!$C$50:$C$59,MATCH(D75,'🔄 Rotação Duplas'!$D$50:$D$59,0))),"Semana 5",IFERROR(INDEX('🔄 Rotação Duplas'!$D$64:$D$73,MATCH(D75,'🔄 Rotação Duplas'!$C$64:$C$73,0)),INDEX('🔄 Rotação Duplas'!$C$64:$C$73,MATCH(D75,'🔄 Rotação Duplas'!$D$64:$D$73,0))),"Semana 6",IFERROR(INDEX('🔄 Rotação Duplas'!$D$78:$D$87,MATCH(D75,'🔄 Rotação Duplas'!$C$78:$C$87,0)),INDEX('🔄 Rotação Duplas'!$C$78:$C$87,MATCH(D75,'🔄 Rotação Duplas'!$D$78:$D$87,0))),"Semana 7",IFERROR(INDEX('🔄 Rotação Duplas'!$D$92:$D$101,MATCH(D75,'🔄 Rotação Duplas'!$C$92:$C$101,0)),INDEX('🔄 Rotação Duplas'!$C$92:$C$101,MATCH(D75,'🔄 Rotação Duplas'!$D$92:$D$101,0))),"Semana 8",IFERROR(INDEX('🔄 Rotação Duplas'!$D$106:$D$115,MATCH(D75,'🔄 Rotação Duplas'!$C$106:$C$115,0)),INDEX('🔄 Rotação Duplas'!$C$106:$C$115,MATCH(D75,'🔄 Rotação Duplas'!$D$106:$D$115,0)))),""))</f>
        <v>Carla Cantante</v>
      </c>
      <c r="T75">
        <f t="shared" si="8"/>
        <v>0</v>
      </c>
    </row>
    <row r="76" spans="2:20" ht="18" customHeight="1" x14ac:dyDescent="0.2">
      <c r="B76" s="85" t="s">
        <v>47</v>
      </c>
      <c r="C76" s="86" t="str">
        <f t="shared" si="6"/>
        <v>Desafio 4</v>
      </c>
      <c r="D76" s="87" t="str">
        <f>'⚙️ Configuração'!C39</f>
        <v>Fátima Rodriguez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81">
        <f>(E76*'⚙️ Configuração'!$C$6+F76*'⚙️ Configuração'!$C$7+G76*'⚙️ Configuração'!$C$8+H76*'⚙️ Configuração'!$C$9+I76*'⚙️ Configuração'!$C$10+J76*'⚙️ Configuração'!$C$11)*IF(N76="S",2,1)</f>
        <v>0</v>
      </c>
      <c r="L76" s="90" t="s">
        <v>167</v>
      </c>
      <c r="M76" s="82">
        <f>IF(L76="AT1",'⚙️ Configuração'!$C$14,IF(L76="AT2",'⚙️ Configuração'!$C$15,IF(L76="FI",'⚙️ Configuração'!$C$16,IF(L76="FJ",'⚙️ Configuração'!$C$17,0))))</f>
        <v>0</v>
      </c>
      <c r="N76" s="91" t="s">
        <v>167</v>
      </c>
      <c r="O76" s="92"/>
      <c r="P76" s="83">
        <f>IF(O76="1",'⚙️ Configuração'!$C$21,IF(O76="2",'⚙️ Configuração'!$C$22,IF(O76="3",'⚙️ Configuração'!$C$23,IF(O76="Outro",'⚙️ Configuração'!$C$24,0))))</f>
        <v>0</v>
      </c>
      <c r="Q76" s="84">
        <f t="shared" si="7"/>
        <v>0</v>
      </c>
      <c r="R76" s="40" t="str">
        <f t="shared" si="1"/>
        <v>Semana 1 — ver 🔄</v>
      </c>
      <c r="S76" cm="1">
        <f t="array" ref="S76">IF(D76="","",IFERROR(_xlfn.SWITCH(B76,"Semana 1",IFERROR(INDEX('🔄 Rotação Duplas'!$D$8:$D$17,MATCH(D76,'🔄 Rotação Duplas'!$C$8:$C$17,0)),INDEX('🔄 Rotação Duplas'!$C$8:$C$17,MATCH(D76,'🔄 Rotação Duplas'!$D$8:$D$17,0))),"Semana 2",IFERROR(INDEX('🔄 Rotação Duplas'!$D$22:$D$31,MATCH(D76,'🔄 Rotação Duplas'!$C$22:$C$31,0)),INDEX('🔄 Rotação Duplas'!$C$22:$C$31,MATCH(D76,'🔄 Rotação Duplas'!$D$22:$D$31,0))),"Semana 3",IFERROR(INDEX('🔄 Rotação Duplas'!$D$36:$D$45,MATCH(D76,'🔄 Rotação Duplas'!$C$36:$C$45,0)),INDEX('🔄 Rotação Duplas'!$C$36:$C$45,MATCH(D76,'🔄 Rotação Duplas'!$D$36:$D$45,0))),"Semana 4",IFERROR(INDEX('🔄 Rotação Duplas'!$D$50:$D$59,MATCH(D76,'🔄 Rotação Duplas'!$C$50:$C$59,0)),INDEX('🔄 Rotação Duplas'!$C$50:$C$59,MATCH(D76,'🔄 Rotação Duplas'!$D$50:$D$59,0))),"Semana 5",IFERROR(INDEX('🔄 Rotação Duplas'!$D$64:$D$73,MATCH(D76,'🔄 Rotação Duplas'!$C$64:$C$73,0)),INDEX('🔄 Rotação Duplas'!$C$64:$C$73,MATCH(D76,'🔄 Rotação Duplas'!$D$64:$D$73,0))),"Semana 6",IFERROR(INDEX('🔄 Rotação Duplas'!$D$78:$D$87,MATCH(D76,'🔄 Rotação Duplas'!$C$78:$C$87,0)),INDEX('🔄 Rotação Duplas'!$C$78:$C$87,MATCH(D76,'🔄 Rotação Duplas'!$D$78:$D$87,0))),"Semana 7",IFERROR(INDEX('🔄 Rotação Duplas'!$D$92:$D$101,MATCH(D76,'🔄 Rotação Duplas'!$C$92:$C$101,0)),INDEX('🔄 Rotação Duplas'!$C$92:$C$101,MATCH(D76,'🔄 Rotação Duplas'!$D$92:$D$101,0))),"Semana 8",IFERROR(INDEX('🔄 Rotação Duplas'!$D$106:$D$115,MATCH(D76,'🔄 Rotação Duplas'!$C$106:$C$115,0)),INDEX('🔄 Rotação Duplas'!$C$106:$C$115,MATCH(D76,'🔄 Rotação Duplas'!$D$106:$D$115,0)))),""))</f>
        <v>0</v>
      </c>
      <c r="T76">
        <f t="shared" si="8"/>
        <v>0</v>
      </c>
    </row>
    <row r="77" spans="2:20" ht="18" customHeight="1" x14ac:dyDescent="0.2">
      <c r="B77" s="78" t="s">
        <v>47</v>
      </c>
      <c r="C77" s="79" t="str">
        <f t="shared" si="6"/>
        <v>Desafio 4</v>
      </c>
      <c r="D77" s="80" t="str">
        <f>'⚙️ Configuração'!C40</f>
        <v>Maria João Travassos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81">
        <f>(E77*'⚙️ Configuração'!$C$6+F77*'⚙️ Configuração'!$C$7+G77*'⚙️ Configuração'!$C$8+H77*'⚙️ Configuração'!$C$9+I77*'⚙️ Configuração'!$C$10+J77*'⚙️ Configuração'!$C$11)*IF(N77="S",2,1)</f>
        <v>0</v>
      </c>
      <c r="L77" s="90" t="s">
        <v>167</v>
      </c>
      <c r="M77" s="82">
        <f>IF(L77="AT1",'⚙️ Configuração'!$C$14,IF(L77="AT2",'⚙️ Configuração'!$C$15,IF(L77="FI",'⚙️ Configuração'!$C$16,IF(L77="FJ",'⚙️ Configuração'!$C$17,0))))</f>
        <v>0</v>
      </c>
      <c r="N77" s="91" t="s">
        <v>167</v>
      </c>
      <c r="O77" s="92"/>
      <c r="P77" s="83">
        <f>IF(O77="1",'⚙️ Configuração'!$C$21,IF(O77="2",'⚙️ Configuração'!$C$22,IF(O77="3",'⚙️ Configuração'!$C$23,IF(O77="Outro",'⚙️ Configuração'!$C$24,0))))</f>
        <v>0</v>
      </c>
      <c r="Q77" s="84">
        <f t="shared" si="7"/>
        <v>0</v>
      </c>
      <c r="R77" s="40" t="str">
        <f t="shared" si="1"/>
        <v>Semana 1 — ver 🔄</v>
      </c>
      <c r="S77" t="str" cm="1">
        <f t="array" ref="S77">IF(D77="","",IFERROR(_xlfn.SWITCH(B77,"Semana 1",IFERROR(INDEX('🔄 Rotação Duplas'!$D$8:$D$17,MATCH(D77,'🔄 Rotação Duplas'!$C$8:$C$17,0)),INDEX('🔄 Rotação Duplas'!$C$8:$C$17,MATCH(D77,'🔄 Rotação Duplas'!$D$8:$D$17,0))),"Semana 2",IFERROR(INDEX('🔄 Rotação Duplas'!$D$22:$D$31,MATCH(D77,'🔄 Rotação Duplas'!$C$22:$C$31,0)),INDEX('🔄 Rotação Duplas'!$C$22:$C$31,MATCH(D77,'🔄 Rotação Duplas'!$D$22:$D$31,0))),"Semana 3",IFERROR(INDEX('🔄 Rotação Duplas'!$D$36:$D$45,MATCH(D77,'🔄 Rotação Duplas'!$C$36:$C$45,0)),INDEX('🔄 Rotação Duplas'!$C$36:$C$45,MATCH(D77,'🔄 Rotação Duplas'!$D$36:$D$45,0))),"Semana 4",IFERROR(INDEX('🔄 Rotação Duplas'!$D$50:$D$59,MATCH(D77,'🔄 Rotação Duplas'!$C$50:$C$59,0)),INDEX('🔄 Rotação Duplas'!$C$50:$C$59,MATCH(D77,'🔄 Rotação Duplas'!$D$50:$D$59,0))),"Semana 5",IFERROR(INDEX('🔄 Rotação Duplas'!$D$64:$D$73,MATCH(D77,'🔄 Rotação Duplas'!$C$64:$C$73,0)),INDEX('🔄 Rotação Duplas'!$C$64:$C$73,MATCH(D77,'🔄 Rotação Duplas'!$D$64:$D$73,0))),"Semana 6",IFERROR(INDEX('🔄 Rotação Duplas'!$D$78:$D$87,MATCH(D77,'🔄 Rotação Duplas'!$C$78:$C$87,0)),INDEX('🔄 Rotação Duplas'!$C$78:$C$87,MATCH(D77,'🔄 Rotação Duplas'!$D$78:$D$87,0))),"Semana 7",IFERROR(INDEX('🔄 Rotação Duplas'!$D$92:$D$101,MATCH(D77,'🔄 Rotação Duplas'!$C$92:$C$101,0)),INDEX('🔄 Rotação Duplas'!$C$92:$C$101,MATCH(D77,'🔄 Rotação Duplas'!$D$92:$D$101,0))),"Semana 8",IFERROR(INDEX('🔄 Rotação Duplas'!$D$106:$D$115,MATCH(D77,'🔄 Rotação Duplas'!$C$106:$C$115,0)),INDEX('🔄 Rotação Duplas'!$C$106:$C$115,MATCH(D77,'🔄 Rotação Duplas'!$D$106:$D$115,0)))),""))</f>
        <v>Filipa Cunha</v>
      </c>
      <c r="T77">
        <f t="shared" si="8"/>
        <v>0</v>
      </c>
    </row>
    <row r="78" spans="2:20" ht="18" customHeight="1" x14ac:dyDescent="0.2">
      <c r="B78" s="85" t="s">
        <v>47</v>
      </c>
      <c r="C78" s="86" t="str">
        <f t="shared" si="6"/>
        <v>Desafio 4</v>
      </c>
      <c r="D78" s="87" t="str">
        <f>'⚙️ Configuração'!C41</f>
        <v>Marta Torres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81">
        <f>(E78*'⚙️ Configuração'!$C$6+F78*'⚙️ Configuração'!$C$7+G78*'⚙️ Configuração'!$C$8+H78*'⚙️ Configuração'!$C$9+I78*'⚙️ Configuração'!$C$10+J78*'⚙️ Configuração'!$C$11)*IF(N78="S",2,1)</f>
        <v>0</v>
      </c>
      <c r="L78" s="90" t="s">
        <v>167</v>
      </c>
      <c r="M78" s="82">
        <f>IF(L78="AT1",'⚙️ Configuração'!$C$14,IF(L78="AT2",'⚙️ Configuração'!$C$15,IF(L78="FI",'⚙️ Configuração'!$C$16,IF(L78="FJ",'⚙️ Configuração'!$C$17,0))))</f>
        <v>0</v>
      </c>
      <c r="N78" s="91" t="s">
        <v>167</v>
      </c>
      <c r="O78" s="92"/>
      <c r="P78" s="83">
        <f>IF(O78="1",'⚙️ Configuração'!$C$21,IF(O78="2",'⚙️ Configuração'!$C$22,IF(O78="3",'⚙️ Configuração'!$C$23,IF(O78="Outro",'⚙️ Configuração'!$C$24,0))))</f>
        <v>0</v>
      </c>
      <c r="Q78" s="84">
        <f t="shared" si="7"/>
        <v>0</v>
      </c>
      <c r="R78" s="40" t="str">
        <f t="shared" si="1"/>
        <v>Semana 1 — ver 🔄</v>
      </c>
      <c r="S78" t="str" cm="1">
        <f t="array" ref="S78">IF(D78="","",IFERROR(_xlfn.SWITCH(B78,"Semana 1",IFERROR(INDEX('🔄 Rotação Duplas'!$D$8:$D$17,MATCH(D78,'🔄 Rotação Duplas'!$C$8:$C$17,0)),INDEX('🔄 Rotação Duplas'!$C$8:$C$17,MATCH(D78,'🔄 Rotação Duplas'!$D$8:$D$17,0))),"Semana 2",IFERROR(INDEX('🔄 Rotação Duplas'!$D$22:$D$31,MATCH(D78,'🔄 Rotação Duplas'!$C$22:$C$31,0)),INDEX('🔄 Rotação Duplas'!$C$22:$C$31,MATCH(D78,'🔄 Rotação Duplas'!$D$22:$D$31,0))),"Semana 3",IFERROR(INDEX('🔄 Rotação Duplas'!$D$36:$D$45,MATCH(D78,'🔄 Rotação Duplas'!$C$36:$C$45,0)),INDEX('🔄 Rotação Duplas'!$C$36:$C$45,MATCH(D78,'🔄 Rotação Duplas'!$D$36:$D$45,0))),"Semana 4",IFERROR(INDEX('🔄 Rotação Duplas'!$D$50:$D$59,MATCH(D78,'🔄 Rotação Duplas'!$C$50:$C$59,0)),INDEX('🔄 Rotação Duplas'!$C$50:$C$59,MATCH(D78,'🔄 Rotação Duplas'!$D$50:$D$59,0))),"Semana 5",IFERROR(INDEX('🔄 Rotação Duplas'!$D$64:$D$73,MATCH(D78,'🔄 Rotação Duplas'!$C$64:$C$73,0)),INDEX('🔄 Rotação Duplas'!$C$64:$C$73,MATCH(D78,'🔄 Rotação Duplas'!$D$64:$D$73,0))),"Semana 6",IFERROR(INDEX('🔄 Rotação Duplas'!$D$78:$D$87,MATCH(D78,'🔄 Rotação Duplas'!$C$78:$C$87,0)),INDEX('🔄 Rotação Duplas'!$C$78:$C$87,MATCH(D78,'🔄 Rotação Duplas'!$D$78:$D$87,0))),"Semana 7",IFERROR(INDEX('🔄 Rotação Duplas'!$D$92:$D$101,MATCH(D78,'🔄 Rotação Duplas'!$C$92:$C$101,0)),INDEX('🔄 Rotação Duplas'!$C$92:$C$101,MATCH(D78,'🔄 Rotação Duplas'!$D$92:$D$101,0))),"Semana 8",IFERROR(INDEX('🔄 Rotação Duplas'!$D$106:$D$115,MATCH(D78,'🔄 Rotação Duplas'!$C$106:$C$115,0)),INDEX('🔄 Rotação Duplas'!$C$106:$C$115,MATCH(D78,'🔄 Rotação Duplas'!$D$106:$D$115,0)))),""))</f>
        <v>Paula Miabara</v>
      </c>
      <c r="T78">
        <f t="shared" si="8"/>
        <v>0</v>
      </c>
    </row>
    <row r="79" spans="2:20" ht="18" customHeight="1" x14ac:dyDescent="0.2">
      <c r="B79" s="78" t="s">
        <v>47</v>
      </c>
      <c r="C79" s="79" t="str">
        <f t="shared" si="6"/>
        <v>Desafio 4</v>
      </c>
      <c r="D79" s="80" t="str">
        <f>'⚙️ Configuração'!C42</f>
        <v>Patricia Isabel Silva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81">
        <f>(E79*'⚙️ Configuração'!$C$6+F79*'⚙️ Configuração'!$C$7+G79*'⚙️ Configuração'!$C$8+H79*'⚙️ Configuração'!$C$9+I79*'⚙️ Configuração'!$C$10+J79*'⚙️ Configuração'!$C$11)*IF(N79="S",2,1)</f>
        <v>0</v>
      </c>
      <c r="L79" s="90" t="s">
        <v>167</v>
      </c>
      <c r="M79" s="82">
        <f>IF(L79="AT1",'⚙️ Configuração'!$C$14,IF(L79="AT2",'⚙️ Configuração'!$C$15,IF(L79="FI",'⚙️ Configuração'!$C$16,IF(L79="FJ",'⚙️ Configuração'!$C$17,0))))</f>
        <v>0</v>
      </c>
      <c r="N79" s="91" t="s">
        <v>167</v>
      </c>
      <c r="O79" s="92"/>
      <c r="P79" s="83">
        <f>IF(O79="1",'⚙️ Configuração'!$C$21,IF(O79="2",'⚙️ Configuração'!$C$22,IF(O79="3",'⚙️ Configuração'!$C$23,IF(O79="Outro",'⚙️ Configuração'!$C$24,0))))</f>
        <v>0</v>
      </c>
      <c r="Q79" s="84">
        <f t="shared" si="7"/>
        <v>0</v>
      </c>
      <c r="R79" s="40" t="str">
        <f t="shared" si="1"/>
        <v>Semana 1 — ver 🔄</v>
      </c>
      <c r="S79" t="str" cm="1">
        <f t="array" ref="S79">IF(D79="","",IFERROR(_xlfn.SWITCH(B79,"Semana 1",IFERROR(INDEX('🔄 Rotação Duplas'!$D$8:$D$17,MATCH(D79,'🔄 Rotação Duplas'!$C$8:$C$17,0)),INDEX('🔄 Rotação Duplas'!$C$8:$C$17,MATCH(D79,'🔄 Rotação Duplas'!$D$8:$D$17,0))),"Semana 2",IFERROR(INDEX('🔄 Rotação Duplas'!$D$22:$D$31,MATCH(D79,'🔄 Rotação Duplas'!$C$22:$C$31,0)),INDEX('🔄 Rotação Duplas'!$C$22:$C$31,MATCH(D79,'🔄 Rotação Duplas'!$D$22:$D$31,0))),"Semana 3",IFERROR(INDEX('🔄 Rotação Duplas'!$D$36:$D$45,MATCH(D79,'🔄 Rotação Duplas'!$C$36:$C$45,0)),INDEX('🔄 Rotação Duplas'!$C$36:$C$45,MATCH(D79,'🔄 Rotação Duplas'!$D$36:$D$45,0))),"Semana 4",IFERROR(INDEX('🔄 Rotação Duplas'!$D$50:$D$59,MATCH(D79,'🔄 Rotação Duplas'!$C$50:$C$59,0)),INDEX('🔄 Rotação Duplas'!$C$50:$C$59,MATCH(D79,'🔄 Rotação Duplas'!$D$50:$D$59,0))),"Semana 5",IFERROR(INDEX('🔄 Rotação Duplas'!$D$64:$D$73,MATCH(D79,'🔄 Rotação Duplas'!$C$64:$C$73,0)),INDEX('🔄 Rotação Duplas'!$C$64:$C$73,MATCH(D79,'🔄 Rotação Duplas'!$D$64:$D$73,0))),"Semana 6",IFERROR(INDEX('🔄 Rotação Duplas'!$D$78:$D$87,MATCH(D79,'🔄 Rotação Duplas'!$C$78:$C$87,0)),INDEX('🔄 Rotação Duplas'!$C$78:$C$87,MATCH(D79,'🔄 Rotação Duplas'!$D$78:$D$87,0))),"Semana 7",IFERROR(INDEX('🔄 Rotação Duplas'!$D$92:$D$101,MATCH(D79,'🔄 Rotação Duplas'!$C$92:$C$101,0)),INDEX('🔄 Rotação Duplas'!$C$92:$C$101,MATCH(D79,'🔄 Rotação Duplas'!$D$92:$D$101,0))),"Semana 8",IFERROR(INDEX('🔄 Rotação Duplas'!$D$106:$D$115,MATCH(D79,'🔄 Rotação Duplas'!$C$106:$C$115,0)),INDEX('🔄 Rotação Duplas'!$C$106:$C$115,MATCH(D79,'🔄 Rotação Duplas'!$D$106:$D$115,0)))),""))</f>
        <v>Tomás Carlos</v>
      </c>
      <c r="T79">
        <f t="shared" si="8"/>
        <v>0</v>
      </c>
    </row>
    <row r="80" spans="2:20" ht="18" customHeight="1" x14ac:dyDescent="0.2">
      <c r="B80" s="85" t="s">
        <v>47</v>
      </c>
      <c r="C80" s="86" t="str">
        <f t="shared" si="6"/>
        <v>Desafio 4</v>
      </c>
      <c r="D80" s="87" t="str">
        <f>'⚙️ Configuração'!C43</f>
        <v>Paula Martins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81">
        <f>(E80*'⚙️ Configuração'!$C$6+F80*'⚙️ Configuração'!$C$7+G80*'⚙️ Configuração'!$C$8+H80*'⚙️ Configuração'!$C$9+I80*'⚙️ Configuração'!$C$10+J80*'⚙️ Configuração'!$C$11)*IF(N80="S",2,1)</f>
        <v>0</v>
      </c>
      <c r="L80" s="90" t="s">
        <v>167</v>
      </c>
      <c r="M80" s="82">
        <f>IF(L80="AT1",'⚙️ Configuração'!$C$14,IF(L80="AT2",'⚙️ Configuração'!$C$15,IF(L80="FI",'⚙️ Configuração'!$C$16,IF(L80="FJ",'⚙️ Configuração'!$C$17,0))))</f>
        <v>0</v>
      </c>
      <c r="N80" s="91" t="s">
        <v>167</v>
      </c>
      <c r="O80" s="92"/>
      <c r="P80" s="83">
        <f>IF(O80="1",'⚙️ Configuração'!$C$21,IF(O80="2",'⚙️ Configuração'!$C$22,IF(O80="3",'⚙️ Configuração'!$C$23,IF(O80="Outro",'⚙️ Configuração'!$C$24,0))))</f>
        <v>0</v>
      </c>
      <c r="Q80" s="84">
        <f t="shared" si="7"/>
        <v>0</v>
      </c>
      <c r="R80" s="40" t="str">
        <f t="shared" si="1"/>
        <v>Semana 1 — ver 🔄</v>
      </c>
      <c r="S80" t="str" cm="1">
        <f t="array" ref="S80">IF(D80="","",IFERROR(_xlfn.SWITCH(B80,"Semana 1",IFERROR(INDEX('🔄 Rotação Duplas'!$D$8:$D$17,MATCH(D80,'🔄 Rotação Duplas'!$C$8:$C$17,0)),INDEX('🔄 Rotação Duplas'!$C$8:$C$17,MATCH(D80,'🔄 Rotação Duplas'!$D$8:$D$17,0))),"Semana 2",IFERROR(INDEX('🔄 Rotação Duplas'!$D$22:$D$31,MATCH(D80,'🔄 Rotação Duplas'!$C$22:$C$31,0)),INDEX('🔄 Rotação Duplas'!$C$22:$C$31,MATCH(D80,'🔄 Rotação Duplas'!$D$22:$D$31,0))),"Semana 3",IFERROR(INDEX('🔄 Rotação Duplas'!$D$36:$D$45,MATCH(D80,'🔄 Rotação Duplas'!$C$36:$C$45,0)),INDEX('🔄 Rotação Duplas'!$C$36:$C$45,MATCH(D80,'🔄 Rotação Duplas'!$D$36:$D$45,0))),"Semana 4",IFERROR(INDEX('🔄 Rotação Duplas'!$D$50:$D$59,MATCH(D80,'🔄 Rotação Duplas'!$C$50:$C$59,0)),INDEX('🔄 Rotação Duplas'!$C$50:$C$59,MATCH(D80,'🔄 Rotação Duplas'!$D$50:$D$59,0))),"Semana 5",IFERROR(INDEX('🔄 Rotação Duplas'!$D$64:$D$73,MATCH(D80,'🔄 Rotação Duplas'!$C$64:$C$73,0)),INDEX('🔄 Rotação Duplas'!$C$64:$C$73,MATCH(D80,'🔄 Rotação Duplas'!$D$64:$D$73,0))),"Semana 6",IFERROR(INDEX('🔄 Rotação Duplas'!$D$78:$D$87,MATCH(D80,'🔄 Rotação Duplas'!$C$78:$C$87,0)),INDEX('🔄 Rotação Duplas'!$C$78:$C$87,MATCH(D80,'🔄 Rotação Duplas'!$D$78:$D$87,0))),"Semana 7",IFERROR(INDEX('🔄 Rotação Duplas'!$D$92:$D$101,MATCH(D80,'🔄 Rotação Duplas'!$C$92:$C$101,0)),INDEX('🔄 Rotação Duplas'!$C$92:$C$101,MATCH(D80,'🔄 Rotação Duplas'!$D$92:$D$101,0))),"Semana 8",IFERROR(INDEX('🔄 Rotação Duplas'!$D$106:$D$115,MATCH(D80,'🔄 Rotação Duplas'!$C$106:$C$115,0)),INDEX('🔄 Rotação Duplas'!$C$106:$C$115,MATCH(D80,'🔄 Rotação Duplas'!$D$106:$D$115,0)))),""))</f>
        <v>Carla Barata</v>
      </c>
      <c r="T80">
        <f t="shared" si="8"/>
        <v>0</v>
      </c>
    </row>
    <row r="81" spans="2:20" ht="18" customHeight="1" x14ac:dyDescent="0.2">
      <c r="B81" s="78" t="s">
        <v>47</v>
      </c>
      <c r="C81" s="79" t="str">
        <f t="shared" si="6"/>
        <v>Desafio 4</v>
      </c>
      <c r="D81" s="80" t="str">
        <f>'⚙️ Configuração'!C44</f>
        <v>Paula Miabara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81">
        <f>(E81*'⚙️ Configuração'!$C$6+F81*'⚙️ Configuração'!$C$7+G81*'⚙️ Configuração'!$C$8+H81*'⚙️ Configuração'!$C$9+I81*'⚙️ Configuração'!$C$10+J81*'⚙️ Configuração'!$C$11)*IF(N81="S",2,1)</f>
        <v>0</v>
      </c>
      <c r="L81" s="90" t="s">
        <v>167</v>
      </c>
      <c r="M81" s="82">
        <f>IF(L81="AT1",'⚙️ Configuração'!$C$14,IF(L81="AT2",'⚙️ Configuração'!$C$15,IF(L81="FI",'⚙️ Configuração'!$C$16,IF(L81="FJ",'⚙️ Configuração'!$C$17,0))))</f>
        <v>0</v>
      </c>
      <c r="N81" s="91" t="s">
        <v>167</v>
      </c>
      <c r="O81" s="92"/>
      <c r="P81" s="83">
        <f>IF(O81="1",'⚙️ Configuração'!$C$21,IF(O81="2",'⚙️ Configuração'!$C$22,IF(O81="3",'⚙️ Configuração'!$C$23,IF(O81="Outro",'⚙️ Configuração'!$C$24,0))))</f>
        <v>0</v>
      </c>
      <c r="Q81" s="84">
        <f t="shared" si="7"/>
        <v>0</v>
      </c>
      <c r="R81" s="40" t="str">
        <f t="shared" si="1"/>
        <v>Semana 1 — ver 🔄</v>
      </c>
      <c r="S81" t="str" cm="1">
        <f t="array" ref="S81">IF(D81="","",IFERROR(_xlfn.SWITCH(B81,"Semana 1",IFERROR(INDEX('🔄 Rotação Duplas'!$D$8:$D$17,MATCH(D81,'🔄 Rotação Duplas'!$C$8:$C$17,0)),INDEX('🔄 Rotação Duplas'!$C$8:$C$17,MATCH(D81,'🔄 Rotação Duplas'!$D$8:$D$17,0))),"Semana 2",IFERROR(INDEX('🔄 Rotação Duplas'!$D$22:$D$31,MATCH(D81,'🔄 Rotação Duplas'!$C$22:$C$31,0)),INDEX('🔄 Rotação Duplas'!$C$22:$C$31,MATCH(D81,'🔄 Rotação Duplas'!$D$22:$D$31,0))),"Semana 3",IFERROR(INDEX('🔄 Rotação Duplas'!$D$36:$D$45,MATCH(D81,'🔄 Rotação Duplas'!$C$36:$C$45,0)),INDEX('🔄 Rotação Duplas'!$C$36:$C$45,MATCH(D81,'🔄 Rotação Duplas'!$D$36:$D$45,0))),"Semana 4",IFERROR(INDEX('🔄 Rotação Duplas'!$D$50:$D$59,MATCH(D81,'🔄 Rotação Duplas'!$C$50:$C$59,0)),INDEX('🔄 Rotação Duplas'!$C$50:$C$59,MATCH(D81,'🔄 Rotação Duplas'!$D$50:$D$59,0))),"Semana 5",IFERROR(INDEX('🔄 Rotação Duplas'!$D$64:$D$73,MATCH(D81,'🔄 Rotação Duplas'!$C$64:$C$73,0)),INDEX('🔄 Rotação Duplas'!$C$64:$C$73,MATCH(D81,'🔄 Rotação Duplas'!$D$64:$D$73,0))),"Semana 6",IFERROR(INDEX('🔄 Rotação Duplas'!$D$78:$D$87,MATCH(D81,'🔄 Rotação Duplas'!$C$78:$C$87,0)),INDEX('🔄 Rotação Duplas'!$C$78:$C$87,MATCH(D81,'🔄 Rotação Duplas'!$D$78:$D$87,0))),"Semana 7",IFERROR(INDEX('🔄 Rotação Duplas'!$D$92:$D$101,MATCH(D81,'🔄 Rotação Duplas'!$C$92:$C$101,0)),INDEX('🔄 Rotação Duplas'!$C$92:$C$101,MATCH(D81,'🔄 Rotação Duplas'!$D$92:$D$101,0))),"Semana 8",IFERROR(INDEX('🔄 Rotação Duplas'!$D$106:$D$115,MATCH(D81,'🔄 Rotação Duplas'!$C$106:$C$115,0)),INDEX('🔄 Rotação Duplas'!$C$106:$C$115,MATCH(D81,'🔄 Rotação Duplas'!$D$106:$D$115,0)))),""))</f>
        <v>Marta Torres</v>
      </c>
      <c r="T81">
        <f t="shared" si="8"/>
        <v>0</v>
      </c>
    </row>
    <row r="82" spans="2:20" ht="18" customHeight="1" x14ac:dyDescent="0.2">
      <c r="B82" s="85" t="s">
        <v>47</v>
      </c>
      <c r="C82" s="86" t="str">
        <f t="shared" si="6"/>
        <v>Desafio 4</v>
      </c>
      <c r="D82" s="87" t="str">
        <f>'⚙️ Configuração'!C45</f>
        <v>Rita Carmo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81">
        <f>(E82*'⚙️ Configuração'!$C$6+F82*'⚙️ Configuração'!$C$7+G82*'⚙️ Configuração'!$C$8+H82*'⚙️ Configuração'!$C$9+I82*'⚙️ Configuração'!$C$10+J82*'⚙️ Configuração'!$C$11)*IF(N82="S",2,1)</f>
        <v>0</v>
      </c>
      <c r="L82" s="90" t="s">
        <v>167</v>
      </c>
      <c r="M82" s="82">
        <f>IF(L82="AT1",'⚙️ Configuração'!$C$14,IF(L82="AT2",'⚙️ Configuração'!$C$15,IF(L82="FI",'⚙️ Configuração'!$C$16,IF(L82="FJ",'⚙️ Configuração'!$C$17,0))))</f>
        <v>0</v>
      </c>
      <c r="N82" s="91" t="s">
        <v>167</v>
      </c>
      <c r="O82" s="92"/>
      <c r="P82" s="83">
        <f>IF(O82="1",'⚙️ Configuração'!$C$21,IF(O82="2",'⚙️ Configuração'!$C$22,IF(O82="3",'⚙️ Configuração'!$C$23,IF(O82="Outro",'⚙️ Configuração'!$C$24,0))))</f>
        <v>0</v>
      </c>
      <c r="Q82" s="84">
        <f t="shared" si="7"/>
        <v>0</v>
      </c>
      <c r="R82" s="40" t="str">
        <f t="shared" si="1"/>
        <v>Semana 1 — ver 🔄</v>
      </c>
      <c r="S82" t="str" cm="1">
        <f t="array" ref="S82">IF(D82="","",IFERROR(_xlfn.SWITCH(B82,"Semana 1",IFERROR(INDEX('🔄 Rotação Duplas'!$D$8:$D$17,MATCH(D82,'🔄 Rotação Duplas'!$C$8:$C$17,0)),INDEX('🔄 Rotação Duplas'!$C$8:$C$17,MATCH(D82,'🔄 Rotação Duplas'!$D$8:$D$17,0))),"Semana 2",IFERROR(INDEX('🔄 Rotação Duplas'!$D$22:$D$31,MATCH(D82,'🔄 Rotação Duplas'!$C$22:$C$31,0)),INDEX('🔄 Rotação Duplas'!$C$22:$C$31,MATCH(D82,'🔄 Rotação Duplas'!$D$22:$D$31,0))),"Semana 3",IFERROR(INDEX('🔄 Rotação Duplas'!$D$36:$D$45,MATCH(D82,'🔄 Rotação Duplas'!$C$36:$C$45,0)),INDEX('🔄 Rotação Duplas'!$C$36:$C$45,MATCH(D82,'🔄 Rotação Duplas'!$D$36:$D$45,0))),"Semana 4",IFERROR(INDEX('🔄 Rotação Duplas'!$D$50:$D$59,MATCH(D82,'🔄 Rotação Duplas'!$C$50:$C$59,0)),INDEX('🔄 Rotação Duplas'!$C$50:$C$59,MATCH(D82,'🔄 Rotação Duplas'!$D$50:$D$59,0))),"Semana 5",IFERROR(INDEX('🔄 Rotação Duplas'!$D$64:$D$73,MATCH(D82,'🔄 Rotação Duplas'!$C$64:$C$73,0)),INDEX('🔄 Rotação Duplas'!$C$64:$C$73,MATCH(D82,'🔄 Rotação Duplas'!$D$64:$D$73,0))),"Semana 6",IFERROR(INDEX('🔄 Rotação Duplas'!$D$78:$D$87,MATCH(D82,'🔄 Rotação Duplas'!$C$78:$C$87,0)),INDEX('🔄 Rotação Duplas'!$C$78:$C$87,MATCH(D82,'🔄 Rotação Duplas'!$D$78:$D$87,0))),"Semana 7",IFERROR(INDEX('🔄 Rotação Duplas'!$D$92:$D$101,MATCH(D82,'🔄 Rotação Duplas'!$C$92:$C$101,0)),INDEX('🔄 Rotação Duplas'!$C$92:$C$101,MATCH(D82,'🔄 Rotação Duplas'!$D$92:$D$101,0))),"Semana 8",IFERROR(INDEX('🔄 Rotação Duplas'!$D$106:$D$115,MATCH(D82,'🔄 Rotação Duplas'!$C$106:$C$115,0)),INDEX('🔄 Rotação Duplas'!$C$106:$C$115,MATCH(D82,'🔄 Rotação Duplas'!$D$106:$D$115,0)))),""))</f>
        <v>João Xavier</v>
      </c>
      <c r="T82">
        <f t="shared" si="8"/>
        <v>0</v>
      </c>
    </row>
    <row r="83" spans="2:20" ht="18" customHeight="1" x14ac:dyDescent="0.2">
      <c r="B83" s="78" t="s">
        <v>47</v>
      </c>
      <c r="C83" s="79" t="str">
        <f t="shared" si="6"/>
        <v>Desafio 4</v>
      </c>
      <c r="D83" s="80" t="str">
        <f>'⚙️ Configuração'!C46</f>
        <v>William Fernandes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81">
        <f>(E83*'⚙️ Configuração'!$C$6+F83*'⚙️ Configuração'!$C$7+G83*'⚙️ Configuração'!$C$8+H83*'⚙️ Configuração'!$C$9+I83*'⚙️ Configuração'!$C$10+J83*'⚙️ Configuração'!$C$11)*IF(N83="S",2,1)</f>
        <v>0</v>
      </c>
      <c r="L83" s="90" t="s">
        <v>167</v>
      </c>
      <c r="M83" s="82">
        <f>IF(L83="AT1",'⚙️ Configuração'!$C$14,IF(L83="AT2",'⚙️ Configuração'!$C$15,IF(L83="FI",'⚙️ Configuração'!$C$16,IF(L83="FJ",'⚙️ Configuração'!$C$17,0))))</f>
        <v>0</v>
      </c>
      <c r="N83" s="91" t="s">
        <v>167</v>
      </c>
      <c r="O83" s="92"/>
      <c r="P83" s="83">
        <f>IF(O83="1",'⚙️ Configuração'!$C$21,IF(O83="2",'⚙️ Configuração'!$C$22,IF(O83="3",'⚙️ Configuração'!$C$23,IF(O83="Outro",'⚙️ Configuração'!$C$24,0))))</f>
        <v>0</v>
      </c>
      <c r="Q83" s="84">
        <f t="shared" si="7"/>
        <v>0</v>
      </c>
      <c r="R83" s="40" t="str">
        <f t="shared" si="1"/>
        <v>Semana 1 — ver 🔄</v>
      </c>
      <c r="S83" t="str" cm="1">
        <f t="array" ref="S83">IF(D83="","",IFERROR(_xlfn.SWITCH(B83,"Semana 1",IFERROR(INDEX('🔄 Rotação Duplas'!$D$8:$D$17,MATCH(D83,'🔄 Rotação Duplas'!$C$8:$C$17,0)),INDEX('🔄 Rotação Duplas'!$C$8:$C$17,MATCH(D83,'🔄 Rotação Duplas'!$D$8:$D$17,0))),"Semana 2",IFERROR(INDEX('🔄 Rotação Duplas'!$D$22:$D$31,MATCH(D83,'🔄 Rotação Duplas'!$C$22:$C$31,0)),INDEX('🔄 Rotação Duplas'!$C$22:$C$31,MATCH(D83,'🔄 Rotação Duplas'!$D$22:$D$31,0))),"Semana 3",IFERROR(INDEX('🔄 Rotação Duplas'!$D$36:$D$45,MATCH(D83,'🔄 Rotação Duplas'!$C$36:$C$45,0)),INDEX('🔄 Rotação Duplas'!$C$36:$C$45,MATCH(D83,'🔄 Rotação Duplas'!$D$36:$D$45,0))),"Semana 4",IFERROR(INDEX('🔄 Rotação Duplas'!$D$50:$D$59,MATCH(D83,'🔄 Rotação Duplas'!$C$50:$C$59,0)),INDEX('🔄 Rotação Duplas'!$C$50:$C$59,MATCH(D83,'🔄 Rotação Duplas'!$D$50:$D$59,0))),"Semana 5",IFERROR(INDEX('🔄 Rotação Duplas'!$D$64:$D$73,MATCH(D83,'🔄 Rotação Duplas'!$C$64:$C$73,0)),INDEX('🔄 Rotação Duplas'!$C$64:$C$73,MATCH(D83,'🔄 Rotação Duplas'!$D$64:$D$73,0))),"Semana 6",IFERROR(INDEX('🔄 Rotação Duplas'!$D$78:$D$87,MATCH(D83,'🔄 Rotação Duplas'!$C$78:$C$87,0)),INDEX('🔄 Rotação Duplas'!$C$78:$C$87,MATCH(D83,'🔄 Rotação Duplas'!$D$78:$D$87,0))),"Semana 7",IFERROR(INDEX('🔄 Rotação Duplas'!$D$92:$D$101,MATCH(D83,'🔄 Rotação Duplas'!$C$92:$C$101,0)),INDEX('🔄 Rotação Duplas'!$C$92:$C$101,MATCH(D83,'🔄 Rotação Duplas'!$D$92:$D$101,0))),"Semana 8",IFERROR(INDEX('🔄 Rotação Duplas'!$D$106:$D$115,MATCH(D83,'🔄 Rotação Duplas'!$C$106:$C$115,0)),INDEX('🔄 Rotação Duplas'!$C$106:$C$115,MATCH(D83,'🔄 Rotação Duplas'!$D$106:$D$115,0)))),""))</f>
        <v>Alexandra Correia</v>
      </c>
      <c r="T83">
        <f t="shared" si="8"/>
        <v>0</v>
      </c>
    </row>
    <row r="84" spans="2:20" ht="18" customHeight="1" x14ac:dyDescent="0.2">
      <c r="B84" s="85" t="s">
        <v>47</v>
      </c>
      <c r="C84" s="86" t="str">
        <f t="shared" si="6"/>
        <v>Desafio 4</v>
      </c>
      <c r="D84" s="87" t="str">
        <f>'⚙️ Configuração'!C47</f>
        <v>-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81">
        <f>(E84*'⚙️ Configuração'!$C$6+F84*'⚙️ Configuração'!$C$7+G84*'⚙️ Configuração'!$C$8+H84*'⚙️ Configuração'!$C$9+I84*'⚙️ Configuração'!$C$10+J84*'⚙️ Configuração'!$C$11)*IF(N84="S",2,1)</f>
        <v>0</v>
      </c>
      <c r="L84" s="90" t="s">
        <v>167</v>
      </c>
      <c r="M84" s="82">
        <f>IF(L84="AT1",'⚙️ Configuração'!$C$14,IF(L84="AT2",'⚙️ Configuração'!$C$15,IF(L84="FI",'⚙️ Configuração'!$C$16,IF(L84="FJ",'⚙️ Configuração'!$C$17,0))))</f>
        <v>0</v>
      </c>
      <c r="N84" s="91" t="s">
        <v>167</v>
      </c>
      <c r="O84" s="92"/>
      <c r="P84" s="83">
        <f>IF(O84="1",'⚙️ Configuração'!$C$21,IF(O84="2",'⚙️ Configuração'!$C$22,IF(O84="3",'⚙️ Configuração'!$C$23,IF(O84="Outro",'⚙️ Configuração'!$C$24,0))))</f>
        <v>0</v>
      </c>
      <c r="Q84" s="84">
        <f t="shared" si="7"/>
        <v>0</v>
      </c>
      <c r="R84" s="40" t="str">
        <f t="shared" si="1"/>
        <v>Semana 1 — ver 🔄</v>
      </c>
      <c r="S84" t="str" cm="1">
        <f t="array" ref="S84">IF(D84="","",IFERROR(_xlfn.SWITCH(B84,"Semana 1",IFERROR(INDEX('🔄 Rotação Duplas'!$D$8:$D$17,MATCH(D84,'🔄 Rotação Duplas'!$C$8:$C$17,0)),INDEX('🔄 Rotação Duplas'!$C$8:$C$17,MATCH(D84,'🔄 Rotação Duplas'!$D$8:$D$17,0))),"Semana 2",IFERROR(INDEX('🔄 Rotação Duplas'!$D$22:$D$31,MATCH(D84,'🔄 Rotação Duplas'!$C$22:$C$31,0)),INDEX('🔄 Rotação Duplas'!$C$22:$C$31,MATCH(D84,'🔄 Rotação Duplas'!$D$22:$D$31,0))),"Semana 3",IFERROR(INDEX('🔄 Rotação Duplas'!$D$36:$D$45,MATCH(D84,'🔄 Rotação Duplas'!$C$36:$C$45,0)),INDEX('🔄 Rotação Duplas'!$C$36:$C$45,MATCH(D84,'🔄 Rotação Duplas'!$D$36:$D$45,0))),"Semana 4",IFERROR(INDEX('🔄 Rotação Duplas'!$D$50:$D$59,MATCH(D84,'🔄 Rotação Duplas'!$C$50:$C$59,0)),INDEX('🔄 Rotação Duplas'!$C$50:$C$59,MATCH(D84,'🔄 Rotação Duplas'!$D$50:$D$59,0))),"Semana 5",IFERROR(INDEX('🔄 Rotação Duplas'!$D$64:$D$73,MATCH(D84,'🔄 Rotação Duplas'!$C$64:$C$73,0)),INDEX('🔄 Rotação Duplas'!$C$64:$C$73,MATCH(D84,'🔄 Rotação Duplas'!$D$64:$D$73,0))),"Semana 6",IFERROR(INDEX('🔄 Rotação Duplas'!$D$78:$D$87,MATCH(D84,'🔄 Rotação Duplas'!$C$78:$C$87,0)),INDEX('🔄 Rotação Duplas'!$C$78:$C$87,MATCH(D84,'🔄 Rotação Duplas'!$D$78:$D$87,0))),"Semana 7",IFERROR(INDEX('🔄 Rotação Duplas'!$D$92:$D$101,MATCH(D84,'🔄 Rotação Duplas'!$C$92:$C$101,0)),INDEX('🔄 Rotação Duplas'!$C$92:$C$101,MATCH(D84,'🔄 Rotação Duplas'!$D$92:$D$101,0))),"Semana 8",IFERROR(INDEX('🔄 Rotação Duplas'!$D$106:$D$115,MATCH(D84,'🔄 Rotação Duplas'!$C$106:$C$115,0)),INDEX('🔄 Rotação Duplas'!$C$106:$C$115,MATCH(D84,'🔄 Rotação Duplas'!$D$106:$D$115,0)))),""))</f>
        <v>-</v>
      </c>
      <c r="T84">
        <f t="shared" si="8"/>
        <v>0</v>
      </c>
    </row>
    <row r="85" spans="2:20" ht="18" customHeight="1" x14ac:dyDescent="0.2">
      <c r="B85" s="78" t="s">
        <v>47</v>
      </c>
      <c r="C85" s="79" t="str">
        <f t="shared" si="6"/>
        <v>Desafio 4</v>
      </c>
      <c r="D85" s="80" t="str">
        <f>'⚙️ Configuração'!C48</f>
        <v>-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81">
        <f>(E85*'⚙️ Configuração'!$C$6+F85*'⚙️ Configuração'!$C$7+G85*'⚙️ Configuração'!$C$8+H85*'⚙️ Configuração'!$C$9+I85*'⚙️ Configuração'!$C$10+J85*'⚙️ Configuração'!$C$11)*IF(N85="S",2,1)</f>
        <v>0</v>
      </c>
      <c r="L85" s="90" t="s">
        <v>167</v>
      </c>
      <c r="M85" s="82">
        <f>IF(L85="AT1",'⚙️ Configuração'!$C$14,IF(L85="AT2",'⚙️ Configuração'!$C$15,IF(L85="FI",'⚙️ Configuração'!$C$16,IF(L85="FJ",'⚙️ Configuração'!$C$17,0))))</f>
        <v>0</v>
      </c>
      <c r="N85" s="91" t="s">
        <v>167</v>
      </c>
      <c r="O85" s="92"/>
      <c r="P85" s="83">
        <f>IF(O85="1",'⚙️ Configuração'!$C$21,IF(O85="2",'⚙️ Configuração'!$C$22,IF(O85="3",'⚙️ Configuração'!$C$23,IF(O85="Outro",'⚙️ Configuração'!$C$24,0))))</f>
        <v>0</v>
      </c>
      <c r="Q85" s="84">
        <f t="shared" si="7"/>
        <v>0</v>
      </c>
      <c r="R85" s="40" t="str">
        <f t="shared" si="1"/>
        <v>Semana 1 — ver 🔄</v>
      </c>
      <c r="S85" t="str" cm="1">
        <f t="array" ref="S85">IF(D85="","",IFERROR(_xlfn.SWITCH(B85,"Semana 1",IFERROR(INDEX('🔄 Rotação Duplas'!$D$8:$D$17,MATCH(D85,'🔄 Rotação Duplas'!$C$8:$C$17,0)),INDEX('🔄 Rotação Duplas'!$C$8:$C$17,MATCH(D85,'🔄 Rotação Duplas'!$D$8:$D$17,0))),"Semana 2",IFERROR(INDEX('🔄 Rotação Duplas'!$D$22:$D$31,MATCH(D85,'🔄 Rotação Duplas'!$C$22:$C$31,0)),INDEX('🔄 Rotação Duplas'!$C$22:$C$31,MATCH(D85,'🔄 Rotação Duplas'!$D$22:$D$31,0))),"Semana 3",IFERROR(INDEX('🔄 Rotação Duplas'!$D$36:$D$45,MATCH(D85,'🔄 Rotação Duplas'!$C$36:$C$45,0)),INDEX('🔄 Rotação Duplas'!$C$36:$C$45,MATCH(D85,'🔄 Rotação Duplas'!$D$36:$D$45,0))),"Semana 4",IFERROR(INDEX('🔄 Rotação Duplas'!$D$50:$D$59,MATCH(D85,'🔄 Rotação Duplas'!$C$50:$C$59,0)),INDEX('🔄 Rotação Duplas'!$C$50:$C$59,MATCH(D85,'🔄 Rotação Duplas'!$D$50:$D$59,0))),"Semana 5",IFERROR(INDEX('🔄 Rotação Duplas'!$D$64:$D$73,MATCH(D85,'🔄 Rotação Duplas'!$C$64:$C$73,0)),INDEX('🔄 Rotação Duplas'!$C$64:$C$73,MATCH(D85,'🔄 Rotação Duplas'!$D$64:$D$73,0))),"Semana 6",IFERROR(INDEX('🔄 Rotação Duplas'!$D$78:$D$87,MATCH(D85,'🔄 Rotação Duplas'!$C$78:$C$87,0)),INDEX('🔄 Rotação Duplas'!$C$78:$C$87,MATCH(D85,'🔄 Rotação Duplas'!$D$78:$D$87,0))),"Semana 7",IFERROR(INDEX('🔄 Rotação Duplas'!$D$92:$D$101,MATCH(D85,'🔄 Rotação Duplas'!$C$92:$C$101,0)),INDEX('🔄 Rotação Duplas'!$C$92:$C$101,MATCH(D85,'🔄 Rotação Duplas'!$D$92:$D$101,0))),"Semana 8",IFERROR(INDEX('🔄 Rotação Duplas'!$D$106:$D$115,MATCH(D85,'🔄 Rotação Duplas'!$C$106:$C$115,0)),INDEX('🔄 Rotação Duplas'!$C$106:$C$115,MATCH(D85,'🔄 Rotação Duplas'!$D$106:$D$115,0)))),""))</f>
        <v>-</v>
      </c>
      <c r="T85">
        <f t="shared" si="8"/>
        <v>0</v>
      </c>
    </row>
    <row r="86" spans="2:20" ht="18" customHeight="1" x14ac:dyDescent="0.2">
      <c r="B86" s="85" t="s">
        <v>47</v>
      </c>
      <c r="C86" s="86" t="str">
        <f t="shared" si="6"/>
        <v>Desafio 4</v>
      </c>
      <c r="D86" s="87" t="str">
        <f>'⚙️ Configuração'!C49</f>
        <v>-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81">
        <f>(E86*'⚙️ Configuração'!$C$6+F86*'⚙️ Configuração'!$C$7+G86*'⚙️ Configuração'!$C$8+H86*'⚙️ Configuração'!$C$9+I86*'⚙️ Configuração'!$C$10+J86*'⚙️ Configuração'!$C$11)*IF(N86="S",2,1)</f>
        <v>0</v>
      </c>
      <c r="L86" s="90" t="s">
        <v>167</v>
      </c>
      <c r="M86" s="82">
        <f>IF(L86="AT1",'⚙️ Configuração'!$C$14,IF(L86="AT2",'⚙️ Configuração'!$C$15,IF(L86="FI",'⚙️ Configuração'!$C$16,IF(L86="FJ",'⚙️ Configuração'!$C$17,0))))</f>
        <v>0</v>
      </c>
      <c r="N86" s="91" t="s">
        <v>167</v>
      </c>
      <c r="O86" s="92"/>
      <c r="P86" s="83">
        <f>IF(O86="1",'⚙️ Configuração'!$C$21,IF(O86="2",'⚙️ Configuração'!$C$22,IF(O86="3",'⚙️ Configuração'!$C$23,IF(O86="Outro",'⚙️ Configuração'!$C$24,0))))</f>
        <v>0</v>
      </c>
      <c r="Q86" s="84">
        <f t="shared" si="7"/>
        <v>0</v>
      </c>
      <c r="R86" s="40" t="str">
        <f t="shared" si="1"/>
        <v>Semana 1 — ver 🔄</v>
      </c>
      <c r="S86" t="str" cm="1">
        <f t="array" ref="S86">IF(D86="","",IFERROR(_xlfn.SWITCH(B86,"Semana 1",IFERROR(INDEX('🔄 Rotação Duplas'!$D$8:$D$17,MATCH(D86,'🔄 Rotação Duplas'!$C$8:$C$17,0)),INDEX('🔄 Rotação Duplas'!$C$8:$C$17,MATCH(D86,'🔄 Rotação Duplas'!$D$8:$D$17,0))),"Semana 2",IFERROR(INDEX('🔄 Rotação Duplas'!$D$22:$D$31,MATCH(D86,'🔄 Rotação Duplas'!$C$22:$C$31,0)),INDEX('🔄 Rotação Duplas'!$C$22:$C$31,MATCH(D86,'🔄 Rotação Duplas'!$D$22:$D$31,0))),"Semana 3",IFERROR(INDEX('🔄 Rotação Duplas'!$D$36:$D$45,MATCH(D86,'🔄 Rotação Duplas'!$C$36:$C$45,0)),INDEX('🔄 Rotação Duplas'!$C$36:$C$45,MATCH(D86,'🔄 Rotação Duplas'!$D$36:$D$45,0))),"Semana 4",IFERROR(INDEX('🔄 Rotação Duplas'!$D$50:$D$59,MATCH(D86,'🔄 Rotação Duplas'!$C$50:$C$59,0)),INDEX('🔄 Rotação Duplas'!$C$50:$C$59,MATCH(D86,'🔄 Rotação Duplas'!$D$50:$D$59,0))),"Semana 5",IFERROR(INDEX('🔄 Rotação Duplas'!$D$64:$D$73,MATCH(D86,'🔄 Rotação Duplas'!$C$64:$C$73,0)),INDEX('🔄 Rotação Duplas'!$C$64:$C$73,MATCH(D86,'🔄 Rotação Duplas'!$D$64:$D$73,0))),"Semana 6",IFERROR(INDEX('🔄 Rotação Duplas'!$D$78:$D$87,MATCH(D86,'🔄 Rotação Duplas'!$C$78:$C$87,0)),INDEX('🔄 Rotação Duplas'!$C$78:$C$87,MATCH(D86,'🔄 Rotação Duplas'!$D$78:$D$87,0))),"Semana 7",IFERROR(INDEX('🔄 Rotação Duplas'!$D$92:$D$101,MATCH(D86,'🔄 Rotação Duplas'!$C$92:$C$101,0)),INDEX('🔄 Rotação Duplas'!$C$92:$C$101,MATCH(D86,'🔄 Rotação Duplas'!$D$92:$D$101,0))),"Semana 8",IFERROR(INDEX('🔄 Rotação Duplas'!$D$106:$D$115,MATCH(D86,'🔄 Rotação Duplas'!$C$106:$C$115,0)),INDEX('🔄 Rotação Duplas'!$C$106:$C$115,MATCH(D86,'🔄 Rotação Duplas'!$D$106:$D$115,0)))),""))</f>
        <v>-</v>
      </c>
      <c r="T86">
        <f t="shared" si="8"/>
        <v>0</v>
      </c>
    </row>
    <row r="87" spans="2:20" ht="18" customHeight="1" x14ac:dyDescent="0.2">
      <c r="B87" s="78" t="s">
        <v>60</v>
      </c>
      <c r="C87" s="79" t="str">
        <f t="shared" ref="C87:C106" si="9">"Desafio 5"</f>
        <v>Desafio 5</v>
      </c>
      <c r="D87" s="80" t="str">
        <f>'⚙️ Configuração'!C30</f>
        <v>Carla Cantante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81">
        <f>(E87*'⚙️ Configuração'!$C$6+F87*'⚙️ Configuração'!$C$7+G87*'⚙️ Configuração'!$C$8+H87*'⚙️ Configuração'!$C$9+I87*'⚙️ Configuração'!$C$10+J87*'⚙️ Configuração'!$C$11)*IF(N87="S",2,1)</f>
        <v>0</v>
      </c>
      <c r="L87" s="90" t="s">
        <v>167</v>
      </c>
      <c r="M87" s="82">
        <f>IF(L87="AT1",'⚙️ Configuração'!$C$14,IF(L87="AT2",'⚙️ Configuração'!$C$15,IF(L87="FI",'⚙️ Configuração'!$C$16,IF(L87="FJ",'⚙️ Configuração'!$C$17,0))))</f>
        <v>0</v>
      </c>
      <c r="N87" s="91" t="s">
        <v>167</v>
      </c>
      <c r="O87" s="92"/>
      <c r="P87" s="83">
        <f>IF(O87="1",'⚙️ Configuração'!$C$21,IF(O87="2",'⚙️ Configuração'!$C$22,IF(O87="3",'⚙️ Configuração'!$C$23,IF(O87="Outro",'⚙️ Configuração'!$C$24,0))))</f>
        <v>0</v>
      </c>
      <c r="Q87" s="84">
        <f t="shared" si="7"/>
        <v>0</v>
      </c>
      <c r="R87" s="40" t="str">
        <f t="shared" si="1"/>
        <v>Semana 1 — ver 🔄</v>
      </c>
      <c r="S87" t="str" cm="1">
        <f t="array" ref="S87">IF(D87="","",IFERROR(_xlfn.SWITCH(B87,"Semana 1",IFERROR(INDEX('🔄 Rotação Duplas'!$D$8:$D$17,MATCH(D87,'🔄 Rotação Duplas'!$C$8:$C$17,0)),INDEX('🔄 Rotação Duplas'!$C$8:$C$17,MATCH(D87,'🔄 Rotação Duplas'!$D$8:$D$17,0))),"Semana 2",IFERROR(INDEX('🔄 Rotação Duplas'!$D$22:$D$31,MATCH(D87,'🔄 Rotação Duplas'!$C$22:$C$31,0)),INDEX('🔄 Rotação Duplas'!$C$22:$C$31,MATCH(D87,'🔄 Rotação Duplas'!$D$22:$D$31,0))),"Semana 3",IFERROR(INDEX('🔄 Rotação Duplas'!$D$36:$D$45,MATCH(D87,'🔄 Rotação Duplas'!$C$36:$C$45,0)),INDEX('🔄 Rotação Duplas'!$C$36:$C$45,MATCH(D87,'🔄 Rotação Duplas'!$D$36:$D$45,0))),"Semana 4",IFERROR(INDEX('🔄 Rotação Duplas'!$D$50:$D$59,MATCH(D87,'🔄 Rotação Duplas'!$C$50:$C$59,0)),INDEX('🔄 Rotação Duplas'!$C$50:$C$59,MATCH(D87,'🔄 Rotação Duplas'!$D$50:$D$59,0))),"Semana 5",IFERROR(INDEX('🔄 Rotação Duplas'!$D$64:$D$73,MATCH(D87,'🔄 Rotação Duplas'!$C$64:$C$73,0)),INDEX('🔄 Rotação Duplas'!$C$64:$C$73,MATCH(D87,'🔄 Rotação Duplas'!$D$64:$D$73,0))),"Semana 6",IFERROR(INDEX('🔄 Rotação Duplas'!$D$78:$D$87,MATCH(D87,'🔄 Rotação Duplas'!$C$78:$C$87,0)),INDEX('🔄 Rotação Duplas'!$C$78:$C$87,MATCH(D87,'🔄 Rotação Duplas'!$D$78:$D$87,0))),"Semana 7",IFERROR(INDEX('🔄 Rotação Duplas'!$D$92:$D$101,MATCH(D87,'🔄 Rotação Duplas'!$C$92:$C$101,0)),INDEX('🔄 Rotação Duplas'!$C$92:$C$101,MATCH(D87,'🔄 Rotação Duplas'!$D$92:$D$101,0))),"Semana 8",IFERROR(INDEX('🔄 Rotação Duplas'!$D$106:$D$115,MATCH(D87,'🔄 Rotação Duplas'!$C$106:$C$115,0)),INDEX('🔄 Rotação Duplas'!$C$106:$C$115,MATCH(D87,'🔄 Rotação Duplas'!$D$106:$D$115,0)))),""))</f>
        <v/>
      </c>
      <c r="T87">
        <f t="shared" si="8"/>
        <v>0</v>
      </c>
    </row>
    <row r="88" spans="2:20" ht="18" customHeight="1" x14ac:dyDescent="0.2">
      <c r="B88" s="85" t="s">
        <v>60</v>
      </c>
      <c r="C88" s="86" t="str">
        <f t="shared" si="9"/>
        <v>Desafio 5</v>
      </c>
      <c r="D88" s="87" t="str">
        <f>'⚙️ Configuração'!C31</f>
        <v>Elisabete Mendes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81">
        <f>(E88*'⚙️ Configuração'!$C$6+F88*'⚙️ Configuração'!$C$7+G88*'⚙️ Configuração'!$C$8+H88*'⚙️ Configuração'!$C$9+I88*'⚙️ Configuração'!$C$10+J88*'⚙️ Configuração'!$C$11)*IF(N88="S",2,1)</f>
        <v>0</v>
      </c>
      <c r="L88" s="90" t="s">
        <v>167</v>
      </c>
      <c r="M88" s="82">
        <f>IF(L88="AT1",'⚙️ Configuração'!$C$14,IF(L88="AT2",'⚙️ Configuração'!$C$15,IF(L88="FI",'⚙️ Configuração'!$C$16,IF(L88="FJ",'⚙️ Configuração'!$C$17,0))))</f>
        <v>0</v>
      </c>
      <c r="N88" s="91" t="s">
        <v>167</v>
      </c>
      <c r="O88" s="92"/>
      <c r="P88" s="83">
        <f>IF(O88="1",'⚙️ Configuração'!$C$21,IF(O88="2",'⚙️ Configuração'!$C$22,IF(O88="3",'⚙️ Configuração'!$C$23,IF(O88="Outro",'⚙️ Configuração'!$C$24,0))))</f>
        <v>0</v>
      </c>
      <c r="Q88" s="84">
        <f t="shared" si="7"/>
        <v>0</v>
      </c>
      <c r="R88" s="40" t="str">
        <f t="shared" si="1"/>
        <v>Semana 1 — ver 🔄</v>
      </c>
      <c r="S88" t="str" cm="1">
        <f t="array" ref="S88">IF(D88="","",IFERROR(_xlfn.SWITCH(B88,"Semana 1",IFERROR(INDEX('🔄 Rotação Duplas'!$D$8:$D$17,MATCH(D88,'🔄 Rotação Duplas'!$C$8:$C$17,0)),INDEX('🔄 Rotação Duplas'!$C$8:$C$17,MATCH(D88,'🔄 Rotação Duplas'!$D$8:$D$17,0))),"Semana 2",IFERROR(INDEX('🔄 Rotação Duplas'!$D$22:$D$31,MATCH(D88,'🔄 Rotação Duplas'!$C$22:$C$31,0)),INDEX('🔄 Rotação Duplas'!$C$22:$C$31,MATCH(D88,'🔄 Rotação Duplas'!$D$22:$D$31,0))),"Semana 3",IFERROR(INDEX('🔄 Rotação Duplas'!$D$36:$D$45,MATCH(D88,'🔄 Rotação Duplas'!$C$36:$C$45,0)),INDEX('🔄 Rotação Duplas'!$C$36:$C$45,MATCH(D88,'🔄 Rotação Duplas'!$D$36:$D$45,0))),"Semana 4",IFERROR(INDEX('🔄 Rotação Duplas'!$D$50:$D$59,MATCH(D88,'🔄 Rotação Duplas'!$C$50:$C$59,0)),INDEX('🔄 Rotação Duplas'!$C$50:$C$59,MATCH(D88,'🔄 Rotação Duplas'!$D$50:$D$59,0))),"Semana 5",IFERROR(INDEX('🔄 Rotação Duplas'!$D$64:$D$73,MATCH(D88,'🔄 Rotação Duplas'!$C$64:$C$73,0)),INDEX('🔄 Rotação Duplas'!$C$64:$C$73,MATCH(D88,'🔄 Rotação Duplas'!$D$64:$D$73,0))),"Semana 6",IFERROR(INDEX('🔄 Rotação Duplas'!$D$78:$D$87,MATCH(D88,'🔄 Rotação Duplas'!$C$78:$C$87,0)),INDEX('🔄 Rotação Duplas'!$C$78:$C$87,MATCH(D88,'🔄 Rotação Duplas'!$D$78:$D$87,0))),"Semana 7",IFERROR(INDEX('🔄 Rotação Duplas'!$D$92:$D$101,MATCH(D88,'🔄 Rotação Duplas'!$C$92:$C$101,0)),INDEX('🔄 Rotação Duplas'!$C$92:$C$101,MATCH(D88,'🔄 Rotação Duplas'!$D$92:$D$101,0))),"Semana 8",IFERROR(INDEX('🔄 Rotação Duplas'!$D$106:$D$115,MATCH(D88,'🔄 Rotação Duplas'!$C$106:$C$115,0)),INDEX('🔄 Rotação Duplas'!$C$106:$C$115,MATCH(D88,'🔄 Rotação Duplas'!$D$106:$D$115,0)))),""))</f>
        <v/>
      </c>
      <c r="T88">
        <f t="shared" si="8"/>
        <v>0</v>
      </c>
    </row>
    <row r="89" spans="2:20" ht="18" customHeight="1" x14ac:dyDescent="0.2">
      <c r="B89" s="78" t="s">
        <v>60</v>
      </c>
      <c r="C89" s="79" t="str">
        <f t="shared" si="9"/>
        <v>Desafio 5</v>
      </c>
      <c r="D89" s="80" t="str">
        <f>'⚙️ Configuração'!C32</f>
        <v>Filipa Cunha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81">
        <f>(E89*'⚙️ Configuração'!$C$6+F89*'⚙️ Configuração'!$C$7+G89*'⚙️ Configuração'!$C$8+H89*'⚙️ Configuração'!$C$9+I89*'⚙️ Configuração'!$C$10+J89*'⚙️ Configuração'!$C$11)*IF(N89="S",2,1)</f>
        <v>0</v>
      </c>
      <c r="L89" s="90" t="s">
        <v>167</v>
      </c>
      <c r="M89" s="82">
        <f>IF(L89="AT1",'⚙️ Configuração'!$C$14,IF(L89="AT2",'⚙️ Configuração'!$C$15,IF(L89="FI",'⚙️ Configuração'!$C$16,IF(L89="FJ",'⚙️ Configuração'!$C$17,0))))</f>
        <v>0</v>
      </c>
      <c r="N89" s="91" t="s">
        <v>167</v>
      </c>
      <c r="O89" s="92"/>
      <c r="P89" s="83">
        <f>IF(O89="1",'⚙️ Configuração'!$C$21,IF(O89="2",'⚙️ Configuração'!$C$22,IF(O89="3",'⚙️ Configuração'!$C$23,IF(O89="Outro",'⚙️ Configuração'!$C$24,0))))</f>
        <v>0</v>
      </c>
      <c r="Q89" s="84">
        <f t="shared" si="7"/>
        <v>0</v>
      </c>
      <c r="R89" s="40" t="str">
        <f t="shared" si="1"/>
        <v>Semana 1 — ver 🔄</v>
      </c>
      <c r="S89" t="str" cm="1">
        <f t="array" ref="S89">IF(D89="","",IFERROR(_xlfn.SWITCH(B89,"Semana 1",IFERROR(INDEX('🔄 Rotação Duplas'!$D$8:$D$17,MATCH(D89,'🔄 Rotação Duplas'!$C$8:$C$17,0)),INDEX('🔄 Rotação Duplas'!$C$8:$C$17,MATCH(D89,'🔄 Rotação Duplas'!$D$8:$D$17,0))),"Semana 2",IFERROR(INDEX('🔄 Rotação Duplas'!$D$22:$D$31,MATCH(D89,'🔄 Rotação Duplas'!$C$22:$C$31,0)),INDEX('🔄 Rotação Duplas'!$C$22:$C$31,MATCH(D89,'🔄 Rotação Duplas'!$D$22:$D$31,0))),"Semana 3",IFERROR(INDEX('🔄 Rotação Duplas'!$D$36:$D$45,MATCH(D89,'🔄 Rotação Duplas'!$C$36:$C$45,0)),INDEX('🔄 Rotação Duplas'!$C$36:$C$45,MATCH(D89,'🔄 Rotação Duplas'!$D$36:$D$45,0))),"Semana 4",IFERROR(INDEX('🔄 Rotação Duplas'!$D$50:$D$59,MATCH(D89,'🔄 Rotação Duplas'!$C$50:$C$59,0)),INDEX('🔄 Rotação Duplas'!$C$50:$C$59,MATCH(D89,'🔄 Rotação Duplas'!$D$50:$D$59,0))),"Semana 5",IFERROR(INDEX('🔄 Rotação Duplas'!$D$64:$D$73,MATCH(D89,'🔄 Rotação Duplas'!$C$64:$C$73,0)),INDEX('🔄 Rotação Duplas'!$C$64:$C$73,MATCH(D89,'🔄 Rotação Duplas'!$D$64:$D$73,0))),"Semana 6",IFERROR(INDEX('🔄 Rotação Duplas'!$D$78:$D$87,MATCH(D89,'🔄 Rotação Duplas'!$C$78:$C$87,0)),INDEX('🔄 Rotação Duplas'!$C$78:$C$87,MATCH(D89,'🔄 Rotação Duplas'!$D$78:$D$87,0))),"Semana 7",IFERROR(INDEX('🔄 Rotação Duplas'!$D$92:$D$101,MATCH(D89,'🔄 Rotação Duplas'!$C$92:$C$101,0)),INDEX('🔄 Rotação Duplas'!$C$92:$C$101,MATCH(D89,'🔄 Rotação Duplas'!$D$92:$D$101,0))),"Semana 8",IFERROR(INDEX('🔄 Rotação Duplas'!$D$106:$D$115,MATCH(D89,'🔄 Rotação Duplas'!$C$106:$C$115,0)),INDEX('🔄 Rotação Duplas'!$C$106:$C$115,MATCH(D89,'🔄 Rotação Duplas'!$D$106:$D$115,0)))),""))</f>
        <v/>
      </c>
      <c r="T89">
        <f t="shared" si="8"/>
        <v>0</v>
      </c>
    </row>
    <row r="90" spans="2:20" ht="18" customHeight="1" x14ac:dyDescent="0.2">
      <c r="B90" s="85" t="s">
        <v>60</v>
      </c>
      <c r="C90" s="86" t="str">
        <f t="shared" si="9"/>
        <v>Desafio 5</v>
      </c>
      <c r="D90" s="87" t="str">
        <f>'⚙️ Configuração'!C33</f>
        <v>Helena Rocha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81">
        <f>(E90*'⚙️ Configuração'!$C$6+F90*'⚙️ Configuração'!$C$7+G90*'⚙️ Configuração'!$C$8+H90*'⚙️ Configuração'!$C$9+I90*'⚙️ Configuração'!$C$10+J90*'⚙️ Configuração'!$C$11)*IF(N90="S",2,1)</f>
        <v>0</v>
      </c>
      <c r="L90" s="90" t="s">
        <v>167</v>
      </c>
      <c r="M90" s="82">
        <f>IF(L90="AT1",'⚙️ Configuração'!$C$14,IF(L90="AT2",'⚙️ Configuração'!$C$15,IF(L90="FI",'⚙️ Configuração'!$C$16,IF(L90="FJ",'⚙️ Configuração'!$C$17,0))))</f>
        <v>0</v>
      </c>
      <c r="N90" s="91" t="s">
        <v>167</v>
      </c>
      <c r="O90" s="92"/>
      <c r="P90" s="83">
        <f>IF(O90="1",'⚙️ Configuração'!$C$21,IF(O90="2",'⚙️ Configuração'!$C$22,IF(O90="3",'⚙️ Configuração'!$C$23,IF(O90="Outro",'⚙️ Configuração'!$C$24,0))))</f>
        <v>0</v>
      </c>
      <c r="Q90" s="84">
        <f t="shared" si="7"/>
        <v>0</v>
      </c>
      <c r="R90" s="40" t="str">
        <f t="shared" si="1"/>
        <v>Semana 1 — ver 🔄</v>
      </c>
      <c r="S90" t="str" cm="1">
        <f t="array" ref="S90">IF(D90="","",IFERROR(_xlfn.SWITCH(B90,"Semana 1",IFERROR(INDEX('🔄 Rotação Duplas'!$D$8:$D$17,MATCH(D90,'🔄 Rotação Duplas'!$C$8:$C$17,0)),INDEX('🔄 Rotação Duplas'!$C$8:$C$17,MATCH(D90,'🔄 Rotação Duplas'!$D$8:$D$17,0))),"Semana 2",IFERROR(INDEX('🔄 Rotação Duplas'!$D$22:$D$31,MATCH(D90,'🔄 Rotação Duplas'!$C$22:$C$31,0)),INDEX('🔄 Rotação Duplas'!$C$22:$C$31,MATCH(D90,'🔄 Rotação Duplas'!$D$22:$D$31,0))),"Semana 3",IFERROR(INDEX('🔄 Rotação Duplas'!$D$36:$D$45,MATCH(D90,'🔄 Rotação Duplas'!$C$36:$C$45,0)),INDEX('🔄 Rotação Duplas'!$C$36:$C$45,MATCH(D90,'🔄 Rotação Duplas'!$D$36:$D$45,0))),"Semana 4",IFERROR(INDEX('🔄 Rotação Duplas'!$D$50:$D$59,MATCH(D90,'🔄 Rotação Duplas'!$C$50:$C$59,0)),INDEX('🔄 Rotação Duplas'!$C$50:$C$59,MATCH(D90,'🔄 Rotação Duplas'!$D$50:$D$59,0))),"Semana 5",IFERROR(INDEX('🔄 Rotação Duplas'!$D$64:$D$73,MATCH(D90,'🔄 Rotação Duplas'!$C$64:$C$73,0)),INDEX('🔄 Rotação Duplas'!$C$64:$C$73,MATCH(D90,'🔄 Rotação Duplas'!$D$64:$D$73,0))),"Semana 6",IFERROR(INDEX('🔄 Rotação Duplas'!$D$78:$D$87,MATCH(D90,'🔄 Rotação Duplas'!$C$78:$C$87,0)),INDEX('🔄 Rotação Duplas'!$C$78:$C$87,MATCH(D90,'🔄 Rotação Duplas'!$D$78:$D$87,0))),"Semana 7",IFERROR(INDEX('🔄 Rotação Duplas'!$D$92:$D$101,MATCH(D90,'🔄 Rotação Duplas'!$C$92:$C$101,0)),INDEX('🔄 Rotação Duplas'!$C$92:$C$101,MATCH(D90,'🔄 Rotação Duplas'!$D$92:$D$101,0))),"Semana 8",IFERROR(INDEX('🔄 Rotação Duplas'!$D$106:$D$115,MATCH(D90,'🔄 Rotação Duplas'!$C$106:$C$115,0)),INDEX('🔄 Rotação Duplas'!$C$106:$C$115,MATCH(D90,'🔄 Rotação Duplas'!$D$106:$D$115,0)))),""))</f>
        <v/>
      </c>
      <c r="T90">
        <f t="shared" si="8"/>
        <v>0</v>
      </c>
    </row>
    <row r="91" spans="2:20" ht="18" customHeight="1" x14ac:dyDescent="0.2">
      <c r="B91" s="78" t="s">
        <v>60</v>
      </c>
      <c r="C91" s="79" t="str">
        <f t="shared" si="9"/>
        <v>Desafio 5</v>
      </c>
      <c r="D91" s="80" t="str">
        <f>'⚙️ Configuração'!C34</f>
        <v>João Xavier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81">
        <f>(E91*'⚙️ Configuração'!$C$6+F91*'⚙️ Configuração'!$C$7+G91*'⚙️ Configuração'!$C$8+H91*'⚙️ Configuração'!$C$9+I91*'⚙️ Configuração'!$C$10+J91*'⚙️ Configuração'!$C$11)*IF(N91="S",2,1)</f>
        <v>0</v>
      </c>
      <c r="L91" s="90" t="s">
        <v>167</v>
      </c>
      <c r="M91" s="82">
        <f>IF(L91="AT1",'⚙️ Configuração'!$C$14,IF(L91="AT2",'⚙️ Configuração'!$C$15,IF(L91="FI",'⚙️ Configuração'!$C$16,IF(L91="FJ",'⚙️ Configuração'!$C$17,0))))</f>
        <v>0</v>
      </c>
      <c r="N91" s="91" t="s">
        <v>167</v>
      </c>
      <c r="O91" s="92"/>
      <c r="P91" s="83">
        <f>IF(O91="1",'⚙️ Configuração'!$C$21,IF(O91="2",'⚙️ Configuração'!$C$22,IF(O91="3",'⚙️ Configuração'!$C$23,IF(O91="Outro",'⚙️ Configuração'!$C$24,0))))</f>
        <v>0</v>
      </c>
      <c r="Q91" s="84">
        <f t="shared" si="7"/>
        <v>0</v>
      </c>
      <c r="R91" s="40" t="str">
        <f t="shared" si="1"/>
        <v>Semana 1 — ver 🔄</v>
      </c>
      <c r="S91" t="str" cm="1">
        <f t="array" ref="S91">IF(D91="","",IFERROR(_xlfn.SWITCH(B91,"Semana 1",IFERROR(INDEX('🔄 Rotação Duplas'!$D$8:$D$17,MATCH(D91,'🔄 Rotação Duplas'!$C$8:$C$17,0)),INDEX('🔄 Rotação Duplas'!$C$8:$C$17,MATCH(D91,'🔄 Rotação Duplas'!$D$8:$D$17,0))),"Semana 2",IFERROR(INDEX('🔄 Rotação Duplas'!$D$22:$D$31,MATCH(D91,'🔄 Rotação Duplas'!$C$22:$C$31,0)),INDEX('🔄 Rotação Duplas'!$C$22:$C$31,MATCH(D91,'🔄 Rotação Duplas'!$D$22:$D$31,0))),"Semana 3",IFERROR(INDEX('🔄 Rotação Duplas'!$D$36:$D$45,MATCH(D91,'🔄 Rotação Duplas'!$C$36:$C$45,0)),INDEX('🔄 Rotação Duplas'!$C$36:$C$45,MATCH(D91,'🔄 Rotação Duplas'!$D$36:$D$45,0))),"Semana 4",IFERROR(INDEX('🔄 Rotação Duplas'!$D$50:$D$59,MATCH(D91,'🔄 Rotação Duplas'!$C$50:$C$59,0)),INDEX('🔄 Rotação Duplas'!$C$50:$C$59,MATCH(D91,'🔄 Rotação Duplas'!$D$50:$D$59,0))),"Semana 5",IFERROR(INDEX('🔄 Rotação Duplas'!$D$64:$D$73,MATCH(D91,'🔄 Rotação Duplas'!$C$64:$C$73,0)),INDEX('🔄 Rotação Duplas'!$C$64:$C$73,MATCH(D91,'🔄 Rotação Duplas'!$D$64:$D$73,0))),"Semana 6",IFERROR(INDEX('🔄 Rotação Duplas'!$D$78:$D$87,MATCH(D91,'🔄 Rotação Duplas'!$C$78:$C$87,0)),INDEX('🔄 Rotação Duplas'!$C$78:$C$87,MATCH(D91,'🔄 Rotação Duplas'!$D$78:$D$87,0))),"Semana 7",IFERROR(INDEX('🔄 Rotação Duplas'!$D$92:$D$101,MATCH(D91,'🔄 Rotação Duplas'!$C$92:$C$101,0)),INDEX('🔄 Rotação Duplas'!$C$92:$C$101,MATCH(D91,'🔄 Rotação Duplas'!$D$92:$D$101,0))),"Semana 8",IFERROR(INDEX('🔄 Rotação Duplas'!$D$106:$D$115,MATCH(D91,'🔄 Rotação Duplas'!$C$106:$C$115,0)),INDEX('🔄 Rotação Duplas'!$C$106:$C$115,MATCH(D91,'🔄 Rotação Duplas'!$D$106:$D$115,0)))),""))</f>
        <v/>
      </c>
      <c r="T91">
        <f t="shared" si="8"/>
        <v>0</v>
      </c>
    </row>
    <row r="92" spans="2:20" ht="18" customHeight="1" x14ac:dyDescent="0.2">
      <c r="B92" s="85" t="s">
        <v>60</v>
      </c>
      <c r="C92" s="86" t="str">
        <f t="shared" si="9"/>
        <v>Desafio 5</v>
      </c>
      <c r="D92" s="87" t="str">
        <f>'⚙️ Configuração'!C35</f>
        <v>Tomás Carlos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81">
        <f>(E92*'⚙️ Configuração'!$C$6+F92*'⚙️ Configuração'!$C$7+G92*'⚙️ Configuração'!$C$8+H92*'⚙️ Configuração'!$C$9+I92*'⚙️ Configuração'!$C$10+J92*'⚙️ Configuração'!$C$11)*IF(N92="S",2,1)</f>
        <v>0</v>
      </c>
      <c r="L92" s="90" t="s">
        <v>167</v>
      </c>
      <c r="M92" s="82">
        <f>IF(L92="AT1",'⚙️ Configuração'!$C$14,IF(L92="AT2",'⚙️ Configuração'!$C$15,IF(L92="FI",'⚙️ Configuração'!$C$16,IF(L92="FJ",'⚙️ Configuração'!$C$17,0))))</f>
        <v>0</v>
      </c>
      <c r="N92" s="91" t="s">
        <v>167</v>
      </c>
      <c r="O92" s="92"/>
      <c r="P92" s="83">
        <f>IF(O92="1",'⚙️ Configuração'!$C$21,IF(O92="2",'⚙️ Configuração'!$C$22,IF(O92="3",'⚙️ Configuração'!$C$23,IF(O92="Outro",'⚙️ Configuração'!$C$24,0))))</f>
        <v>0</v>
      </c>
      <c r="Q92" s="84">
        <f t="shared" si="7"/>
        <v>0</v>
      </c>
      <c r="R92" s="40" t="str">
        <f t="shared" si="1"/>
        <v>Semana 1 — ver 🔄</v>
      </c>
      <c r="S92" t="str" cm="1">
        <f t="array" ref="S92">IF(D92="","",IFERROR(_xlfn.SWITCH(B92,"Semana 1",IFERROR(INDEX('🔄 Rotação Duplas'!$D$8:$D$17,MATCH(D92,'🔄 Rotação Duplas'!$C$8:$C$17,0)),INDEX('🔄 Rotação Duplas'!$C$8:$C$17,MATCH(D92,'🔄 Rotação Duplas'!$D$8:$D$17,0))),"Semana 2",IFERROR(INDEX('🔄 Rotação Duplas'!$D$22:$D$31,MATCH(D92,'🔄 Rotação Duplas'!$C$22:$C$31,0)),INDEX('🔄 Rotação Duplas'!$C$22:$C$31,MATCH(D92,'🔄 Rotação Duplas'!$D$22:$D$31,0))),"Semana 3",IFERROR(INDEX('🔄 Rotação Duplas'!$D$36:$D$45,MATCH(D92,'🔄 Rotação Duplas'!$C$36:$C$45,0)),INDEX('🔄 Rotação Duplas'!$C$36:$C$45,MATCH(D92,'🔄 Rotação Duplas'!$D$36:$D$45,0))),"Semana 4",IFERROR(INDEX('🔄 Rotação Duplas'!$D$50:$D$59,MATCH(D92,'🔄 Rotação Duplas'!$C$50:$C$59,0)),INDEX('🔄 Rotação Duplas'!$C$50:$C$59,MATCH(D92,'🔄 Rotação Duplas'!$D$50:$D$59,0))),"Semana 5",IFERROR(INDEX('🔄 Rotação Duplas'!$D$64:$D$73,MATCH(D92,'🔄 Rotação Duplas'!$C$64:$C$73,0)),INDEX('🔄 Rotação Duplas'!$C$64:$C$73,MATCH(D92,'🔄 Rotação Duplas'!$D$64:$D$73,0))),"Semana 6",IFERROR(INDEX('🔄 Rotação Duplas'!$D$78:$D$87,MATCH(D92,'🔄 Rotação Duplas'!$C$78:$C$87,0)),INDEX('🔄 Rotação Duplas'!$C$78:$C$87,MATCH(D92,'🔄 Rotação Duplas'!$D$78:$D$87,0))),"Semana 7",IFERROR(INDEX('🔄 Rotação Duplas'!$D$92:$D$101,MATCH(D92,'🔄 Rotação Duplas'!$C$92:$C$101,0)),INDEX('🔄 Rotação Duplas'!$C$92:$C$101,MATCH(D92,'🔄 Rotação Duplas'!$D$92:$D$101,0))),"Semana 8",IFERROR(INDEX('🔄 Rotação Duplas'!$D$106:$D$115,MATCH(D92,'🔄 Rotação Duplas'!$C$106:$C$115,0)),INDEX('🔄 Rotação Duplas'!$C$106:$C$115,MATCH(D92,'🔄 Rotação Duplas'!$D$106:$D$115,0)))),""))</f>
        <v/>
      </c>
      <c r="T92">
        <f t="shared" si="8"/>
        <v>0</v>
      </c>
    </row>
    <row r="93" spans="2:20" ht="18" customHeight="1" x14ac:dyDescent="0.2">
      <c r="B93" s="78" t="s">
        <v>60</v>
      </c>
      <c r="C93" s="79" t="str">
        <f t="shared" si="9"/>
        <v>Desafio 5</v>
      </c>
      <c r="D93" s="80" t="str">
        <f>'⚙️ Configuração'!C36</f>
        <v>Alexandra Correia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81">
        <f>(E93*'⚙️ Configuração'!$C$6+F93*'⚙️ Configuração'!$C$7+G93*'⚙️ Configuração'!$C$8+H93*'⚙️ Configuração'!$C$9+I93*'⚙️ Configuração'!$C$10+J93*'⚙️ Configuração'!$C$11)*IF(N93="S",2,1)</f>
        <v>0</v>
      </c>
      <c r="L93" s="90" t="s">
        <v>167</v>
      </c>
      <c r="M93" s="82">
        <f>IF(L93="AT1",'⚙️ Configuração'!$C$14,IF(L93="AT2",'⚙️ Configuração'!$C$15,IF(L93="FI",'⚙️ Configuração'!$C$16,IF(L93="FJ",'⚙️ Configuração'!$C$17,0))))</f>
        <v>0</v>
      </c>
      <c r="N93" s="91" t="s">
        <v>167</v>
      </c>
      <c r="O93" s="92"/>
      <c r="P93" s="83">
        <f>IF(O93="1",'⚙️ Configuração'!$C$21,IF(O93="2",'⚙️ Configuração'!$C$22,IF(O93="3",'⚙️ Configuração'!$C$23,IF(O93="Outro",'⚙️ Configuração'!$C$24,0))))</f>
        <v>0</v>
      </c>
      <c r="Q93" s="84">
        <f t="shared" si="7"/>
        <v>0</v>
      </c>
      <c r="R93" s="40" t="str">
        <f t="shared" si="1"/>
        <v>Semana 1 — ver 🔄</v>
      </c>
      <c r="S93" t="str" cm="1">
        <f t="array" ref="S93">IF(D93="","",IFERROR(_xlfn.SWITCH(B93,"Semana 1",IFERROR(INDEX('🔄 Rotação Duplas'!$D$8:$D$17,MATCH(D93,'🔄 Rotação Duplas'!$C$8:$C$17,0)),INDEX('🔄 Rotação Duplas'!$C$8:$C$17,MATCH(D93,'🔄 Rotação Duplas'!$D$8:$D$17,0))),"Semana 2",IFERROR(INDEX('🔄 Rotação Duplas'!$D$22:$D$31,MATCH(D93,'🔄 Rotação Duplas'!$C$22:$C$31,0)),INDEX('🔄 Rotação Duplas'!$C$22:$C$31,MATCH(D93,'🔄 Rotação Duplas'!$D$22:$D$31,0))),"Semana 3",IFERROR(INDEX('🔄 Rotação Duplas'!$D$36:$D$45,MATCH(D93,'🔄 Rotação Duplas'!$C$36:$C$45,0)),INDEX('🔄 Rotação Duplas'!$C$36:$C$45,MATCH(D93,'🔄 Rotação Duplas'!$D$36:$D$45,0))),"Semana 4",IFERROR(INDEX('🔄 Rotação Duplas'!$D$50:$D$59,MATCH(D93,'🔄 Rotação Duplas'!$C$50:$C$59,0)),INDEX('🔄 Rotação Duplas'!$C$50:$C$59,MATCH(D93,'🔄 Rotação Duplas'!$D$50:$D$59,0))),"Semana 5",IFERROR(INDEX('🔄 Rotação Duplas'!$D$64:$D$73,MATCH(D93,'🔄 Rotação Duplas'!$C$64:$C$73,0)),INDEX('🔄 Rotação Duplas'!$C$64:$C$73,MATCH(D93,'🔄 Rotação Duplas'!$D$64:$D$73,0))),"Semana 6",IFERROR(INDEX('🔄 Rotação Duplas'!$D$78:$D$87,MATCH(D93,'🔄 Rotação Duplas'!$C$78:$C$87,0)),INDEX('🔄 Rotação Duplas'!$C$78:$C$87,MATCH(D93,'🔄 Rotação Duplas'!$D$78:$D$87,0))),"Semana 7",IFERROR(INDEX('🔄 Rotação Duplas'!$D$92:$D$101,MATCH(D93,'🔄 Rotação Duplas'!$C$92:$C$101,0)),INDEX('🔄 Rotação Duplas'!$C$92:$C$101,MATCH(D93,'🔄 Rotação Duplas'!$D$92:$D$101,0))),"Semana 8",IFERROR(INDEX('🔄 Rotação Duplas'!$D$106:$D$115,MATCH(D93,'🔄 Rotação Duplas'!$C$106:$C$115,0)),INDEX('🔄 Rotação Duplas'!$C$106:$C$115,MATCH(D93,'🔄 Rotação Duplas'!$D$106:$D$115,0)))),""))</f>
        <v/>
      </c>
      <c r="T93">
        <f t="shared" si="8"/>
        <v>0</v>
      </c>
    </row>
    <row r="94" spans="2:20" ht="18" customHeight="1" x14ac:dyDescent="0.2">
      <c r="B94" s="85" t="s">
        <v>60</v>
      </c>
      <c r="C94" s="86" t="str">
        <f t="shared" si="9"/>
        <v>Desafio 5</v>
      </c>
      <c r="D94" s="87" t="str">
        <f>'⚙️ Configuração'!C37</f>
        <v>Carla Barata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81">
        <f>(E94*'⚙️ Configuração'!$C$6+F94*'⚙️ Configuração'!$C$7+G94*'⚙️ Configuração'!$C$8+H94*'⚙️ Configuração'!$C$9+I94*'⚙️ Configuração'!$C$10+J94*'⚙️ Configuração'!$C$11)*IF(N94="S",2,1)</f>
        <v>0</v>
      </c>
      <c r="L94" s="90" t="s">
        <v>167</v>
      </c>
      <c r="M94" s="82">
        <f>IF(L94="AT1",'⚙️ Configuração'!$C$14,IF(L94="AT2",'⚙️ Configuração'!$C$15,IF(L94="FI",'⚙️ Configuração'!$C$16,IF(L94="FJ",'⚙️ Configuração'!$C$17,0))))</f>
        <v>0</v>
      </c>
      <c r="N94" s="91" t="s">
        <v>167</v>
      </c>
      <c r="O94" s="92"/>
      <c r="P94" s="83">
        <f>IF(O94="1",'⚙️ Configuração'!$C$21,IF(O94="2",'⚙️ Configuração'!$C$22,IF(O94="3",'⚙️ Configuração'!$C$23,IF(O94="Outro",'⚙️ Configuração'!$C$24,0))))</f>
        <v>0</v>
      </c>
      <c r="Q94" s="84">
        <f t="shared" si="7"/>
        <v>0</v>
      </c>
      <c r="R94" s="40" t="str">
        <f t="shared" si="1"/>
        <v>Semana 1 — ver 🔄</v>
      </c>
      <c r="S94" t="str" cm="1">
        <f t="array" ref="S94">IF(D94="","",IFERROR(_xlfn.SWITCH(B94,"Semana 1",IFERROR(INDEX('🔄 Rotação Duplas'!$D$8:$D$17,MATCH(D94,'🔄 Rotação Duplas'!$C$8:$C$17,0)),INDEX('🔄 Rotação Duplas'!$C$8:$C$17,MATCH(D94,'🔄 Rotação Duplas'!$D$8:$D$17,0))),"Semana 2",IFERROR(INDEX('🔄 Rotação Duplas'!$D$22:$D$31,MATCH(D94,'🔄 Rotação Duplas'!$C$22:$C$31,0)),INDEX('🔄 Rotação Duplas'!$C$22:$C$31,MATCH(D94,'🔄 Rotação Duplas'!$D$22:$D$31,0))),"Semana 3",IFERROR(INDEX('🔄 Rotação Duplas'!$D$36:$D$45,MATCH(D94,'🔄 Rotação Duplas'!$C$36:$C$45,0)),INDEX('🔄 Rotação Duplas'!$C$36:$C$45,MATCH(D94,'🔄 Rotação Duplas'!$D$36:$D$45,0))),"Semana 4",IFERROR(INDEX('🔄 Rotação Duplas'!$D$50:$D$59,MATCH(D94,'🔄 Rotação Duplas'!$C$50:$C$59,0)),INDEX('🔄 Rotação Duplas'!$C$50:$C$59,MATCH(D94,'🔄 Rotação Duplas'!$D$50:$D$59,0))),"Semana 5",IFERROR(INDEX('🔄 Rotação Duplas'!$D$64:$D$73,MATCH(D94,'🔄 Rotação Duplas'!$C$64:$C$73,0)),INDEX('🔄 Rotação Duplas'!$C$64:$C$73,MATCH(D94,'🔄 Rotação Duplas'!$D$64:$D$73,0))),"Semana 6",IFERROR(INDEX('🔄 Rotação Duplas'!$D$78:$D$87,MATCH(D94,'🔄 Rotação Duplas'!$C$78:$C$87,0)),INDEX('🔄 Rotação Duplas'!$C$78:$C$87,MATCH(D94,'🔄 Rotação Duplas'!$D$78:$D$87,0))),"Semana 7",IFERROR(INDEX('🔄 Rotação Duplas'!$D$92:$D$101,MATCH(D94,'🔄 Rotação Duplas'!$C$92:$C$101,0)),INDEX('🔄 Rotação Duplas'!$C$92:$C$101,MATCH(D94,'🔄 Rotação Duplas'!$D$92:$D$101,0))),"Semana 8",IFERROR(INDEX('🔄 Rotação Duplas'!$D$106:$D$115,MATCH(D94,'🔄 Rotação Duplas'!$C$106:$C$115,0)),INDEX('🔄 Rotação Duplas'!$C$106:$C$115,MATCH(D94,'🔄 Rotação Duplas'!$D$106:$D$115,0)))),""))</f>
        <v/>
      </c>
      <c r="T94">
        <f t="shared" si="8"/>
        <v>0</v>
      </c>
    </row>
    <row r="95" spans="2:20" ht="18" customHeight="1" x14ac:dyDescent="0.2">
      <c r="B95" s="78" t="s">
        <v>60</v>
      </c>
      <c r="C95" s="79" t="str">
        <f t="shared" si="9"/>
        <v>Desafio 5</v>
      </c>
      <c r="D95" s="80" t="str">
        <f>'⚙️ Configuração'!C38</f>
        <v>Denise Filipe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81">
        <f>(E95*'⚙️ Configuração'!$C$6+F95*'⚙️ Configuração'!$C$7+G95*'⚙️ Configuração'!$C$8+H95*'⚙️ Configuração'!$C$9+I95*'⚙️ Configuração'!$C$10+J95*'⚙️ Configuração'!$C$11)*IF(N95="S",2,1)</f>
        <v>0</v>
      </c>
      <c r="L95" s="90" t="s">
        <v>167</v>
      </c>
      <c r="M95" s="82">
        <f>IF(L95="AT1",'⚙️ Configuração'!$C$14,IF(L95="AT2",'⚙️ Configuração'!$C$15,IF(L95="FI",'⚙️ Configuração'!$C$16,IF(L95="FJ",'⚙️ Configuração'!$C$17,0))))</f>
        <v>0</v>
      </c>
      <c r="N95" s="91" t="s">
        <v>167</v>
      </c>
      <c r="O95" s="92"/>
      <c r="P95" s="83">
        <f>IF(O95="1",'⚙️ Configuração'!$C$21,IF(O95="2",'⚙️ Configuração'!$C$22,IF(O95="3",'⚙️ Configuração'!$C$23,IF(O95="Outro",'⚙️ Configuração'!$C$24,0))))</f>
        <v>0</v>
      </c>
      <c r="Q95" s="84">
        <f t="shared" si="7"/>
        <v>0</v>
      </c>
      <c r="R95" s="40" t="str">
        <f t="shared" si="1"/>
        <v>Semana 1 — ver 🔄</v>
      </c>
      <c r="S95" t="str" cm="1">
        <f t="array" ref="S95">IF(D95="","",IFERROR(_xlfn.SWITCH(B95,"Semana 1",IFERROR(INDEX('🔄 Rotação Duplas'!$D$8:$D$17,MATCH(D95,'🔄 Rotação Duplas'!$C$8:$C$17,0)),INDEX('🔄 Rotação Duplas'!$C$8:$C$17,MATCH(D95,'🔄 Rotação Duplas'!$D$8:$D$17,0))),"Semana 2",IFERROR(INDEX('🔄 Rotação Duplas'!$D$22:$D$31,MATCH(D95,'🔄 Rotação Duplas'!$C$22:$C$31,0)),INDEX('🔄 Rotação Duplas'!$C$22:$C$31,MATCH(D95,'🔄 Rotação Duplas'!$D$22:$D$31,0))),"Semana 3",IFERROR(INDEX('🔄 Rotação Duplas'!$D$36:$D$45,MATCH(D95,'🔄 Rotação Duplas'!$C$36:$C$45,0)),INDEX('🔄 Rotação Duplas'!$C$36:$C$45,MATCH(D95,'🔄 Rotação Duplas'!$D$36:$D$45,0))),"Semana 4",IFERROR(INDEX('🔄 Rotação Duplas'!$D$50:$D$59,MATCH(D95,'🔄 Rotação Duplas'!$C$50:$C$59,0)),INDEX('🔄 Rotação Duplas'!$C$50:$C$59,MATCH(D95,'🔄 Rotação Duplas'!$D$50:$D$59,0))),"Semana 5",IFERROR(INDEX('🔄 Rotação Duplas'!$D$64:$D$73,MATCH(D95,'🔄 Rotação Duplas'!$C$64:$C$73,0)),INDEX('🔄 Rotação Duplas'!$C$64:$C$73,MATCH(D95,'🔄 Rotação Duplas'!$D$64:$D$73,0))),"Semana 6",IFERROR(INDEX('🔄 Rotação Duplas'!$D$78:$D$87,MATCH(D95,'🔄 Rotação Duplas'!$C$78:$C$87,0)),INDEX('🔄 Rotação Duplas'!$C$78:$C$87,MATCH(D95,'🔄 Rotação Duplas'!$D$78:$D$87,0))),"Semana 7",IFERROR(INDEX('🔄 Rotação Duplas'!$D$92:$D$101,MATCH(D95,'🔄 Rotação Duplas'!$C$92:$C$101,0)),INDEX('🔄 Rotação Duplas'!$C$92:$C$101,MATCH(D95,'🔄 Rotação Duplas'!$D$92:$D$101,0))),"Semana 8",IFERROR(INDEX('🔄 Rotação Duplas'!$D$106:$D$115,MATCH(D95,'🔄 Rotação Duplas'!$C$106:$C$115,0)),INDEX('🔄 Rotação Duplas'!$C$106:$C$115,MATCH(D95,'🔄 Rotação Duplas'!$D$106:$D$115,0)))),""))</f>
        <v/>
      </c>
      <c r="T95">
        <f t="shared" si="8"/>
        <v>0</v>
      </c>
    </row>
    <row r="96" spans="2:20" ht="18" customHeight="1" x14ac:dyDescent="0.2">
      <c r="B96" s="85" t="s">
        <v>60</v>
      </c>
      <c r="C96" s="86" t="str">
        <f t="shared" si="9"/>
        <v>Desafio 5</v>
      </c>
      <c r="D96" s="87" t="str">
        <f>'⚙️ Configuração'!C39</f>
        <v>Fátima Rodriguez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81">
        <f>(E96*'⚙️ Configuração'!$C$6+F96*'⚙️ Configuração'!$C$7+G96*'⚙️ Configuração'!$C$8+H96*'⚙️ Configuração'!$C$9+I96*'⚙️ Configuração'!$C$10+J96*'⚙️ Configuração'!$C$11)*IF(N96="S",2,1)</f>
        <v>0</v>
      </c>
      <c r="L96" s="90" t="s">
        <v>167</v>
      </c>
      <c r="M96" s="82">
        <f>IF(L96="AT1",'⚙️ Configuração'!$C$14,IF(L96="AT2",'⚙️ Configuração'!$C$15,IF(L96="FI",'⚙️ Configuração'!$C$16,IF(L96="FJ",'⚙️ Configuração'!$C$17,0))))</f>
        <v>0</v>
      </c>
      <c r="N96" s="91" t="s">
        <v>167</v>
      </c>
      <c r="O96" s="92"/>
      <c r="P96" s="83">
        <f>IF(O96="1",'⚙️ Configuração'!$C$21,IF(O96="2",'⚙️ Configuração'!$C$22,IF(O96="3",'⚙️ Configuração'!$C$23,IF(O96="Outro",'⚙️ Configuração'!$C$24,0))))</f>
        <v>0</v>
      </c>
      <c r="Q96" s="84">
        <f t="shared" si="7"/>
        <v>0</v>
      </c>
      <c r="R96" s="40" t="str">
        <f t="shared" si="1"/>
        <v>Semana 1 — ver 🔄</v>
      </c>
      <c r="S96" t="str" cm="1">
        <f t="array" ref="S96">IF(D96="","",IFERROR(_xlfn.SWITCH(B96,"Semana 1",IFERROR(INDEX('🔄 Rotação Duplas'!$D$8:$D$17,MATCH(D96,'🔄 Rotação Duplas'!$C$8:$C$17,0)),INDEX('🔄 Rotação Duplas'!$C$8:$C$17,MATCH(D96,'🔄 Rotação Duplas'!$D$8:$D$17,0))),"Semana 2",IFERROR(INDEX('🔄 Rotação Duplas'!$D$22:$D$31,MATCH(D96,'🔄 Rotação Duplas'!$C$22:$C$31,0)),INDEX('🔄 Rotação Duplas'!$C$22:$C$31,MATCH(D96,'🔄 Rotação Duplas'!$D$22:$D$31,0))),"Semana 3",IFERROR(INDEX('🔄 Rotação Duplas'!$D$36:$D$45,MATCH(D96,'🔄 Rotação Duplas'!$C$36:$C$45,0)),INDEX('🔄 Rotação Duplas'!$C$36:$C$45,MATCH(D96,'🔄 Rotação Duplas'!$D$36:$D$45,0))),"Semana 4",IFERROR(INDEX('🔄 Rotação Duplas'!$D$50:$D$59,MATCH(D96,'🔄 Rotação Duplas'!$C$50:$C$59,0)),INDEX('🔄 Rotação Duplas'!$C$50:$C$59,MATCH(D96,'🔄 Rotação Duplas'!$D$50:$D$59,0))),"Semana 5",IFERROR(INDEX('🔄 Rotação Duplas'!$D$64:$D$73,MATCH(D96,'🔄 Rotação Duplas'!$C$64:$C$73,0)),INDEX('🔄 Rotação Duplas'!$C$64:$C$73,MATCH(D96,'🔄 Rotação Duplas'!$D$64:$D$73,0))),"Semana 6",IFERROR(INDEX('🔄 Rotação Duplas'!$D$78:$D$87,MATCH(D96,'🔄 Rotação Duplas'!$C$78:$C$87,0)),INDEX('🔄 Rotação Duplas'!$C$78:$C$87,MATCH(D96,'🔄 Rotação Duplas'!$D$78:$D$87,0))),"Semana 7",IFERROR(INDEX('🔄 Rotação Duplas'!$D$92:$D$101,MATCH(D96,'🔄 Rotação Duplas'!$C$92:$C$101,0)),INDEX('🔄 Rotação Duplas'!$C$92:$C$101,MATCH(D96,'🔄 Rotação Duplas'!$D$92:$D$101,0))),"Semana 8",IFERROR(INDEX('🔄 Rotação Duplas'!$D$106:$D$115,MATCH(D96,'🔄 Rotação Duplas'!$C$106:$C$115,0)),INDEX('🔄 Rotação Duplas'!$C$106:$C$115,MATCH(D96,'🔄 Rotação Duplas'!$D$106:$D$115,0)))),""))</f>
        <v/>
      </c>
      <c r="T96">
        <f t="shared" si="8"/>
        <v>0</v>
      </c>
    </row>
    <row r="97" spans="2:20" ht="18" customHeight="1" x14ac:dyDescent="0.2">
      <c r="B97" s="78" t="s">
        <v>60</v>
      </c>
      <c r="C97" s="79" t="str">
        <f t="shared" si="9"/>
        <v>Desafio 5</v>
      </c>
      <c r="D97" s="80" t="str">
        <f>'⚙️ Configuração'!C40</f>
        <v>Maria João Travassos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81">
        <f>(E97*'⚙️ Configuração'!$C$6+F97*'⚙️ Configuração'!$C$7+G97*'⚙️ Configuração'!$C$8+H97*'⚙️ Configuração'!$C$9+I97*'⚙️ Configuração'!$C$10+J97*'⚙️ Configuração'!$C$11)*IF(N97="S",2,1)</f>
        <v>0</v>
      </c>
      <c r="L97" s="90" t="s">
        <v>167</v>
      </c>
      <c r="M97" s="82">
        <f>IF(L97="AT1",'⚙️ Configuração'!$C$14,IF(L97="AT2",'⚙️ Configuração'!$C$15,IF(L97="FI",'⚙️ Configuração'!$C$16,IF(L97="FJ",'⚙️ Configuração'!$C$17,0))))</f>
        <v>0</v>
      </c>
      <c r="N97" s="91" t="s">
        <v>167</v>
      </c>
      <c r="O97" s="92"/>
      <c r="P97" s="83">
        <f>IF(O97="1",'⚙️ Configuração'!$C$21,IF(O97="2",'⚙️ Configuração'!$C$22,IF(O97="3",'⚙️ Configuração'!$C$23,IF(O97="Outro",'⚙️ Configuração'!$C$24,0))))</f>
        <v>0</v>
      </c>
      <c r="Q97" s="84">
        <f t="shared" si="7"/>
        <v>0</v>
      </c>
      <c r="R97" s="40" t="str">
        <f t="shared" si="1"/>
        <v>Semana 1 — ver 🔄</v>
      </c>
      <c r="S97" t="str" cm="1">
        <f t="array" ref="S97">IF(D97="","",IFERROR(_xlfn.SWITCH(B97,"Semana 1",IFERROR(INDEX('🔄 Rotação Duplas'!$D$8:$D$17,MATCH(D97,'🔄 Rotação Duplas'!$C$8:$C$17,0)),INDEX('🔄 Rotação Duplas'!$C$8:$C$17,MATCH(D97,'🔄 Rotação Duplas'!$D$8:$D$17,0))),"Semana 2",IFERROR(INDEX('🔄 Rotação Duplas'!$D$22:$D$31,MATCH(D97,'🔄 Rotação Duplas'!$C$22:$C$31,0)),INDEX('🔄 Rotação Duplas'!$C$22:$C$31,MATCH(D97,'🔄 Rotação Duplas'!$D$22:$D$31,0))),"Semana 3",IFERROR(INDEX('🔄 Rotação Duplas'!$D$36:$D$45,MATCH(D97,'🔄 Rotação Duplas'!$C$36:$C$45,0)),INDEX('🔄 Rotação Duplas'!$C$36:$C$45,MATCH(D97,'🔄 Rotação Duplas'!$D$36:$D$45,0))),"Semana 4",IFERROR(INDEX('🔄 Rotação Duplas'!$D$50:$D$59,MATCH(D97,'🔄 Rotação Duplas'!$C$50:$C$59,0)),INDEX('🔄 Rotação Duplas'!$C$50:$C$59,MATCH(D97,'🔄 Rotação Duplas'!$D$50:$D$59,0))),"Semana 5",IFERROR(INDEX('🔄 Rotação Duplas'!$D$64:$D$73,MATCH(D97,'🔄 Rotação Duplas'!$C$64:$C$73,0)),INDEX('🔄 Rotação Duplas'!$C$64:$C$73,MATCH(D97,'🔄 Rotação Duplas'!$D$64:$D$73,0))),"Semana 6",IFERROR(INDEX('🔄 Rotação Duplas'!$D$78:$D$87,MATCH(D97,'🔄 Rotação Duplas'!$C$78:$C$87,0)),INDEX('🔄 Rotação Duplas'!$C$78:$C$87,MATCH(D97,'🔄 Rotação Duplas'!$D$78:$D$87,0))),"Semana 7",IFERROR(INDEX('🔄 Rotação Duplas'!$D$92:$D$101,MATCH(D97,'🔄 Rotação Duplas'!$C$92:$C$101,0)),INDEX('🔄 Rotação Duplas'!$C$92:$C$101,MATCH(D97,'🔄 Rotação Duplas'!$D$92:$D$101,0))),"Semana 8",IFERROR(INDEX('🔄 Rotação Duplas'!$D$106:$D$115,MATCH(D97,'🔄 Rotação Duplas'!$C$106:$C$115,0)),INDEX('🔄 Rotação Duplas'!$C$106:$C$115,MATCH(D97,'🔄 Rotação Duplas'!$D$106:$D$115,0)))),""))</f>
        <v/>
      </c>
      <c r="T97">
        <f t="shared" si="8"/>
        <v>0</v>
      </c>
    </row>
    <row r="98" spans="2:20" ht="18" customHeight="1" x14ac:dyDescent="0.2">
      <c r="B98" s="85" t="s">
        <v>60</v>
      </c>
      <c r="C98" s="86" t="str">
        <f t="shared" si="9"/>
        <v>Desafio 5</v>
      </c>
      <c r="D98" s="87" t="str">
        <f>'⚙️ Configuração'!C41</f>
        <v>Marta Torres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81">
        <f>(E98*'⚙️ Configuração'!$C$6+F98*'⚙️ Configuração'!$C$7+G98*'⚙️ Configuração'!$C$8+H98*'⚙️ Configuração'!$C$9+I98*'⚙️ Configuração'!$C$10+J98*'⚙️ Configuração'!$C$11)*IF(N98="S",2,1)</f>
        <v>0</v>
      </c>
      <c r="L98" s="90" t="s">
        <v>167</v>
      </c>
      <c r="M98" s="82">
        <f>IF(L98="AT1",'⚙️ Configuração'!$C$14,IF(L98="AT2",'⚙️ Configuração'!$C$15,IF(L98="FI",'⚙️ Configuração'!$C$16,IF(L98="FJ",'⚙️ Configuração'!$C$17,0))))</f>
        <v>0</v>
      </c>
      <c r="N98" s="91" t="s">
        <v>167</v>
      </c>
      <c r="O98" s="92"/>
      <c r="P98" s="83">
        <f>IF(O98="1",'⚙️ Configuração'!$C$21,IF(O98="2",'⚙️ Configuração'!$C$22,IF(O98="3",'⚙️ Configuração'!$C$23,IF(O98="Outro",'⚙️ Configuração'!$C$24,0))))</f>
        <v>0</v>
      </c>
      <c r="Q98" s="84">
        <f t="shared" si="7"/>
        <v>0</v>
      </c>
      <c r="R98" s="40" t="str">
        <f t="shared" si="1"/>
        <v>Semana 1 — ver 🔄</v>
      </c>
      <c r="S98" t="str" cm="1">
        <f t="array" ref="S98">IF(D98="","",IFERROR(_xlfn.SWITCH(B98,"Semana 1",IFERROR(INDEX('🔄 Rotação Duplas'!$D$8:$D$17,MATCH(D98,'🔄 Rotação Duplas'!$C$8:$C$17,0)),INDEX('🔄 Rotação Duplas'!$C$8:$C$17,MATCH(D98,'🔄 Rotação Duplas'!$D$8:$D$17,0))),"Semana 2",IFERROR(INDEX('🔄 Rotação Duplas'!$D$22:$D$31,MATCH(D98,'🔄 Rotação Duplas'!$C$22:$C$31,0)),INDEX('🔄 Rotação Duplas'!$C$22:$C$31,MATCH(D98,'🔄 Rotação Duplas'!$D$22:$D$31,0))),"Semana 3",IFERROR(INDEX('🔄 Rotação Duplas'!$D$36:$D$45,MATCH(D98,'🔄 Rotação Duplas'!$C$36:$C$45,0)),INDEX('🔄 Rotação Duplas'!$C$36:$C$45,MATCH(D98,'🔄 Rotação Duplas'!$D$36:$D$45,0))),"Semana 4",IFERROR(INDEX('🔄 Rotação Duplas'!$D$50:$D$59,MATCH(D98,'🔄 Rotação Duplas'!$C$50:$C$59,0)),INDEX('🔄 Rotação Duplas'!$C$50:$C$59,MATCH(D98,'🔄 Rotação Duplas'!$D$50:$D$59,0))),"Semana 5",IFERROR(INDEX('🔄 Rotação Duplas'!$D$64:$D$73,MATCH(D98,'🔄 Rotação Duplas'!$C$64:$C$73,0)),INDEX('🔄 Rotação Duplas'!$C$64:$C$73,MATCH(D98,'🔄 Rotação Duplas'!$D$64:$D$73,0))),"Semana 6",IFERROR(INDEX('🔄 Rotação Duplas'!$D$78:$D$87,MATCH(D98,'🔄 Rotação Duplas'!$C$78:$C$87,0)),INDEX('🔄 Rotação Duplas'!$C$78:$C$87,MATCH(D98,'🔄 Rotação Duplas'!$D$78:$D$87,0))),"Semana 7",IFERROR(INDEX('🔄 Rotação Duplas'!$D$92:$D$101,MATCH(D98,'🔄 Rotação Duplas'!$C$92:$C$101,0)),INDEX('🔄 Rotação Duplas'!$C$92:$C$101,MATCH(D98,'🔄 Rotação Duplas'!$D$92:$D$101,0))),"Semana 8",IFERROR(INDEX('🔄 Rotação Duplas'!$D$106:$D$115,MATCH(D98,'🔄 Rotação Duplas'!$C$106:$C$115,0)),INDEX('🔄 Rotação Duplas'!$C$106:$C$115,MATCH(D98,'🔄 Rotação Duplas'!$D$106:$D$115,0)))),""))</f>
        <v/>
      </c>
      <c r="T98">
        <f t="shared" si="8"/>
        <v>0</v>
      </c>
    </row>
    <row r="99" spans="2:20" ht="18" customHeight="1" x14ac:dyDescent="0.2">
      <c r="B99" s="78" t="s">
        <v>60</v>
      </c>
      <c r="C99" s="79" t="str">
        <f t="shared" si="9"/>
        <v>Desafio 5</v>
      </c>
      <c r="D99" s="80" t="str">
        <f>'⚙️ Configuração'!C42</f>
        <v>Patricia Isabel Silva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81">
        <f>(E99*'⚙️ Configuração'!$C$6+F99*'⚙️ Configuração'!$C$7+G99*'⚙️ Configuração'!$C$8+H99*'⚙️ Configuração'!$C$9+I99*'⚙️ Configuração'!$C$10+J99*'⚙️ Configuração'!$C$11)*IF(N99="S",2,1)</f>
        <v>0</v>
      </c>
      <c r="L99" s="90" t="s">
        <v>167</v>
      </c>
      <c r="M99" s="82">
        <f>IF(L99="AT1",'⚙️ Configuração'!$C$14,IF(L99="AT2",'⚙️ Configuração'!$C$15,IF(L99="FI",'⚙️ Configuração'!$C$16,IF(L99="FJ",'⚙️ Configuração'!$C$17,0))))</f>
        <v>0</v>
      </c>
      <c r="N99" s="91" t="s">
        <v>167</v>
      </c>
      <c r="O99" s="92"/>
      <c r="P99" s="83">
        <f>IF(O99="1",'⚙️ Configuração'!$C$21,IF(O99="2",'⚙️ Configuração'!$C$22,IF(O99="3",'⚙️ Configuração'!$C$23,IF(O99="Outro",'⚙️ Configuração'!$C$24,0))))</f>
        <v>0</v>
      </c>
      <c r="Q99" s="84">
        <f t="shared" si="7"/>
        <v>0</v>
      </c>
      <c r="R99" s="40" t="str">
        <f t="shared" si="1"/>
        <v>Semana 1 — ver 🔄</v>
      </c>
      <c r="S99" t="str" cm="1">
        <f t="array" ref="S99">IF(D99="","",IFERROR(_xlfn.SWITCH(B99,"Semana 1",IFERROR(INDEX('🔄 Rotação Duplas'!$D$8:$D$17,MATCH(D99,'🔄 Rotação Duplas'!$C$8:$C$17,0)),INDEX('🔄 Rotação Duplas'!$C$8:$C$17,MATCH(D99,'🔄 Rotação Duplas'!$D$8:$D$17,0))),"Semana 2",IFERROR(INDEX('🔄 Rotação Duplas'!$D$22:$D$31,MATCH(D99,'🔄 Rotação Duplas'!$C$22:$C$31,0)),INDEX('🔄 Rotação Duplas'!$C$22:$C$31,MATCH(D99,'🔄 Rotação Duplas'!$D$22:$D$31,0))),"Semana 3",IFERROR(INDEX('🔄 Rotação Duplas'!$D$36:$D$45,MATCH(D99,'🔄 Rotação Duplas'!$C$36:$C$45,0)),INDEX('🔄 Rotação Duplas'!$C$36:$C$45,MATCH(D99,'🔄 Rotação Duplas'!$D$36:$D$45,0))),"Semana 4",IFERROR(INDEX('🔄 Rotação Duplas'!$D$50:$D$59,MATCH(D99,'🔄 Rotação Duplas'!$C$50:$C$59,0)),INDEX('🔄 Rotação Duplas'!$C$50:$C$59,MATCH(D99,'🔄 Rotação Duplas'!$D$50:$D$59,0))),"Semana 5",IFERROR(INDEX('🔄 Rotação Duplas'!$D$64:$D$73,MATCH(D99,'🔄 Rotação Duplas'!$C$64:$C$73,0)),INDEX('🔄 Rotação Duplas'!$C$64:$C$73,MATCH(D99,'🔄 Rotação Duplas'!$D$64:$D$73,0))),"Semana 6",IFERROR(INDEX('🔄 Rotação Duplas'!$D$78:$D$87,MATCH(D99,'🔄 Rotação Duplas'!$C$78:$C$87,0)),INDEX('🔄 Rotação Duplas'!$C$78:$C$87,MATCH(D99,'🔄 Rotação Duplas'!$D$78:$D$87,0))),"Semana 7",IFERROR(INDEX('🔄 Rotação Duplas'!$D$92:$D$101,MATCH(D99,'🔄 Rotação Duplas'!$C$92:$C$101,0)),INDEX('🔄 Rotação Duplas'!$C$92:$C$101,MATCH(D99,'🔄 Rotação Duplas'!$D$92:$D$101,0))),"Semana 8",IFERROR(INDEX('🔄 Rotação Duplas'!$D$106:$D$115,MATCH(D99,'🔄 Rotação Duplas'!$C$106:$C$115,0)),INDEX('🔄 Rotação Duplas'!$C$106:$C$115,MATCH(D99,'🔄 Rotação Duplas'!$D$106:$D$115,0)))),""))</f>
        <v/>
      </c>
      <c r="T99">
        <f t="shared" si="8"/>
        <v>0</v>
      </c>
    </row>
    <row r="100" spans="2:20" ht="18" customHeight="1" x14ac:dyDescent="0.2">
      <c r="B100" s="85" t="s">
        <v>60</v>
      </c>
      <c r="C100" s="86" t="str">
        <f t="shared" si="9"/>
        <v>Desafio 5</v>
      </c>
      <c r="D100" s="87" t="str">
        <f>'⚙️ Configuração'!C43</f>
        <v>Paula Martins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81">
        <f>(E100*'⚙️ Configuração'!$C$6+F100*'⚙️ Configuração'!$C$7+G100*'⚙️ Configuração'!$C$8+H100*'⚙️ Configuração'!$C$9+I100*'⚙️ Configuração'!$C$10+J100*'⚙️ Configuração'!$C$11)*IF(N100="S",2,1)</f>
        <v>0</v>
      </c>
      <c r="L100" s="90" t="s">
        <v>167</v>
      </c>
      <c r="M100" s="82">
        <f>IF(L100="AT1",'⚙️ Configuração'!$C$14,IF(L100="AT2",'⚙️ Configuração'!$C$15,IF(L100="FI",'⚙️ Configuração'!$C$16,IF(L100="FJ",'⚙️ Configuração'!$C$17,0))))</f>
        <v>0</v>
      </c>
      <c r="N100" s="91" t="s">
        <v>167</v>
      </c>
      <c r="O100" s="92"/>
      <c r="P100" s="83">
        <f>IF(O100="1",'⚙️ Configuração'!$C$21,IF(O100="2",'⚙️ Configuração'!$C$22,IF(O100="3",'⚙️ Configuração'!$C$23,IF(O100="Outro",'⚙️ Configuração'!$C$24,0))))</f>
        <v>0</v>
      </c>
      <c r="Q100" s="84">
        <f t="shared" si="7"/>
        <v>0</v>
      </c>
      <c r="R100" s="40" t="str">
        <f t="shared" si="1"/>
        <v>Semana 1 — ver 🔄</v>
      </c>
      <c r="S100" t="str" cm="1">
        <f t="array" ref="S100">IF(D100="","",IFERROR(_xlfn.SWITCH(B100,"Semana 1",IFERROR(INDEX('🔄 Rotação Duplas'!$D$8:$D$17,MATCH(D100,'🔄 Rotação Duplas'!$C$8:$C$17,0)),INDEX('🔄 Rotação Duplas'!$C$8:$C$17,MATCH(D100,'🔄 Rotação Duplas'!$D$8:$D$17,0))),"Semana 2",IFERROR(INDEX('🔄 Rotação Duplas'!$D$22:$D$31,MATCH(D100,'🔄 Rotação Duplas'!$C$22:$C$31,0)),INDEX('🔄 Rotação Duplas'!$C$22:$C$31,MATCH(D100,'🔄 Rotação Duplas'!$D$22:$D$31,0))),"Semana 3",IFERROR(INDEX('🔄 Rotação Duplas'!$D$36:$D$45,MATCH(D100,'🔄 Rotação Duplas'!$C$36:$C$45,0)),INDEX('🔄 Rotação Duplas'!$C$36:$C$45,MATCH(D100,'🔄 Rotação Duplas'!$D$36:$D$45,0))),"Semana 4",IFERROR(INDEX('🔄 Rotação Duplas'!$D$50:$D$59,MATCH(D100,'🔄 Rotação Duplas'!$C$50:$C$59,0)),INDEX('🔄 Rotação Duplas'!$C$50:$C$59,MATCH(D100,'🔄 Rotação Duplas'!$D$50:$D$59,0))),"Semana 5",IFERROR(INDEX('🔄 Rotação Duplas'!$D$64:$D$73,MATCH(D100,'🔄 Rotação Duplas'!$C$64:$C$73,0)),INDEX('🔄 Rotação Duplas'!$C$64:$C$73,MATCH(D100,'🔄 Rotação Duplas'!$D$64:$D$73,0))),"Semana 6",IFERROR(INDEX('🔄 Rotação Duplas'!$D$78:$D$87,MATCH(D100,'🔄 Rotação Duplas'!$C$78:$C$87,0)),INDEX('🔄 Rotação Duplas'!$C$78:$C$87,MATCH(D100,'🔄 Rotação Duplas'!$D$78:$D$87,0))),"Semana 7",IFERROR(INDEX('🔄 Rotação Duplas'!$D$92:$D$101,MATCH(D100,'🔄 Rotação Duplas'!$C$92:$C$101,0)),INDEX('🔄 Rotação Duplas'!$C$92:$C$101,MATCH(D100,'🔄 Rotação Duplas'!$D$92:$D$101,0))),"Semana 8",IFERROR(INDEX('🔄 Rotação Duplas'!$D$106:$D$115,MATCH(D100,'🔄 Rotação Duplas'!$C$106:$C$115,0)),INDEX('🔄 Rotação Duplas'!$C$106:$C$115,MATCH(D100,'🔄 Rotação Duplas'!$D$106:$D$115,0)))),""))</f>
        <v/>
      </c>
      <c r="T100">
        <f t="shared" si="8"/>
        <v>0</v>
      </c>
    </row>
    <row r="101" spans="2:20" ht="18" customHeight="1" x14ac:dyDescent="0.2">
      <c r="B101" s="78" t="s">
        <v>60</v>
      </c>
      <c r="C101" s="79" t="str">
        <f t="shared" si="9"/>
        <v>Desafio 5</v>
      </c>
      <c r="D101" s="80" t="str">
        <f>'⚙️ Configuração'!C44</f>
        <v>Paula Miabara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81">
        <f>(E101*'⚙️ Configuração'!$C$6+F101*'⚙️ Configuração'!$C$7+G101*'⚙️ Configuração'!$C$8+H101*'⚙️ Configuração'!$C$9+I101*'⚙️ Configuração'!$C$10+J101*'⚙️ Configuração'!$C$11)*IF(N101="S",2,1)</f>
        <v>0</v>
      </c>
      <c r="L101" s="90" t="s">
        <v>167</v>
      </c>
      <c r="M101" s="82">
        <f>IF(L101="AT1",'⚙️ Configuração'!$C$14,IF(L101="AT2",'⚙️ Configuração'!$C$15,IF(L101="FI",'⚙️ Configuração'!$C$16,IF(L101="FJ",'⚙️ Configuração'!$C$17,0))))</f>
        <v>0</v>
      </c>
      <c r="N101" s="91" t="s">
        <v>167</v>
      </c>
      <c r="O101" s="92"/>
      <c r="P101" s="83">
        <f>IF(O101="1",'⚙️ Configuração'!$C$21,IF(O101="2",'⚙️ Configuração'!$C$22,IF(O101="3",'⚙️ Configuração'!$C$23,IF(O101="Outro",'⚙️ Configuração'!$C$24,0))))</f>
        <v>0</v>
      </c>
      <c r="Q101" s="84">
        <f t="shared" si="7"/>
        <v>0</v>
      </c>
      <c r="R101" s="40" t="str">
        <f t="shared" si="1"/>
        <v>Semana 1 — ver 🔄</v>
      </c>
      <c r="S101" t="str" cm="1">
        <f t="array" ref="S101">IF(D101="","",IFERROR(_xlfn.SWITCH(B101,"Semana 1",IFERROR(INDEX('🔄 Rotação Duplas'!$D$8:$D$17,MATCH(D101,'🔄 Rotação Duplas'!$C$8:$C$17,0)),INDEX('🔄 Rotação Duplas'!$C$8:$C$17,MATCH(D101,'🔄 Rotação Duplas'!$D$8:$D$17,0))),"Semana 2",IFERROR(INDEX('🔄 Rotação Duplas'!$D$22:$D$31,MATCH(D101,'🔄 Rotação Duplas'!$C$22:$C$31,0)),INDEX('🔄 Rotação Duplas'!$C$22:$C$31,MATCH(D101,'🔄 Rotação Duplas'!$D$22:$D$31,0))),"Semana 3",IFERROR(INDEX('🔄 Rotação Duplas'!$D$36:$D$45,MATCH(D101,'🔄 Rotação Duplas'!$C$36:$C$45,0)),INDEX('🔄 Rotação Duplas'!$C$36:$C$45,MATCH(D101,'🔄 Rotação Duplas'!$D$36:$D$45,0))),"Semana 4",IFERROR(INDEX('🔄 Rotação Duplas'!$D$50:$D$59,MATCH(D101,'🔄 Rotação Duplas'!$C$50:$C$59,0)),INDEX('🔄 Rotação Duplas'!$C$50:$C$59,MATCH(D101,'🔄 Rotação Duplas'!$D$50:$D$59,0))),"Semana 5",IFERROR(INDEX('🔄 Rotação Duplas'!$D$64:$D$73,MATCH(D101,'🔄 Rotação Duplas'!$C$64:$C$73,0)),INDEX('🔄 Rotação Duplas'!$C$64:$C$73,MATCH(D101,'🔄 Rotação Duplas'!$D$64:$D$73,0))),"Semana 6",IFERROR(INDEX('🔄 Rotação Duplas'!$D$78:$D$87,MATCH(D101,'🔄 Rotação Duplas'!$C$78:$C$87,0)),INDEX('🔄 Rotação Duplas'!$C$78:$C$87,MATCH(D101,'🔄 Rotação Duplas'!$D$78:$D$87,0))),"Semana 7",IFERROR(INDEX('🔄 Rotação Duplas'!$D$92:$D$101,MATCH(D101,'🔄 Rotação Duplas'!$C$92:$C$101,0)),INDEX('🔄 Rotação Duplas'!$C$92:$C$101,MATCH(D101,'🔄 Rotação Duplas'!$D$92:$D$101,0))),"Semana 8",IFERROR(INDEX('🔄 Rotação Duplas'!$D$106:$D$115,MATCH(D101,'🔄 Rotação Duplas'!$C$106:$C$115,0)),INDEX('🔄 Rotação Duplas'!$C$106:$C$115,MATCH(D101,'🔄 Rotação Duplas'!$D$106:$D$115,0)))),""))</f>
        <v/>
      </c>
      <c r="T101">
        <f t="shared" si="8"/>
        <v>0</v>
      </c>
    </row>
    <row r="102" spans="2:20" ht="18" customHeight="1" x14ac:dyDescent="0.2">
      <c r="B102" s="85" t="s">
        <v>60</v>
      </c>
      <c r="C102" s="86" t="str">
        <f t="shared" si="9"/>
        <v>Desafio 5</v>
      </c>
      <c r="D102" s="87" t="str">
        <f>'⚙️ Configuração'!C45</f>
        <v>Rita Carmo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81">
        <f>(E102*'⚙️ Configuração'!$C$6+F102*'⚙️ Configuração'!$C$7+G102*'⚙️ Configuração'!$C$8+H102*'⚙️ Configuração'!$C$9+I102*'⚙️ Configuração'!$C$10+J102*'⚙️ Configuração'!$C$11)*IF(N102="S",2,1)</f>
        <v>0</v>
      </c>
      <c r="L102" s="90" t="s">
        <v>167</v>
      </c>
      <c r="M102" s="82">
        <f>IF(L102="AT1",'⚙️ Configuração'!$C$14,IF(L102="AT2",'⚙️ Configuração'!$C$15,IF(L102="FI",'⚙️ Configuração'!$C$16,IF(L102="FJ",'⚙️ Configuração'!$C$17,0))))</f>
        <v>0</v>
      </c>
      <c r="N102" s="91" t="s">
        <v>167</v>
      </c>
      <c r="O102" s="92"/>
      <c r="P102" s="83">
        <f>IF(O102="1",'⚙️ Configuração'!$C$21,IF(O102="2",'⚙️ Configuração'!$C$22,IF(O102="3",'⚙️ Configuração'!$C$23,IF(O102="Outro",'⚙️ Configuração'!$C$24,0))))</f>
        <v>0</v>
      </c>
      <c r="Q102" s="84">
        <f t="shared" si="7"/>
        <v>0</v>
      </c>
      <c r="R102" s="40" t="str">
        <f t="shared" si="1"/>
        <v>Semana 1 — ver 🔄</v>
      </c>
      <c r="S102" t="str" cm="1">
        <f t="array" ref="S102">IF(D102="","",IFERROR(_xlfn.SWITCH(B102,"Semana 1",IFERROR(INDEX('🔄 Rotação Duplas'!$D$8:$D$17,MATCH(D102,'🔄 Rotação Duplas'!$C$8:$C$17,0)),INDEX('🔄 Rotação Duplas'!$C$8:$C$17,MATCH(D102,'🔄 Rotação Duplas'!$D$8:$D$17,0))),"Semana 2",IFERROR(INDEX('🔄 Rotação Duplas'!$D$22:$D$31,MATCH(D102,'🔄 Rotação Duplas'!$C$22:$C$31,0)),INDEX('🔄 Rotação Duplas'!$C$22:$C$31,MATCH(D102,'🔄 Rotação Duplas'!$D$22:$D$31,0))),"Semana 3",IFERROR(INDEX('🔄 Rotação Duplas'!$D$36:$D$45,MATCH(D102,'🔄 Rotação Duplas'!$C$36:$C$45,0)),INDEX('🔄 Rotação Duplas'!$C$36:$C$45,MATCH(D102,'🔄 Rotação Duplas'!$D$36:$D$45,0))),"Semana 4",IFERROR(INDEX('🔄 Rotação Duplas'!$D$50:$D$59,MATCH(D102,'🔄 Rotação Duplas'!$C$50:$C$59,0)),INDEX('🔄 Rotação Duplas'!$C$50:$C$59,MATCH(D102,'🔄 Rotação Duplas'!$D$50:$D$59,0))),"Semana 5",IFERROR(INDEX('🔄 Rotação Duplas'!$D$64:$D$73,MATCH(D102,'🔄 Rotação Duplas'!$C$64:$C$73,0)),INDEX('🔄 Rotação Duplas'!$C$64:$C$73,MATCH(D102,'🔄 Rotação Duplas'!$D$64:$D$73,0))),"Semana 6",IFERROR(INDEX('🔄 Rotação Duplas'!$D$78:$D$87,MATCH(D102,'🔄 Rotação Duplas'!$C$78:$C$87,0)),INDEX('🔄 Rotação Duplas'!$C$78:$C$87,MATCH(D102,'🔄 Rotação Duplas'!$D$78:$D$87,0))),"Semana 7",IFERROR(INDEX('🔄 Rotação Duplas'!$D$92:$D$101,MATCH(D102,'🔄 Rotação Duplas'!$C$92:$C$101,0)),INDEX('🔄 Rotação Duplas'!$C$92:$C$101,MATCH(D102,'🔄 Rotação Duplas'!$D$92:$D$101,0))),"Semana 8",IFERROR(INDEX('🔄 Rotação Duplas'!$D$106:$D$115,MATCH(D102,'🔄 Rotação Duplas'!$C$106:$C$115,0)),INDEX('🔄 Rotação Duplas'!$C$106:$C$115,MATCH(D102,'🔄 Rotação Duplas'!$D$106:$D$115,0)))),""))</f>
        <v/>
      </c>
      <c r="T102">
        <f t="shared" si="8"/>
        <v>0</v>
      </c>
    </row>
    <row r="103" spans="2:20" ht="18" customHeight="1" x14ac:dyDescent="0.2">
      <c r="B103" s="78" t="s">
        <v>60</v>
      </c>
      <c r="C103" s="79" t="str">
        <f t="shared" si="9"/>
        <v>Desafio 5</v>
      </c>
      <c r="D103" s="80" t="str">
        <f>'⚙️ Configuração'!C46</f>
        <v>William Fernandes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81">
        <f>(E103*'⚙️ Configuração'!$C$6+F103*'⚙️ Configuração'!$C$7+G103*'⚙️ Configuração'!$C$8+H103*'⚙️ Configuração'!$C$9+I103*'⚙️ Configuração'!$C$10+J103*'⚙️ Configuração'!$C$11)*IF(N103="S",2,1)</f>
        <v>0</v>
      </c>
      <c r="L103" s="90" t="s">
        <v>167</v>
      </c>
      <c r="M103" s="82">
        <f>IF(L103="AT1",'⚙️ Configuração'!$C$14,IF(L103="AT2",'⚙️ Configuração'!$C$15,IF(L103="FI",'⚙️ Configuração'!$C$16,IF(L103="FJ",'⚙️ Configuração'!$C$17,0))))</f>
        <v>0</v>
      </c>
      <c r="N103" s="91" t="s">
        <v>167</v>
      </c>
      <c r="O103" s="92"/>
      <c r="P103" s="83">
        <f>IF(O103="1",'⚙️ Configuração'!$C$21,IF(O103="2",'⚙️ Configuração'!$C$22,IF(O103="3",'⚙️ Configuração'!$C$23,IF(O103="Outro",'⚙️ Configuração'!$C$24,0))))</f>
        <v>0</v>
      </c>
      <c r="Q103" s="84">
        <f t="shared" si="7"/>
        <v>0</v>
      </c>
      <c r="R103" s="40" t="str">
        <f t="shared" si="1"/>
        <v>Semana 1 — ver 🔄</v>
      </c>
      <c r="S103" t="str" cm="1">
        <f t="array" ref="S103">IF(D103="","",IFERROR(_xlfn.SWITCH(B103,"Semana 1",IFERROR(INDEX('🔄 Rotação Duplas'!$D$8:$D$17,MATCH(D103,'🔄 Rotação Duplas'!$C$8:$C$17,0)),INDEX('🔄 Rotação Duplas'!$C$8:$C$17,MATCH(D103,'🔄 Rotação Duplas'!$D$8:$D$17,0))),"Semana 2",IFERROR(INDEX('🔄 Rotação Duplas'!$D$22:$D$31,MATCH(D103,'🔄 Rotação Duplas'!$C$22:$C$31,0)),INDEX('🔄 Rotação Duplas'!$C$22:$C$31,MATCH(D103,'🔄 Rotação Duplas'!$D$22:$D$31,0))),"Semana 3",IFERROR(INDEX('🔄 Rotação Duplas'!$D$36:$D$45,MATCH(D103,'🔄 Rotação Duplas'!$C$36:$C$45,0)),INDEX('🔄 Rotação Duplas'!$C$36:$C$45,MATCH(D103,'🔄 Rotação Duplas'!$D$36:$D$45,0))),"Semana 4",IFERROR(INDEX('🔄 Rotação Duplas'!$D$50:$D$59,MATCH(D103,'🔄 Rotação Duplas'!$C$50:$C$59,0)),INDEX('🔄 Rotação Duplas'!$C$50:$C$59,MATCH(D103,'🔄 Rotação Duplas'!$D$50:$D$59,0))),"Semana 5",IFERROR(INDEX('🔄 Rotação Duplas'!$D$64:$D$73,MATCH(D103,'🔄 Rotação Duplas'!$C$64:$C$73,0)),INDEX('🔄 Rotação Duplas'!$C$64:$C$73,MATCH(D103,'🔄 Rotação Duplas'!$D$64:$D$73,0))),"Semana 6",IFERROR(INDEX('🔄 Rotação Duplas'!$D$78:$D$87,MATCH(D103,'🔄 Rotação Duplas'!$C$78:$C$87,0)),INDEX('🔄 Rotação Duplas'!$C$78:$C$87,MATCH(D103,'🔄 Rotação Duplas'!$D$78:$D$87,0))),"Semana 7",IFERROR(INDEX('🔄 Rotação Duplas'!$D$92:$D$101,MATCH(D103,'🔄 Rotação Duplas'!$C$92:$C$101,0)),INDEX('🔄 Rotação Duplas'!$C$92:$C$101,MATCH(D103,'🔄 Rotação Duplas'!$D$92:$D$101,0))),"Semana 8",IFERROR(INDEX('🔄 Rotação Duplas'!$D$106:$D$115,MATCH(D103,'🔄 Rotação Duplas'!$C$106:$C$115,0)),INDEX('🔄 Rotação Duplas'!$C$106:$C$115,MATCH(D103,'🔄 Rotação Duplas'!$D$106:$D$115,0)))),""))</f>
        <v/>
      </c>
      <c r="T103">
        <f t="shared" si="8"/>
        <v>0</v>
      </c>
    </row>
    <row r="104" spans="2:20" ht="18" customHeight="1" x14ac:dyDescent="0.2">
      <c r="B104" s="85" t="s">
        <v>60</v>
      </c>
      <c r="C104" s="86" t="str">
        <f t="shared" si="9"/>
        <v>Desafio 5</v>
      </c>
      <c r="D104" s="87" t="str">
        <f>'⚙️ Configuração'!C47</f>
        <v>-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81">
        <f>(E104*'⚙️ Configuração'!$C$6+F104*'⚙️ Configuração'!$C$7+G104*'⚙️ Configuração'!$C$8+H104*'⚙️ Configuração'!$C$9+I104*'⚙️ Configuração'!$C$10+J104*'⚙️ Configuração'!$C$11)*IF(N104="S",2,1)</f>
        <v>0</v>
      </c>
      <c r="L104" s="90" t="s">
        <v>167</v>
      </c>
      <c r="M104" s="82">
        <f>IF(L104="AT1",'⚙️ Configuração'!$C$14,IF(L104="AT2",'⚙️ Configuração'!$C$15,IF(L104="FI",'⚙️ Configuração'!$C$16,IF(L104="FJ",'⚙️ Configuração'!$C$17,0))))</f>
        <v>0</v>
      </c>
      <c r="N104" s="91" t="s">
        <v>167</v>
      </c>
      <c r="O104" s="92"/>
      <c r="P104" s="83">
        <f>IF(O104="1",'⚙️ Configuração'!$C$21,IF(O104="2",'⚙️ Configuração'!$C$22,IF(O104="3",'⚙️ Configuração'!$C$23,IF(O104="Outro",'⚙️ Configuração'!$C$24,0))))</f>
        <v>0</v>
      </c>
      <c r="Q104" s="84">
        <f t="shared" si="7"/>
        <v>0</v>
      </c>
      <c r="R104" s="40" t="str">
        <f t="shared" si="1"/>
        <v>Semana 1 — ver 🔄</v>
      </c>
      <c r="S104" t="str" cm="1">
        <f t="array" ref="S104">IF(D104="","",IFERROR(_xlfn.SWITCH(B104,"Semana 1",IFERROR(INDEX('🔄 Rotação Duplas'!$D$8:$D$17,MATCH(D104,'🔄 Rotação Duplas'!$C$8:$C$17,0)),INDEX('🔄 Rotação Duplas'!$C$8:$C$17,MATCH(D104,'🔄 Rotação Duplas'!$D$8:$D$17,0))),"Semana 2",IFERROR(INDEX('🔄 Rotação Duplas'!$D$22:$D$31,MATCH(D104,'🔄 Rotação Duplas'!$C$22:$C$31,0)),INDEX('🔄 Rotação Duplas'!$C$22:$C$31,MATCH(D104,'🔄 Rotação Duplas'!$D$22:$D$31,0))),"Semana 3",IFERROR(INDEX('🔄 Rotação Duplas'!$D$36:$D$45,MATCH(D104,'🔄 Rotação Duplas'!$C$36:$C$45,0)),INDEX('🔄 Rotação Duplas'!$C$36:$C$45,MATCH(D104,'🔄 Rotação Duplas'!$D$36:$D$45,0))),"Semana 4",IFERROR(INDEX('🔄 Rotação Duplas'!$D$50:$D$59,MATCH(D104,'🔄 Rotação Duplas'!$C$50:$C$59,0)),INDEX('🔄 Rotação Duplas'!$C$50:$C$59,MATCH(D104,'🔄 Rotação Duplas'!$D$50:$D$59,0))),"Semana 5",IFERROR(INDEX('🔄 Rotação Duplas'!$D$64:$D$73,MATCH(D104,'🔄 Rotação Duplas'!$C$64:$C$73,0)),INDEX('🔄 Rotação Duplas'!$C$64:$C$73,MATCH(D104,'🔄 Rotação Duplas'!$D$64:$D$73,0))),"Semana 6",IFERROR(INDEX('🔄 Rotação Duplas'!$D$78:$D$87,MATCH(D104,'🔄 Rotação Duplas'!$C$78:$C$87,0)),INDEX('🔄 Rotação Duplas'!$C$78:$C$87,MATCH(D104,'🔄 Rotação Duplas'!$D$78:$D$87,0))),"Semana 7",IFERROR(INDEX('🔄 Rotação Duplas'!$D$92:$D$101,MATCH(D104,'🔄 Rotação Duplas'!$C$92:$C$101,0)),INDEX('🔄 Rotação Duplas'!$C$92:$C$101,MATCH(D104,'🔄 Rotação Duplas'!$D$92:$D$101,0))),"Semana 8",IFERROR(INDEX('🔄 Rotação Duplas'!$D$106:$D$115,MATCH(D104,'🔄 Rotação Duplas'!$C$106:$C$115,0)),INDEX('🔄 Rotação Duplas'!$C$106:$C$115,MATCH(D104,'🔄 Rotação Duplas'!$D$106:$D$115,0)))),""))</f>
        <v/>
      </c>
      <c r="T104">
        <f t="shared" si="8"/>
        <v>0</v>
      </c>
    </row>
    <row r="105" spans="2:20" ht="18" customHeight="1" x14ac:dyDescent="0.2">
      <c r="B105" s="78" t="s">
        <v>60</v>
      </c>
      <c r="C105" s="79" t="str">
        <f t="shared" si="9"/>
        <v>Desafio 5</v>
      </c>
      <c r="D105" s="80" t="str">
        <f>'⚙️ Configuração'!C48</f>
        <v>-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81">
        <f>(E105*'⚙️ Configuração'!$C$6+F105*'⚙️ Configuração'!$C$7+G105*'⚙️ Configuração'!$C$8+H105*'⚙️ Configuração'!$C$9+I105*'⚙️ Configuração'!$C$10+J105*'⚙️ Configuração'!$C$11)*IF(N105="S",2,1)</f>
        <v>0</v>
      </c>
      <c r="L105" s="90" t="s">
        <v>167</v>
      </c>
      <c r="M105" s="82">
        <f>IF(L105="AT1",'⚙️ Configuração'!$C$14,IF(L105="AT2",'⚙️ Configuração'!$C$15,IF(L105="FI",'⚙️ Configuração'!$C$16,IF(L105="FJ",'⚙️ Configuração'!$C$17,0))))</f>
        <v>0</v>
      </c>
      <c r="N105" s="91" t="s">
        <v>167</v>
      </c>
      <c r="O105" s="92"/>
      <c r="P105" s="83">
        <f>IF(O105="1",'⚙️ Configuração'!$C$21,IF(O105="2",'⚙️ Configuração'!$C$22,IF(O105="3",'⚙️ Configuração'!$C$23,IF(O105="Outro",'⚙️ Configuração'!$C$24,0))))</f>
        <v>0</v>
      </c>
      <c r="Q105" s="84">
        <f t="shared" si="7"/>
        <v>0</v>
      </c>
      <c r="R105" s="40" t="str">
        <f t="shared" si="1"/>
        <v>Semana 1 — ver 🔄</v>
      </c>
      <c r="S105" t="str" cm="1">
        <f t="array" ref="S105">IF(D105="","",IFERROR(_xlfn.SWITCH(B105,"Semana 1",IFERROR(INDEX('🔄 Rotação Duplas'!$D$8:$D$17,MATCH(D105,'🔄 Rotação Duplas'!$C$8:$C$17,0)),INDEX('🔄 Rotação Duplas'!$C$8:$C$17,MATCH(D105,'🔄 Rotação Duplas'!$D$8:$D$17,0))),"Semana 2",IFERROR(INDEX('🔄 Rotação Duplas'!$D$22:$D$31,MATCH(D105,'🔄 Rotação Duplas'!$C$22:$C$31,0)),INDEX('🔄 Rotação Duplas'!$C$22:$C$31,MATCH(D105,'🔄 Rotação Duplas'!$D$22:$D$31,0))),"Semana 3",IFERROR(INDEX('🔄 Rotação Duplas'!$D$36:$D$45,MATCH(D105,'🔄 Rotação Duplas'!$C$36:$C$45,0)),INDEX('🔄 Rotação Duplas'!$C$36:$C$45,MATCH(D105,'🔄 Rotação Duplas'!$D$36:$D$45,0))),"Semana 4",IFERROR(INDEX('🔄 Rotação Duplas'!$D$50:$D$59,MATCH(D105,'🔄 Rotação Duplas'!$C$50:$C$59,0)),INDEX('🔄 Rotação Duplas'!$C$50:$C$59,MATCH(D105,'🔄 Rotação Duplas'!$D$50:$D$59,0))),"Semana 5",IFERROR(INDEX('🔄 Rotação Duplas'!$D$64:$D$73,MATCH(D105,'🔄 Rotação Duplas'!$C$64:$C$73,0)),INDEX('🔄 Rotação Duplas'!$C$64:$C$73,MATCH(D105,'🔄 Rotação Duplas'!$D$64:$D$73,0))),"Semana 6",IFERROR(INDEX('🔄 Rotação Duplas'!$D$78:$D$87,MATCH(D105,'🔄 Rotação Duplas'!$C$78:$C$87,0)),INDEX('🔄 Rotação Duplas'!$C$78:$C$87,MATCH(D105,'🔄 Rotação Duplas'!$D$78:$D$87,0))),"Semana 7",IFERROR(INDEX('🔄 Rotação Duplas'!$D$92:$D$101,MATCH(D105,'🔄 Rotação Duplas'!$C$92:$C$101,0)),INDEX('🔄 Rotação Duplas'!$C$92:$C$101,MATCH(D105,'🔄 Rotação Duplas'!$D$92:$D$101,0))),"Semana 8",IFERROR(INDEX('🔄 Rotação Duplas'!$D$106:$D$115,MATCH(D105,'🔄 Rotação Duplas'!$C$106:$C$115,0)),INDEX('🔄 Rotação Duplas'!$C$106:$C$115,MATCH(D105,'🔄 Rotação Duplas'!$D$106:$D$115,0)))),""))</f>
        <v/>
      </c>
      <c r="T105">
        <f t="shared" si="8"/>
        <v>0</v>
      </c>
    </row>
    <row r="106" spans="2:20" ht="18" customHeight="1" x14ac:dyDescent="0.2">
      <c r="B106" s="85" t="s">
        <v>60</v>
      </c>
      <c r="C106" s="86" t="str">
        <f t="shared" si="9"/>
        <v>Desafio 5</v>
      </c>
      <c r="D106" s="87" t="str">
        <f>'⚙️ Configuração'!C49</f>
        <v>-</v>
      </c>
      <c r="E106" s="50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81">
        <f>(E106*'⚙️ Configuração'!$C$6+F106*'⚙️ Configuração'!$C$7+G106*'⚙️ Configuração'!$C$8+H106*'⚙️ Configuração'!$C$9+I106*'⚙️ Configuração'!$C$10+J106*'⚙️ Configuração'!$C$11)*IF(N106="S",2,1)</f>
        <v>0</v>
      </c>
      <c r="L106" s="90" t="s">
        <v>167</v>
      </c>
      <c r="M106" s="82">
        <f>IF(L106="AT1",'⚙️ Configuração'!$C$14,IF(L106="AT2",'⚙️ Configuração'!$C$15,IF(L106="FI",'⚙️ Configuração'!$C$16,IF(L106="FJ",'⚙️ Configuração'!$C$17,0))))</f>
        <v>0</v>
      </c>
      <c r="N106" s="91" t="s">
        <v>167</v>
      </c>
      <c r="O106" s="92"/>
      <c r="P106" s="83">
        <f>IF(O106="1",'⚙️ Configuração'!$C$21,IF(O106="2",'⚙️ Configuração'!$C$22,IF(O106="3",'⚙️ Configuração'!$C$23,IF(O106="Outro",'⚙️ Configuração'!$C$24,0))))</f>
        <v>0</v>
      </c>
      <c r="Q106" s="84">
        <f t="shared" si="7"/>
        <v>0</v>
      </c>
      <c r="R106" s="40" t="str">
        <f t="shared" si="1"/>
        <v>Semana 1 — ver 🔄</v>
      </c>
      <c r="S106" t="str" cm="1">
        <f t="array" ref="S106">IF(D106="","",IFERROR(_xlfn.SWITCH(B106,"Semana 1",IFERROR(INDEX('🔄 Rotação Duplas'!$D$8:$D$17,MATCH(D106,'🔄 Rotação Duplas'!$C$8:$C$17,0)),INDEX('🔄 Rotação Duplas'!$C$8:$C$17,MATCH(D106,'🔄 Rotação Duplas'!$D$8:$D$17,0))),"Semana 2",IFERROR(INDEX('🔄 Rotação Duplas'!$D$22:$D$31,MATCH(D106,'🔄 Rotação Duplas'!$C$22:$C$31,0)),INDEX('🔄 Rotação Duplas'!$C$22:$C$31,MATCH(D106,'🔄 Rotação Duplas'!$D$22:$D$31,0))),"Semana 3",IFERROR(INDEX('🔄 Rotação Duplas'!$D$36:$D$45,MATCH(D106,'🔄 Rotação Duplas'!$C$36:$C$45,0)),INDEX('🔄 Rotação Duplas'!$C$36:$C$45,MATCH(D106,'🔄 Rotação Duplas'!$D$36:$D$45,0))),"Semana 4",IFERROR(INDEX('🔄 Rotação Duplas'!$D$50:$D$59,MATCH(D106,'🔄 Rotação Duplas'!$C$50:$C$59,0)),INDEX('🔄 Rotação Duplas'!$C$50:$C$59,MATCH(D106,'🔄 Rotação Duplas'!$D$50:$D$59,0))),"Semana 5",IFERROR(INDEX('🔄 Rotação Duplas'!$D$64:$D$73,MATCH(D106,'🔄 Rotação Duplas'!$C$64:$C$73,0)),INDEX('🔄 Rotação Duplas'!$C$64:$C$73,MATCH(D106,'🔄 Rotação Duplas'!$D$64:$D$73,0))),"Semana 6",IFERROR(INDEX('🔄 Rotação Duplas'!$D$78:$D$87,MATCH(D106,'🔄 Rotação Duplas'!$C$78:$C$87,0)),INDEX('🔄 Rotação Duplas'!$C$78:$C$87,MATCH(D106,'🔄 Rotação Duplas'!$D$78:$D$87,0))),"Semana 7",IFERROR(INDEX('🔄 Rotação Duplas'!$D$92:$D$101,MATCH(D106,'🔄 Rotação Duplas'!$C$92:$C$101,0)),INDEX('🔄 Rotação Duplas'!$C$92:$C$101,MATCH(D106,'🔄 Rotação Duplas'!$D$92:$D$101,0))),"Semana 8",IFERROR(INDEX('🔄 Rotação Duplas'!$D$106:$D$115,MATCH(D106,'🔄 Rotação Duplas'!$C$106:$C$115,0)),INDEX('🔄 Rotação Duplas'!$C$106:$C$115,MATCH(D106,'🔄 Rotação Duplas'!$D$106:$D$115,0)))),""))</f>
        <v/>
      </c>
      <c r="T106">
        <f t="shared" si="8"/>
        <v>0</v>
      </c>
    </row>
    <row r="107" spans="2:20" ht="18" customHeight="1" x14ac:dyDescent="0.2">
      <c r="B107" s="78" t="s">
        <v>60</v>
      </c>
      <c r="C107" s="79" t="str">
        <f t="shared" ref="C107:C126" si="10">"Desafio 6"</f>
        <v>Desafio 6</v>
      </c>
      <c r="D107" s="80" t="str">
        <f>'⚙️ Configuração'!C30</f>
        <v>Carla Cantante</v>
      </c>
      <c r="E107" s="50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81">
        <f>(E107*'⚙️ Configuração'!$C$6+F107*'⚙️ Configuração'!$C$7+G107*'⚙️ Configuração'!$C$8+H107*'⚙️ Configuração'!$C$9+I107*'⚙️ Configuração'!$C$10+J107*'⚙️ Configuração'!$C$11)*IF(N107="S",2,1)</f>
        <v>0</v>
      </c>
      <c r="L107" s="90" t="s">
        <v>167</v>
      </c>
      <c r="M107" s="82">
        <f>IF(L107="AT1",'⚙️ Configuração'!$C$14,IF(L107="AT2",'⚙️ Configuração'!$C$15,IF(L107="FI",'⚙️ Configuração'!$C$16,IF(L107="FJ",'⚙️ Configuração'!$C$17,0))))</f>
        <v>0</v>
      </c>
      <c r="N107" s="91" t="s">
        <v>167</v>
      </c>
      <c r="O107" s="92"/>
      <c r="P107" s="83">
        <f>IF(O107="1",'⚙️ Configuração'!$C$21,IF(O107="2",'⚙️ Configuração'!$C$22,IF(O107="3",'⚙️ Configuração'!$C$23,IF(O107="Outro",'⚙️ Configuração'!$C$24,0))))</f>
        <v>0</v>
      </c>
      <c r="Q107" s="84">
        <f t="shared" si="7"/>
        <v>0</v>
      </c>
      <c r="R107" s="40" t="str">
        <f t="shared" si="1"/>
        <v>Semana 1 — ver 🔄</v>
      </c>
      <c r="S107" t="str" cm="1">
        <f t="array" ref="S107">IF(D107="","",IFERROR(_xlfn.SWITCH(B107,"Semana 1",IFERROR(INDEX('🔄 Rotação Duplas'!$D$8:$D$17,MATCH(D107,'🔄 Rotação Duplas'!$C$8:$C$17,0)),INDEX('🔄 Rotação Duplas'!$C$8:$C$17,MATCH(D107,'🔄 Rotação Duplas'!$D$8:$D$17,0))),"Semana 2",IFERROR(INDEX('🔄 Rotação Duplas'!$D$22:$D$31,MATCH(D107,'🔄 Rotação Duplas'!$C$22:$C$31,0)),INDEX('🔄 Rotação Duplas'!$C$22:$C$31,MATCH(D107,'🔄 Rotação Duplas'!$D$22:$D$31,0))),"Semana 3",IFERROR(INDEX('🔄 Rotação Duplas'!$D$36:$D$45,MATCH(D107,'🔄 Rotação Duplas'!$C$36:$C$45,0)),INDEX('🔄 Rotação Duplas'!$C$36:$C$45,MATCH(D107,'🔄 Rotação Duplas'!$D$36:$D$45,0))),"Semana 4",IFERROR(INDEX('🔄 Rotação Duplas'!$D$50:$D$59,MATCH(D107,'🔄 Rotação Duplas'!$C$50:$C$59,0)),INDEX('🔄 Rotação Duplas'!$C$50:$C$59,MATCH(D107,'🔄 Rotação Duplas'!$D$50:$D$59,0))),"Semana 5",IFERROR(INDEX('🔄 Rotação Duplas'!$D$64:$D$73,MATCH(D107,'🔄 Rotação Duplas'!$C$64:$C$73,0)),INDEX('🔄 Rotação Duplas'!$C$64:$C$73,MATCH(D107,'🔄 Rotação Duplas'!$D$64:$D$73,0))),"Semana 6",IFERROR(INDEX('🔄 Rotação Duplas'!$D$78:$D$87,MATCH(D107,'🔄 Rotação Duplas'!$C$78:$C$87,0)),INDEX('🔄 Rotação Duplas'!$C$78:$C$87,MATCH(D107,'🔄 Rotação Duplas'!$D$78:$D$87,0))),"Semana 7",IFERROR(INDEX('🔄 Rotação Duplas'!$D$92:$D$101,MATCH(D107,'🔄 Rotação Duplas'!$C$92:$C$101,0)),INDEX('🔄 Rotação Duplas'!$C$92:$C$101,MATCH(D107,'🔄 Rotação Duplas'!$D$92:$D$101,0))),"Semana 8",IFERROR(INDEX('🔄 Rotação Duplas'!$D$106:$D$115,MATCH(D107,'🔄 Rotação Duplas'!$C$106:$C$115,0)),INDEX('🔄 Rotação Duplas'!$C$106:$C$115,MATCH(D107,'🔄 Rotação Duplas'!$D$106:$D$115,0)))),""))</f>
        <v/>
      </c>
      <c r="T107">
        <f t="shared" si="8"/>
        <v>0</v>
      </c>
    </row>
    <row r="108" spans="2:20" ht="18" customHeight="1" x14ac:dyDescent="0.2">
      <c r="B108" s="85" t="s">
        <v>60</v>
      </c>
      <c r="C108" s="86" t="str">
        <f t="shared" si="10"/>
        <v>Desafio 6</v>
      </c>
      <c r="D108" s="87" t="str">
        <f>'⚙️ Configuração'!C31</f>
        <v>Elisabete Mendes</v>
      </c>
      <c r="E108" s="50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81">
        <f>(E108*'⚙️ Configuração'!$C$6+F108*'⚙️ Configuração'!$C$7+G108*'⚙️ Configuração'!$C$8+H108*'⚙️ Configuração'!$C$9+I108*'⚙️ Configuração'!$C$10+J108*'⚙️ Configuração'!$C$11)*IF(N108="S",2,1)</f>
        <v>0</v>
      </c>
      <c r="L108" s="90" t="s">
        <v>167</v>
      </c>
      <c r="M108" s="82">
        <f>IF(L108="AT1",'⚙️ Configuração'!$C$14,IF(L108="AT2",'⚙️ Configuração'!$C$15,IF(L108="FI",'⚙️ Configuração'!$C$16,IF(L108="FJ",'⚙️ Configuração'!$C$17,0))))</f>
        <v>0</v>
      </c>
      <c r="N108" s="91" t="s">
        <v>167</v>
      </c>
      <c r="O108" s="92"/>
      <c r="P108" s="83">
        <f>IF(O108="1",'⚙️ Configuração'!$C$21,IF(O108="2",'⚙️ Configuração'!$C$22,IF(O108="3",'⚙️ Configuração'!$C$23,IF(O108="Outro",'⚙️ Configuração'!$C$24,0))))</f>
        <v>0</v>
      </c>
      <c r="Q108" s="84">
        <f t="shared" si="7"/>
        <v>0</v>
      </c>
      <c r="R108" s="40" t="str">
        <f t="shared" si="1"/>
        <v>Semana 1 — ver 🔄</v>
      </c>
      <c r="S108" t="str" cm="1">
        <f t="array" ref="S108">IF(D108="","",IFERROR(_xlfn.SWITCH(B108,"Semana 1",IFERROR(INDEX('🔄 Rotação Duplas'!$D$8:$D$17,MATCH(D108,'🔄 Rotação Duplas'!$C$8:$C$17,0)),INDEX('🔄 Rotação Duplas'!$C$8:$C$17,MATCH(D108,'🔄 Rotação Duplas'!$D$8:$D$17,0))),"Semana 2",IFERROR(INDEX('🔄 Rotação Duplas'!$D$22:$D$31,MATCH(D108,'🔄 Rotação Duplas'!$C$22:$C$31,0)),INDEX('🔄 Rotação Duplas'!$C$22:$C$31,MATCH(D108,'🔄 Rotação Duplas'!$D$22:$D$31,0))),"Semana 3",IFERROR(INDEX('🔄 Rotação Duplas'!$D$36:$D$45,MATCH(D108,'🔄 Rotação Duplas'!$C$36:$C$45,0)),INDEX('🔄 Rotação Duplas'!$C$36:$C$45,MATCH(D108,'🔄 Rotação Duplas'!$D$36:$D$45,0))),"Semana 4",IFERROR(INDEX('🔄 Rotação Duplas'!$D$50:$D$59,MATCH(D108,'🔄 Rotação Duplas'!$C$50:$C$59,0)),INDEX('🔄 Rotação Duplas'!$C$50:$C$59,MATCH(D108,'🔄 Rotação Duplas'!$D$50:$D$59,0))),"Semana 5",IFERROR(INDEX('🔄 Rotação Duplas'!$D$64:$D$73,MATCH(D108,'🔄 Rotação Duplas'!$C$64:$C$73,0)),INDEX('🔄 Rotação Duplas'!$C$64:$C$73,MATCH(D108,'🔄 Rotação Duplas'!$D$64:$D$73,0))),"Semana 6",IFERROR(INDEX('🔄 Rotação Duplas'!$D$78:$D$87,MATCH(D108,'🔄 Rotação Duplas'!$C$78:$C$87,0)),INDEX('🔄 Rotação Duplas'!$C$78:$C$87,MATCH(D108,'🔄 Rotação Duplas'!$D$78:$D$87,0))),"Semana 7",IFERROR(INDEX('🔄 Rotação Duplas'!$D$92:$D$101,MATCH(D108,'🔄 Rotação Duplas'!$C$92:$C$101,0)),INDEX('🔄 Rotação Duplas'!$C$92:$C$101,MATCH(D108,'🔄 Rotação Duplas'!$D$92:$D$101,0))),"Semana 8",IFERROR(INDEX('🔄 Rotação Duplas'!$D$106:$D$115,MATCH(D108,'🔄 Rotação Duplas'!$C$106:$C$115,0)),INDEX('🔄 Rotação Duplas'!$C$106:$C$115,MATCH(D108,'🔄 Rotação Duplas'!$D$106:$D$115,0)))),""))</f>
        <v/>
      </c>
      <c r="T108">
        <f t="shared" si="8"/>
        <v>0</v>
      </c>
    </row>
    <row r="109" spans="2:20" ht="18" customHeight="1" x14ac:dyDescent="0.2">
      <c r="B109" s="78" t="s">
        <v>60</v>
      </c>
      <c r="C109" s="79" t="str">
        <f t="shared" si="10"/>
        <v>Desafio 6</v>
      </c>
      <c r="D109" s="80" t="str">
        <f>'⚙️ Configuração'!C32</f>
        <v>Filipa Cunha</v>
      </c>
      <c r="E109" s="50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81">
        <f>(E109*'⚙️ Configuração'!$C$6+F109*'⚙️ Configuração'!$C$7+G109*'⚙️ Configuração'!$C$8+H109*'⚙️ Configuração'!$C$9+I109*'⚙️ Configuração'!$C$10+J109*'⚙️ Configuração'!$C$11)*IF(N109="S",2,1)</f>
        <v>0</v>
      </c>
      <c r="L109" s="90" t="s">
        <v>167</v>
      </c>
      <c r="M109" s="82">
        <f>IF(L109="AT1",'⚙️ Configuração'!$C$14,IF(L109="AT2",'⚙️ Configuração'!$C$15,IF(L109="FI",'⚙️ Configuração'!$C$16,IF(L109="FJ",'⚙️ Configuração'!$C$17,0))))</f>
        <v>0</v>
      </c>
      <c r="N109" s="91" t="s">
        <v>167</v>
      </c>
      <c r="O109" s="92"/>
      <c r="P109" s="83">
        <f>IF(O109="1",'⚙️ Configuração'!$C$21,IF(O109="2",'⚙️ Configuração'!$C$22,IF(O109="3",'⚙️ Configuração'!$C$23,IF(O109="Outro",'⚙️ Configuração'!$C$24,0))))</f>
        <v>0</v>
      </c>
      <c r="Q109" s="84">
        <f t="shared" si="7"/>
        <v>0</v>
      </c>
      <c r="R109" s="40" t="str">
        <f t="shared" si="1"/>
        <v>Semana 1 — ver 🔄</v>
      </c>
      <c r="S109" t="str" cm="1">
        <f t="array" ref="S109">IF(D109="","",IFERROR(_xlfn.SWITCH(B109,"Semana 1",IFERROR(INDEX('🔄 Rotação Duplas'!$D$8:$D$17,MATCH(D109,'🔄 Rotação Duplas'!$C$8:$C$17,0)),INDEX('🔄 Rotação Duplas'!$C$8:$C$17,MATCH(D109,'🔄 Rotação Duplas'!$D$8:$D$17,0))),"Semana 2",IFERROR(INDEX('🔄 Rotação Duplas'!$D$22:$D$31,MATCH(D109,'🔄 Rotação Duplas'!$C$22:$C$31,0)),INDEX('🔄 Rotação Duplas'!$C$22:$C$31,MATCH(D109,'🔄 Rotação Duplas'!$D$22:$D$31,0))),"Semana 3",IFERROR(INDEX('🔄 Rotação Duplas'!$D$36:$D$45,MATCH(D109,'🔄 Rotação Duplas'!$C$36:$C$45,0)),INDEX('🔄 Rotação Duplas'!$C$36:$C$45,MATCH(D109,'🔄 Rotação Duplas'!$D$36:$D$45,0))),"Semana 4",IFERROR(INDEX('🔄 Rotação Duplas'!$D$50:$D$59,MATCH(D109,'🔄 Rotação Duplas'!$C$50:$C$59,0)),INDEX('🔄 Rotação Duplas'!$C$50:$C$59,MATCH(D109,'🔄 Rotação Duplas'!$D$50:$D$59,0))),"Semana 5",IFERROR(INDEX('🔄 Rotação Duplas'!$D$64:$D$73,MATCH(D109,'🔄 Rotação Duplas'!$C$64:$C$73,0)),INDEX('🔄 Rotação Duplas'!$C$64:$C$73,MATCH(D109,'🔄 Rotação Duplas'!$D$64:$D$73,0))),"Semana 6",IFERROR(INDEX('🔄 Rotação Duplas'!$D$78:$D$87,MATCH(D109,'🔄 Rotação Duplas'!$C$78:$C$87,0)),INDEX('🔄 Rotação Duplas'!$C$78:$C$87,MATCH(D109,'🔄 Rotação Duplas'!$D$78:$D$87,0))),"Semana 7",IFERROR(INDEX('🔄 Rotação Duplas'!$D$92:$D$101,MATCH(D109,'🔄 Rotação Duplas'!$C$92:$C$101,0)),INDEX('🔄 Rotação Duplas'!$C$92:$C$101,MATCH(D109,'🔄 Rotação Duplas'!$D$92:$D$101,0))),"Semana 8",IFERROR(INDEX('🔄 Rotação Duplas'!$D$106:$D$115,MATCH(D109,'🔄 Rotação Duplas'!$C$106:$C$115,0)),INDEX('🔄 Rotação Duplas'!$C$106:$C$115,MATCH(D109,'🔄 Rotação Duplas'!$D$106:$D$115,0)))),""))</f>
        <v/>
      </c>
      <c r="T109">
        <f t="shared" si="8"/>
        <v>0</v>
      </c>
    </row>
    <row r="110" spans="2:20" ht="18" customHeight="1" x14ac:dyDescent="0.2">
      <c r="B110" s="85" t="s">
        <v>60</v>
      </c>
      <c r="C110" s="86" t="str">
        <f t="shared" si="10"/>
        <v>Desafio 6</v>
      </c>
      <c r="D110" s="87" t="str">
        <f>'⚙️ Configuração'!C33</f>
        <v>Helena Rocha</v>
      </c>
      <c r="E110" s="50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81">
        <f>(E110*'⚙️ Configuração'!$C$6+F110*'⚙️ Configuração'!$C$7+G110*'⚙️ Configuração'!$C$8+H110*'⚙️ Configuração'!$C$9+I110*'⚙️ Configuração'!$C$10+J110*'⚙️ Configuração'!$C$11)*IF(N110="S",2,1)</f>
        <v>0</v>
      </c>
      <c r="L110" s="90" t="s">
        <v>167</v>
      </c>
      <c r="M110" s="82">
        <f>IF(L110="AT1",'⚙️ Configuração'!$C$14,IF(L110="AT2",'⚙️ Configuração'!$C$15,IF(L110="FI",'⚙️ Configuração'!$C$16,IF(L110="FJ",'⚙️ Configuração'!$C$17,0))))</f>
        <v>0</v>
      </c>
      <c r="N110" s="91" t="s">
        <v>167</v>
      </c>
      <c r="O110" s="92"/>
      <c r="P110" s="83">
        <f>IF(O110="1",'⚙️ Configuração'!$C$21,IF(O110="2",'⚙️ Configuração'!$C$22,IF(O110="3",'⚙️ Configuração'!$C$23,IF(O110="Outro",'⚙️ Configuração'!$C$24,0))))</f>
        <v>0</v>
      </c>
      <c r="Q110" s="84">
        <f t="shared" si="7"/>
        <v>0</v>
      </c>
      <c r="R110" s="40" t="str">
        <f t="shared" si="1"/>
        <v>Semana 1 — ver 🔄</v>
      </c>
      <c r="S110" t="str" cm="1">
        <f t="array" ref="S110">IF(D110="","",IFERROR(_xlfn.SWITCH(B110,"Semana 1",IFERROR(INDEX('🔄 Rotação Duplas'!$D$8:$D$17,MATCH(D110,'🔄 Rotação Duplas'!$C$8:$C$17,0)),INDEX('🔄 Rotação Duplas'!$C$8:$C$17,MATCH(D110,'🔄 Rotação Duplas'!$D$8:$D$17,0))),"Semana 2",IFERROR(INDEX('🔄 Rotação Duplas'!$D$22:$D$31,MATCH(D110,'🔄 Rotação Duplas'!$C$22:$C$31,0)),INDEX('🔄 Rotação Duplas'!$C$22:$C$31,MATCH(D110,'🔄 Rotação Duplas'!$D$22:$D$31,0))),"Semana 3",IFERROR(INDEX('🔄 Rotação Duplas'!$D$36:$D$45,MATCH(D110,'🔄 Rotação Duplas'!$C$36:$C$45,0)),INDEX('🔄 Rotação Duplas'!$C$36:$C$45,MATCH(D110,'🔄 Rotação Duplas'!$D$36:$D$45,0))),"Semana 4",IFERROR(INDEX('🔄 Rotação Duplas'!$D$50:$D$59,MATCH(D110,'🔄 Rotação Duplas'!$C$50:$C$59,0)),INDEX('🔄 Rotação Duplas'!$C$50:$C$59,MATCH(D110,'🔄 Rotação Duplas'!$D$50:$D$59,0))),"Semana 5",IFERROR(INDEX('🔄 Rotação Duplas'!$D$64:$D$73,MATCH(D110,'🔄 Rotação Duplas'!$C$64:$C$73,0)),INDEX('🔄 Rotação Duplas'!$C$64:$C$73,MATCH(D110,'🔄 Rotação Duplas'!$D$64:$D$73,0))),"Semana 6",IFERROR(INDEX('🔄 Rotação Duplas'!$D$78:$D$87,MATCH(D110,'🔄 Rotação Duplas'!$C$78:$C$87,0)),INDEX('🔄 Rotação Duplas'!$C$78:$C$87,MATCH(D110,'🔄 Rotação Duplas'!$D$78:$D$87,0))),"Semana 7",IFERROR(INDEX('🔄 Rotação Duplas'!$D$92:$D$101,MATCH(D110,'🔄 Rotação Duplas'!$C$92:$C$101,0)),INDEX('🔄 Rotação Duplas'!$C$92:$C$101,MATCH(D110,'🔄 Rotação Duplas'!$D$92:$D$101,0))),"Semana 8",IFERROR(INDEX('🔄 Rotação Duplas'!$D$106:$D$115,MATCH(D110,'🔄 Rotação Duplas'!$C$106:$C$115,0)),INDEX('🔄 Rotação Duplas'!$C$106:$C$115,MATCH(D110,'🔄 Rotação Duplas'!$D$106:$D$115,0)))),""))</f>
        <v/>
      </c>
      <c r="T110">
        <f t="shared" si="8"/>
        <v>0</v>
      </c>
    </row>
    <row r="111" spans="2:20" ht="18" customHeight="1" x14ac:dyDescent="0.2">
      <c r="B111" s="78" t="s">
        <v>60</v>
      </c>
      <c r="C111" s="79" t="str">
        <f t="shared" si="10"/>
        <v>Desafio 6</v>
      </c>
      <c r="D111" s="80" t="str">
        <f>'⚙️ Configuração'!C34</f>
        <v>João Xavier</v>
      </c>
      <c r="E111" s="50">
        <v>0</v>
      </c>
      <c r="F111" s="50">
        <v>0</v>
      </c>
      <c r="G111" s="50">
        <v>0</v>
      </c>
      <c r="H111" s="50">
        <v>0</v>
      </c>
      <c r="I111" s="50">
        <v>0</v>
      </c>
      <c r="J111" s="50">
        <v>0</v>
      </c>
      <c r="K111" s="81">
        <f>(E111*'⚙️ Configuração'!$C$6+F111*'⚙️ Configuração'!$C$7+G111*'⚙️ Configuração'!$C$8+H111*'⚙️ Configuração'!$C$9+I111*'⚙️ Configuração'!$C$10+J111*'⚙️ Configuração'!$C$11)*IF(N111="S",2,1)</f>
        <v>0</v>
      </c>
      <c r="L111" s="90" t="s">
        <v>167</v>
      </c>
      <c r="M111" s="82">
        <f>IF(L111="AT1",'⚙️ Configuração'!$C$14,IF(L111="AT2",'⚙️ Configuração'!$C$15,IF(L111="FI",'⚙️ Configuração'!$C$16,IF(L111="FJ",'⚙️ Configuração'!$C$17,0))))</f>
        <v>0</v>
      </c>
      <c r="N111" s="91" t="s">
        <v>167</v>
      </c>
      <c r="O111" s="92"/>
      <c r="P111" s="83">
        <f>IF(O111="1",'⚙️ Configuração'!$C$21,IF(O111="2",'⚙️ Configuração'!$C$22,IF(O111="3",'⚙️ Configuração'!$C$23,IF(O111="Outro",'⚙️ Configuração'!$C$24,0))))</f>
        <v>0</v>
      </c>
      <c r="Q111" s="84">
        <f t="shared" si="7"/>
        <v>0</v>
      </c>
      <c r="R111" s="40" t="str">
        <f t="shared" si="1"/>
        <v>Semana 1 — ver 🔄</v>
      </c>
      <c r="S111" t="str" cm="1">
        <f t="array" ref="S111">IF(D111="","",IFERROR(_xlfn.SWITCH(B111,"Semana 1",IFERROR(INDEX('🔄 Rotação Duplas'!$D$8:$D$17,MATCH(D111,'🔄 Rotação Duplas'!$C$8:$C$17,0)),INDEX('🔄 Rotação Duplas'!$C$8:$C$17,MATCH(D111,'🔄 Rotação Duplas'!$D$8:$D$17,0))),"Semana 2",IFERROR(INDEX('🔄 Rotação Duplas'!$D$22:$D$31,MATCH(D111,'🔄 Rotação Duplas'!$C$22:$C$31,0)),INDEX('🔄 Rotação Duplas'!$C$22:$C$31,MATCH(D111,'🔄 Rotação Duplas'!$D$22:$D$31,0))),"Semana 3",IFERROR(INDEX('🔄 Rotação Duplas'!$D$36:$D$45,MATCH(D111,'🔄 Rotação Duplas'!$C$36:$C$45,0)),INDEX('🔄 Rotação Duplas'!$C$36:$C$45,MATCH(D111,'🔄 Rotação Duplas'!$D$36:$D$45,0))),"Semana 4",IFERROR(INDEX('🔄 Rotação Duplas'!$D$50:$D$59,MATCH(D111,'🔄 Rotação Duplas'!$C$50:$C$59,0)),INDEX('🔄 Rotação Duplas'!$C$50:$C$59,MATCH(D111,'🔄 Rotação Duplas'!$D$50:$D$59,0))),"Semana 5",IFERROR(INDEX('🔄 Rotação Duplas'!$D$64:$D$73,MATCH(D111,'🔄 Rotação Duplas'!$C$64:$C$73,0)),INDEX('🔄 Rotação Duplas'!$C$64:$C$73,MATCH(D111,'🔄 Rotação Duplas'!$D$64:$D$73,0))),"Semana 6",IFERROR(INDEX('🔄 Rotação Duplas'!$D$78:$D$87,MATCH(D111,'🔄 Rotação Duplas'!$C$78:$C$87,0)),INDEX('🔄 Rotação Duplas'!$C$78:$C$87,MATCH(D111,'🔄 Rotação Duplas'!$D$78:$D$87,0))),"Semana 7",IFERROR(INDEX('🔄 Rotação Duplas'!$D$92:$D$101,MATCH(D111,'🔄 Rotação Duplas'!$C$92:$C$101,0)),INDEX('🔄 Rotação Duplas'!$C$92:$C$101,MATCH(D111,'🔄 Rotação Duplas'!$D$92:$D$101,0))),"Semana 8",IFERROR(INDEX('🔄 Rotação Duplas'!$D$106:$D$115,MATCH(D111,'🔄 Rotação Duplas'!$C$106:$C$115,0)),INDEX('🔄 Rotação Duplas'!$C$106:$C$115,MATCH(D111,'🔄 Rotação Duplas'!$D$106:$D$115,0)))),""))</f>
        <v/>
      </c>
      <c r="T111">
        <f t="shared" si="8"/>
        <v>0</v>
      </c>
    </row>
    <row r="112" spans="2:20" ht="18" customHeight="1" x14ac:dyDescent="0.2">
      <c r="B112" s="85" t="s">
        <v>60</v>
      </c>
      <c r="C112" s="86" t="str">
        <f t="shared" si="10"/>
        <v>Desafio 6</v>
      </c>
      <c r="D112" s="87" t="str">
        <f>'⚙️ Configuração'!C35</f>
        <v>Tomás Carlos</v>
      </c>
      <c r="E112" s="50">
        <v>0</v>
      </c>
      <c r="F112" s="50">
        <v>0</v>
      </c>
      <c r="G112" s="50">
        <v>0</v>
      </c>
      <c r="H112" s="50">
        <v>0</v>
      </c>
      <c r="I112" s="50">
        <v>0</v>
      </c>
      <c r="J112" s="50">
        <v>0</v>
      </c>
      <c r="K112" s="81">
        <f>(E112*'⚙️ Configuração'!$C$6+F112*'⚙️ Configuração'!$C$7+G112*'⚙️ Configuração'!$C$8+H112*'⚙️ Configuração'!$C$9+I112*'⚙️ Configuração'!$C$10+J112*'⚙️ Configuração'!$C$11)*IF(N112="S",2,1)</f>
        <v>0</v>
      </c>
      <c r="L112" s="90" t="s">
        <v>167</v>
      </c>
      <c r="M112" s="82">
        <f>IF(L112="AT1",'⚙️ Configuração'!$C$14,IF(L112="AT2",'⚙️ Configuração'!$C$15,IF(L112="FI",'⚙️ Configuração'!$C$16,IF(L112="FJ",'⚙️ Configuração'!$C$17,0))))</f>
        <v>0</v>
      </c>
      <c r="N112" s="91" t="s">
        <v>167</v>
      </c>
      <c r="O112" s="92"/>
      <c r="P112" s="83">
        <f>IF(O112="1",'⚙️ Configuração'!$C$21,IF(O112="2",'⚙️ Configuração'!$C$22,IF(O112="3",'⚙️ Configuração'!$C$23,IF(O112="Outro",'⚙️ Configuração'!$C$24,0))))</f>
        <v>0</v>
      </c>
      <c r="Q112" s="84">
        <f t="shared" si="7"/>
        <v>0</v>
      </c>
      <c r="R112" s="40" t="str">
        <f t="shared" si="1"/>
        <v>Semana 1 — ver 🔄</v>
      </c>
      <c r="S112" t="str" cm="1">
        <f t="array" ref="S112">IF(D112="","",IFERROR(_xlfn.SWITCH(B112,"Semana 1",IFERROR(INDEX('🔄 Rotação Duplas'!$D$8:$D$17,MATCH(D112,'🔄 Rotação Duplas'!$C$8:$C$17,0)),INDEX('🔄 Rotação Duplas'!$C$8:$C$17,MATCH(D112,'🔄 Rotação Duplas'!$D$8:$D$17,0))),"Semana 2",IFERROR(INDEX('🔄 Rotação Duplas'!$D$22:$D$31,MATCH(D112,'🔄 Rotação Duplas'!$C$22:$C$31,0)),INDEX('🔄 Rotação Duplas'!$C$22:$C$31,MATCH(D112,'🔄 Rotação Duplas'!$D$22:$D$31,0))),"Semana 3",IFERROR(INDEX('🔄 Rotação Duplas'!$D$36:$D$45,MATCH(D112,'🔄 Rotação Duplas'!$C$36:$C$45,0)),INDEX('🔄 Rotação Duplas'!$C$36:$C$45,MATCH(D112,'🔄 Rotação Duplas'!$D$36:$D$45,0))),"Semana 4",IFERROR(INDEX('🔄 Rotação Duplas'!$D$50:$D$59,MATCH(D112,'🔄 Rotação Duplas'!$C$50:$C$59,0)),INDEX('🔄 Rotação Duplas'!$C$50:$C$59,MATCH(D112,'🔄 Rotação Duplas'!$D$50:$D$59,0))),"Semana 5",IFERROR(INDEX('🔄 Rotação Duplas'!$D$64:$D$73,MATCH(D112,'🔄 Rotação Duplas'!$C$64:$C$73,0)),INDEX('🔄 Rotação Duplas'!$C$64:$C$73,MATCH(D112,'🔄 Rotação Duplas'!$D$64:$D$73,0))),"Semana 6",IFERROR(INDEX('🔄 Rotação Duplas'!$D$78:$D$87,MATCH(D112,'🔄 Rotação Duplas'!$C$78:$C$87,0)),INDEX('🔄 Rotação Duplas'!$C$78:$C$87,MATCH(D112,'🔄 Rotação Duplas'!$D$78:$D$87,0))),"Semana 7",IFERROR(INDEX('🔄 Rotação Duplas'!$D$92:$D$101,MATCH(D112,'🔄 Rotação Duplas'!$C$92:$C$101,0)),INDEX('🔄 Rotação Duplas'!$C$92:$C$101,MATCH(D112,'🔄 Rotação Duplas'!$D$92:$D$101,0))),"Semana 8",IFERROR(INDEX('🔄 Rotação Duplas'!$D$106:$D$115,MATCH(D112,'🔄 Rotação Duplas'!$C$106:$C$115,0)),INDEX('🔄 Rotação Duplas'!$C$106:$C$115,MATCH(D112,'🔄 Rotação Duplas'!$D$106:$D$115,0)))),""))</f>
        <v/>
      </c>
      <c r="T112">
        <f t="shared" si="8"/>
        <v>0</v>
      </c>
    </row>
    <row r="113" spans="2:20" ht="18" customHeight="1" x14ac:dyDescent="0.2">
      <c r="B113" s="78" t="s">
        <v>60</v>
      </c>
      <c r="C113" s="79" t="str">
        <f t="shared" si="10"/>
        <v>Desafio 6</v>
      </c>
      <c r="D113" s="80" t="str">
        <f>'⚙️ Configuração'!C36</f>
        <v>Alexandra Correia</v>
      </c>
      <c r="E113" s="50">
        <v>0</v>
      </c>
      <c r="F113" s="50">
        <v>0</v>
      </c>
      <c r="G113" s="50">
        <v>0</v>
      </c>
      <c r="H113" s="50">
        <v>0</v>
      </c>
      <c r="I113" s="50">
        <v>0</v>
      </c>
      <c r="J113" s="50">
        <v>0</v>
      </c>
      <c r="K113" s="81">
        <f>(E113*'⚙️ Configuração'!$C$6+F113*'⚙️ Configuração'!$C$7+G113*'⚙️ Configuração'!$C$8+H113*'⚙️ Configuração'!$C$9+I113*'⚙️ Configuração'!$C$10+J113*'⚙️ Configuração'!$C$11)*IF(N113="S",2,1)</f>
        <v>0</v>
      </c>
      <c r="L113" s="90" t="s">
        <v>167</v>
      </c>
      <c r="M113" s="82">
        <f>IF(L113="AT1",'⚙️ Configuração'!$C$14,IF(L113="AT2",'⚙️ Configuração'!$C$15,IF(L113="FI",'⚙️ Configuração'!$C$16,IF(L113="FJ",'⚙️ Configuração'!$C$17,0))))</f>
        <v>0</v>
      </c>
      <c r="N113" s="91" t="s">
        <v>167</v>
      </c>
      <c r="O113" s="92"/>
      <c r="P113" s="83">
        <f>IF(O113="1",'⚙️ Configuração'!$C$21,IF(O113="2",'⚙️ Configuração'!$C$22,IF(O113="3",'⚙️ Configuração'!$C$23,IF(O113="Outro",'⚙️ Configuração'!$C$24,0))))</f>
        <v>0</v>
      </c>
      <c r="Q113" s="84">
        <f t="shared" si="7"/>
        <v>0</v>
      </c>
      <c r="R113" s="40" t="str">
        <f t="shared" si="1"/>
        <v>Semana 1 — ver 🔄</v>
      </c>
      <c r="S113" t="str" cm="1">
        <f t="array" ref="S113">IF(D113="","",IFERROR(_xlfn.SWITCH(B113,"Semana 1",IFERROR(INDEX('🔄 Rotação Duplas'!$D$8:$D$17,MATCH(D113,'🔄 Rotação Duplas'!$C$8:$C$17,0)),INDEX('🔄 Rotação Duplas'!$C$8:$C$17,MATCH(D113,'🔄 Rotação Duplas'!$D$8:$D$17,0))),"Semana 2",IFERROR(INDEX('🔄 Rotação Duplas'!$D$22:$D$31,MATCH(D113,'🔄 Rotação Duplas'!$C$22:$C$31,0)),INDEX('🔄 Rotação Duplas'!$C$22:$C$31,MATCH(D113,'🔄 Rotação Duplas'!$D$22:$D$31,0))),"Semana 3",IFERROR(INDEX('🔄 Rotação Duplas'!$D$36:$D$45,MATCH(D113,'🔄 Rotação Duplas'!$C$36:$C$45,0)),INDEX('🔄 Rotação Duplas'!$C$36:$C$45,MATCH(D113,'🔄 Rotação Duplas'!$D$36:$D$45,0))),"Semana 4",IFERROR(INDEX('🔄 Rotação Duplas'!$D$50:$D$59,MATCH(D113,'🔄 Rotação Duplas'!$C$50:$C$59,0)),INDEX('🔄 Rotação Duplas'!$C$50:$C$59,MATCH(D113,'🔄 Rotação Duplas'!$D$50:$D$59,0))),"Semana 5",IFERROR(INDEX('🔄 Rotação Duplas'!$D$64:$D$73,MATCH(D113,'🔄 Rotação Duplas'!$C$64:$C$73,0)),INDEX('🔄 Rotação Duplas'!$C$64:$C$73,MATCH(D113,'🔄 Rotação Duplas'!$D$64:$D$73,0))),"Semana 6",IFERROR(INDEX('🔄 Rotação Duplas'!$D$78:$D$87,MATCH(D113,'🔄 Rotação Duplas'!$C$78:$C$87,0)),INDEX('🔄 Rotação Duplas'!$C$78:$C$87,MATCH(D113,'🔄 Rotação Duplas'!$D$78:$D$87,0))),"Semana 7",IFERROR(INDEX('🔄 Rotação Duplas'!$D$92:$D$101,MATCH(D113,'🔄 Rotação Duplas'!$C$92:$C$101,0)),INDEX('🔄 Rotação Duplas'!$C$92:$C$101,MATCH(D113,'🔄 Rotação Duplas'!$D$92:$D$101,0))),"Semana 8",IFERROR(INDEX('🔄 Rotação Duplas'!$D$106:$D$115,MATCH(D113,'🔄 Rotação Duplas'!$C$106:$C$115,0)),INDEX('🔄 Rotação Duplas'!$C$106:$C$115,MATCH(D113,'🔄 Rotação Duplas'!$D$106:$D$115,0)))),""))</f>
        <v/>
      </c>
      <c r="T113">
        <f t="shared" si="8"/>
        <v>0</v>
      </c>
    </row>
    <row r="114" spans="2:20" ht="18" customHeight="1" x14ac:dyDescent="0.2">
      <c r="B114" s="85" t="s">
        <v>60</v>
      </c>
      <c r="C114" s="86" t="str">
        <f t="shared" si="10"/>
        <v>Desafio 6</v>
      </c>
      <c r="D114" s="87" t="str">
        <f>'⚙️ Configuração'!C37</f>
        <v>Carla Barata</v>
      </c>
      <c r="E114" s="50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81">
        <f>(E114*'⚙️ Configuração'!$C$6+F114*'⚙️ Configuração'!$C$7+G114*'⚙️ Configuração'!$C$8+H114*'⚙️ Configuração'!$C$9+I114*'⚙️ Configuração'!$C$10+J114*'⚙️ Configuração'!$C$11)*IF(N114="S",2,1)</f>
        <v>0</v>
      </c>
      <c r="L114" s="90" t="s">
        <v>167</v>
      </c>
      <c r="M114" s="82">
        <f>IF(L114="AT1",'⚙️ Configuração'!$C$14,IF(L114="AT2",'⚙️ Configuração'!$C$15,IF(L114="FI",'⚙️ Configuração'!$C$16,IF(L114="FJ",'⚙️ Configuração'!$C$17,0))))</f>
        <v>0</v>
      </c>
      <c r="N114" s="91" t="s">
        <v>167</v>
      </c>
      <c r="O114" s="92"/>
      <c r="P114" s="83">
        <f>IF(O114="1",'⚙️ Configuração'!$C$21,IF(O114="2",'⚙️ Configuração'!$C$22,IF(O114="3",'⚙️ Configuração'!$C$23,IF(O114="Outro",'⚙️ Configuração'!$C$24,0))))</f>
        <v>0</v>
      </c>
      <c r="Q114" s="84">
        <f t="shared" si="7"/>
        <v>0</v>
      </c>
      <c r="R114" s="40" t="str">
        <f t="shared" si="1"/>
        <v>Semana 1 — ver 🔄</v>
      </c>
      <c r="S114" t="str" cm="1">
        <f t="array" ref="S114">IF(D114="","",IFERROR(_xlfn.SWITCH(B114,"Semana 1",IFERROR(INDEX('🔄 Rotação Duplas'!$D$8:$D$17,MATCH(D114,'🔄 Rotação Duplas'!$C$8:$C$17,0)),INDEX('🔄 Rotação Duplas'!$C$8:$C$17,MATCH(D114,'🔄 Rotação Duplas'!$D$8:$D$17,0))),"Semana 2",IFERROR(INDEX('🔄 Rotação Duplas'!$D$22:$D$31,MATCH(D114,'🔄 Rotação Duplas'!$C$22:$C$31,0)),INDEX('🔄 Rotação Duplas'!$C$22:$C$31,MATCH(D114,'🔄 Rotação Duplas'!$D$22:$D$31,0))),"Semana 3",IFERROR(INDEX('🔄 Rotação Duplas'!$D$36:$D$45,MATCH(D114,'🔄 Rotação Duplas'!$C$36:$C$45,0)),INDEX('🔄 Rotação Duplas'!$C$36:$C$45,MATCH(D114,'🔄 Rotação Duplas'!$D$36:$D$45,0))),"Semana 4",IFERROR(INDEX('🔄 Rotação Duplas'!$D$50:$D$59,MATCH(D114,'🔄 Rotação Duplas'!$C$50:$C$59,0)),INDEX('🔄 Rotação Duplas'!$C$50:$C$59,MATCH(D114,'🔄 Rotação Duplas'!$D$50:$D$59,0))),"Semana 5",IFERROR(INDEX('🔄 Rotação Duplas'!$D$64:$D$73,MATCH(D114,'🔄 Rotação Duplas'!$C$64:$C$73,0)),INDEX('🔄 Rotação Duplas'!$C$64:$C$73,MATCH(D114,'🔄 Rotação Duplas'!$D$64:$D$73,0))),"Semana 6",IFERROR(INDEX('🔄 Rotação Duplas'!$D$78:$D$87,MATCH(D114,'🔄 Rotação Duplas'!$C$78:$C$87,0)),INDEX('🔄 Rotação Duplas'!$C$78:$C$87,MATCH(D114,'🔄 Rotação Duplas'!$D$78:$D$87,0))),"Semana 7",IFERROR(INDEX('🔄 Rotação Duplas'!$D$92:$D$101,MATCH(D114,'🔄 Rotação Duplas'!$C$92:$C$101,0)),INDEX('🔄 Rotação Duplas'!$C$92:$C$101,MATCH(D114,'🔄 Rotação Duplas'!$D$92:$D$101,0))),"Semana 8",IFERROR(INDEX('🔄 Rotação Duplas'!$D$106:$D$115,MATCH(D114,'🔄 Rotação Duplas'!$C$106:$C$115,0)),INDEX('🔄 Rotação Duplas'!$C$106:$C$115,MATCH(D114,'🔄 Rotação Duplas'!$D$106:$D$115,0)))),""))</f>
        <v/>
      </c>
      <c r="T114">
        <f t="shared" si="8"/>
        <v>0</v>
      </c>
    </row>
    <row r="115" spans="2:20" ht="18" customHeight="1" x14ac:dyDescent="0.2">
      <c r="B115" s="78" t="s">
        <v>60</v>
      </c>
      <c r="C115" s="79" t="str">
        <f t="shared" si="10"/>
        <v>Desafio 6</v>
      </c>
      <c r="D115" s="80" t="str">
        <f>'⚙️ Configuração'!C38</f>
        <v>Denise Filipe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81">
        <f>(E115*'⚙️ Configuração'!$C$6+F115*'⚙️ Configuração'!$C$7+G115*'⚙️ Configuração'!$C$8+H115*'⚙️ Configuração'!$C$9+I115*'⚙️ Configuração'!$C$10+J115*'⚙️ Configuração'!$C$11)*IF(N115="S",2,1)</f>
        <v>0</v>
      </c>
      <c r="L115" s="90" t="s">
        <v>167</v>
      </c>
      <c r="M115" s="82">
        <f>IF(L115="AT1",'⚙️ Configuração'!$C$14,IF(L115="AT2",'⚙️ Configuração'!$C$15,IF(L115="FI",'⚙️ Configuração'!$C$16,IF(L115="FJ",'⚙️ Configuração'!$C$17,0))))</f>
        <v>0</v>
      </c>
      <c r="N115" s="91" t="s">
        <v>167</v>
      </c>
      <c r="O115" s="92"/>
      <c r="P115" s="83">
        <f>IF(O115="1",'⚙️ Configuração'!$C$21,IF(O115="2",'⚙️ Configuração'!$C$22,IF(O115="3",'⚙️ Configuração'!$C$23,IF(O115="Outro",'⚙️ Configuração'!$C$24,0))))</f>
        <v>0</v>
      </c>
      <c r="Q115" s="84">
        <f t="shared" si="7"/>
        <v>0</v>
      </c>
      <c r="R115" s="40" t="str">
        <f t="shared" si="1"/>
        <v>Semana 1 — ver 🔄</v>
      </c>
      <c r="S115" t="str" cm="1">
        <f t="array" ref="S115">IF(D115="","",IFERROR(_xlfn.SWITCH(B115,"Semana 1",IFERROR(INDEX('🔄 Rotação Duplas'!$D$8:$D$17,MATCH(D115,'🔄 Rotação Duplas'!$C$8:$C$17,0)),INDEX('🔄 Rotação Duplas'!$C$8:$C$17,MATCH(D115,'🔄 Rotação Duplas'!$D$8:$D$17,0))),"Semana 2",IFERROR(INDEX('🔄 Rotação Duplas'!$D$22:$D$31,MATCH(D115,'🔄 Rotação Duplas'!$C$22:$C$31,0)),INDEX('🔄 Rotação Duplas'!$C$22:$C$31,MATCH(D115,'🔄 Rotação Duplas'!$D$22:$D$31,0))),"Semana 3",IFERROR(INDEX('🔄 Rotação Duplas'!$D$36:$D$45,MATCH(D115,'🔄 Rotação Duplas'!$C$36:$C$45,0)),INDEX('🔄 Rotação Duplas'!$C$36:$C$45,MATCH(D115,'🔄 Rotação Duplas'!$D$36:$D$45,0))),"Semana 4",IFERROR(INDEX('🔄 Rotação Duplas'!$D$50:$D$59,MATCH(D115,'🔄 Rotação Duplas'!$C$50:$C$59,0)),INDEX('🔄 Rotação Duplas'!$C$50:$C$59,MATCH(D115,'🔄 Rotação Duplas'!$D$50:$D$59,0))),"Semana 5",IFERROR(INDEX('🔄 Rotação Duplas'!$D$64:$D$73,MATCH(D115,'🔄 Rotação Duplas'!$C$64:$C$73,0)),INDEX('🔄 Rotação Duplas'!$C$64:$C$73,MATCH(D115,'🔄 Rotação Duplas'!$D$64:$D$73,0))),"Semana 6",IFERROR(INDEX('🔄 Rotação Duplas'!$D$78:$D$87,MATCH(D115,'🔄 Rotação Duplas'!$C$78:$C$87,0)),INDEX('🔄 Rotação Duplas'!$C$78:$C$87,MATCH(D115,'🔄 Rotação Duplas'!$D$78:$D$87,0))),"Semana 7",IFERROR(INDEX('🔄 Rotação Duplas'!$D$92:$D$101,MATCH(D115,'🔄 Rotação Duplas'!$C$92:$C$101,0)),INDEX('🔄 Rotação Duplas'!$C$92:$C$101,MATCH(D115,'🔄 Rotação Duplas'!$D$92:$D$101,0))),"Semana 8",IFERROR(INDEX('🔄 Rotação Duplas'!$D$106:$D$115,MATCH(D115,'🔄 Rotação Duplas'!$C$106:$C$115,0)),INDEX('🔄 Rotação Duplas'!$C$106:$C$115,MATCH(D115,'🔄 Rotação Duplas'!$D$106:$D$115,0)))),""))</f>
        <v/>
      </c>
      <c r="T115">
        <f t="shared" si="8"/>
        <v>0</v>
      </c>
    </row>
    <row r="116" spans="2:20" ht="18" customHeight="1" x14ac:dyDescent="0.2">
      <c r="B116" s="85" t="s">
        <v>60</v>
      </c>
      <c r="C116" s="86" t="str">
        <f t="shared" si="10"/>
        <v>Desafio 6</v>
      </c>
      <c r="D116" s="87" t="str">
        <f>'⚙️ Configuração'!C39</f>
        <v>Fátima Rodriguez</v>
      </c>
      <c r="E116" s="50">
        <v>0</v>
      </c>
      <c r="F116" s="50">
        <v>0</v>
      </c>
      <c r="G116" s="50">
        <v>0</v>
      </c>
      <c r="H116" s="50">
        <v>0</v>
      </c>
      <c r="I116" s="50">
        <v>0</v>
      </c>
      <c r="J116" s="50">
        <v>0</v>
      </c>
      <c r="K116" s="81">
        <f>(E116*'⚙️ Configuração'!$C$6+F116*'⚙️ Configuração'!$C$7+G116*'⚙️ Configuração'!$C$8+H116*'⚙️ Configuração'!$C$9+I116*'⚙️ Configuração'!$C$10+J116*'⚙️ Configuração'!$C$11)*IF(N116="S",2,1)</f>
        <v>0</v>
      </c>
      <c r="L116" s="90" t="s">
        <v>167</v>
      </c>
      <c r="M116" s="82">
        <f>IF(L116="AT1",'⚙️ Configuração'!$C$14,IF(L116="AT2",'⚙️ Configuração'!$C$15,IF(L116="FI",'⚙️ Configuração'!$C$16,IF(L116="FJ",'⚙️ Configuração'!$C$17,0))))</f>
        <v>0</v>
      </c>
      <c r="N116" s="91" t="s">
        <v>167</v>
      </c>
      <c r="O116" s="92"/>
      <c r="P116" s="83">
        <f>IF(O116="1",'⚙️ Configuração'!$C$21,IF(O116="2",'⚙️ Configuração'!$C$22,IF(O116="3",'⚙️ Configuração'!$C$23,IF(O116="Outro",'⚙️ Configuração'!$C$24,0))))</f>
        <v>0</v>
      </c>
      <c r="Q116" s="84">
        <f t="shared" si="7"/>
        <v>0</v>
      </c>
      <c r="R116" s="40" t="str">
        <f t="shared" si="1"/>
        <v>Semana 1 — ver 🔄</v>
      </c>
      <c r="S116" t="str" cm="1">
        <f t="array" ref="S116">IF(D116="","",IFERROR(_xlfn.SWITCH(B116,"Semana 1",IFERROR(INDEX('🔄 Rotação Duplas'!$D$8:$D$17,MATCH(D116,'🔄 Rotação Duplas'!$C$8:$C$17,0)),INDEX('🔄 Rotação Duplas'!$C$8:$C$17,MATCH(D116,'🔄 Rotação Duplas'!$D$8:$D$17,0))),"Semana 2",IFERROR(INDEX('🔄 Rotação Duplas'!$D$22:$D$31,MATCH(D116,'🔄 Rotação Duplas'!$C$22:$C$31,0)),INDEX('🔄 Rotação Duplas'!$C$22:$C$31,MATCH(D116,'🔄 Rotação Duplas'!$D$22:$D$31,0))),"Semana 3",IFERROR(INDEX('🔄 Rotação Duplas'!$D$36:$D$45,MATCH(D116,'🔄 Rotação Duplas'!$C$36:$C$45,0)),INDEX('🔄 Rotação Duplas'!$C$36:$C$45,MATCH(D116,'🔄 Rotação Duplas'!$D$36:$D$45,0))),"Semana 4",IFERROR(INDEX('🔄 Rotação Duplas'!$D$50:$D$59,MATCH(D116,'🔄 Rotação Duplas'!$C$50:$C$59,0)),INDEX('🔄 Rotação Duplas'!$C$50:$C$59,MATCH(D116,'🔄 Rotação Duplas'!$D$50:$D$59,0))),"Semana 5",IFERROR(INDEX('🔄 Rotação Duplas'!$D$64:$D$73,MATCH(D116,'🔄 Rotação Duplas'!$C$64:$C$73,0)),INDEX('🔄 Rotação Duplas'!$C$64:$C$73,MATCH(D116,'🔄 Rotação Duplas'!$D$64:$D$73,0))),"Semana 6",IFERROR(INDEX('🔄 Rotação Duplas'!$D$78:$D$87,MATCH(D116,'🔄 Rotação Duplas'!$C$78:$C$87,0)),INDEX('🔄 Rotação Duplas'!$C$78:$C$87,MATCH(D116,'🔄 Rotação Duplas'!$D$78:$D$87,0))),"Semana 7",IFERROR(INDEX('🔄 Rotação Duplas'!$D$92:$D$101,MATCH(D116,'🔄 Rotação Duplas'!$C$92:$C$101,0)),INDEX('🔄 Rotação Duplas'!$C$92:$C$101,MATCH(D116,'🔄 Rotação Duplas'!$D$92:$D$101,0))),"Semana 8",IFERROR(INDEX('🔄 Rotação Duplas'!$D$106:$D$115,MATCH(D116,'🔄 Rotação Duplas'!$C$106:$C$115,0)),INDEX('🔄 Rotação Duplas'!$C$106:$C$115,MATCH(D116,'🔄 Rotação Duplas'!$D$106:$D$115,0)))),""))</f>
        <v/>
      </c>
      <c r="T116">
        <f t="shared" si="8"/>
        <v>0</v>
      </c>
    </row>
    <row r="117" spans="2:20" ht="18" customHeight="1" x14ac:dyDescent="0.2">
      <c r="B117" s="78" t="s">
        <v>60</v>
      </c>
      <c r="C117" s="79" t="str">
        <f t="shared" si="10"/>
        <v>Desafio 6</v>
      </c>
      <c r="D117" s="80" t="str">
        <f>'⚙️ Configuração'!C40</f>
        <v>Maria João Travassos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81">
        <f>(E117*'⚙️ Configuração'!$C$6+F117*'⚙️ Configuração'!$C$7+G117*'⚙️ Configuração'!$C$8+H117*'⚙️ Configuração'!$C$9+I117*'⚙️ Configuração'!$C$10+J117*'⚙️ Configuração'!$C$11)*IF(N117="S",2,1)</f>
        <v>0</v>
      </c>
      <c r="L117" s="90" t="s">
        <v>167</v>
      </c>
      <c r="M117" s="82">
        <f>IF(L117="AT1",'⚙️ Configuração'!$C$14,IF(L117="AT2",'⚙️ Configuração'!$C$15,IF(L117="FI",'⚙️ Configuração'!$C$16,IF(L117="FJ",'⚙️ Configuração'!$C$17,0))))</f>
        <v>0</v>
      </c>
      <c r="N117" s="91" t="s">
        <v>167</v>
      </c>
      <c r="O117" s="92"/>
      <c r="P117" s="83">
        <f>IF(O117="1",'⚙️ Configuração'!$C$21,IF(O117="2",'⚙️ Configuração'!$C$22,IF(O117="3",'⚙️ Configuração'!$C$23,IF(O117="Outro",'⚙️ Configuração'!$C$24,0))))</f>
        <v>0</v>
      </c>
      <c r="Q117" s="84">
        <f t="shared" si="7"/>
        <v>0</v>
      </c>
      <c r="R117" s="40" t="str">
        <f t="shared" si="1"/>
        <v>Semana 1 — ver 🔄</v>
      </c>
      <c r="S117" t="str" cm="1">
        <f t="array" ref="S117">IF(D117="","",IFERROR(_xlfn.SWITCH(B117,"Semana 1",IFERROR(INDEX('🔄 Rotação Duplas'!$D$8:$D$17,MATCH(D117,'🔄 Rotação Duplas'!$C$8:$C$17,0)),INDEX('🔄 Rotação Duplas'!$C$8:$C$17,MATCH(D117,'🔄 Rotação Duplas'!$D$8:$D$17,0))),"Semana 2",IFERROR(INDEX('🔄 Rotação Duplas'!$D$22:$D$31,MATCH(D117,'🔄 Rotação Duplas'!$C$22:$C$31,0)),INDEX('🔄 Rotação Duplas'!$C$22:$C$31,MATCH(D117,'🔄 Rotação Duplas'!$D$22:$D$31,0))),"Semana 3",IFERROR(INDEX('🔄 Rotação Duplas'!$D$36:$D$45,MATCH(D117,'🔄 Rotação Duplas'!$C$36:$C$45,0)),INDEX('🔄 Rotação Duplas'!$C$36:$C$45,MATCH(D117,'🔄 Rotação Duplas'!$D$36:$D$45,0))),"Semana 4",IFERROR(INDEX('🔄 Rotação Duplas'!$D$50:$D$59,MATCH(D117,'🔄 Rotação Duplas'!$C$50:$C$59,0)),INDEX('🔄 Rotação Duplas'!$C$50:$C$59,MATCH(D117,'🔄 Rotação Duplas'!$D$50:$D$59,0))),"Semana 5",IFERROR(INDEX('🔄 Rotação Duplas'!$D$64:$D$73,MATCH(D117,'🔄 Rotação Duplas'!$C$64:$C$73,0)),INDEX('🔄 Rotação Duplas'!$C$64:$C$73,MATCH(D117,'🔄 Rotação Duplas'!$D$64:$D$73,0))),"Semana 6",IFERROR(INDEX('🔄 Rotação Duplas'!$D$78:$D$87,MATCH(D117,'🔄 Rotação Duplas'!$C$78:$C$87,0)),INDEX('🔄 Rotação Duplas'!$C$78:$C$87,MATCH(D117,'🔄 Rotação Duplas'!$D$78:$D$87,0))),"Semana 7",IFERROR(INDEX('🔄 Rotação Duplas'!$D$92:$D$101,MATCH(D117,'🔄 Rotação Duplas'!$C$92:$C$101,0)),INDEX('🔄 Rotação Duplas'!$C$92:$C$101,MATCH(D117,'🔄 Rotação Duplas'!$D$92:$D$101,0))),"Semana 8",IFERROR(INDEX('🔄 Rotação Duplas'!$D$106:$D$115,MATCH(D117,'🔄 Rotação Duplas'!$C$106:$C$115,0)),INDEX('🔄 Rotação Duplas'!$C$106:$C$115,MATCH(D117,'🔄 Rotação Duplas'!$D$106:$D$115,0)))),""))</f>
        <v/>
      </c>
      <c r="T117">
        <f t="shared" si="8"/>
        <v>0</v>
      </c>
    </row>
    <row r="118" spans="2:20" ht="18" customHeight="1" x14ac:dyDescent="0.2">
      <c r="B118" s="85" t="s">
        <v>60</v>
      </c>
      <c r="C118" s="86" t="str">
        <f t="shared" si="10"/>
        <v>Desafio 6</v>
      </c>
      <c r="D118" s="87" t="str">
        <f>'⚙️ Configuração'!C41</f>
        <v>Marta Torres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81">
        <f>(E118*'⚙️ Configuração'!$C$6+F118*'⚙️ Configuração'!$C$7+G118*'⚙️ Configuração'!$C$8+H118*'⚙️ Configuração'!$C$9+I118*'⚙️ Configuração'!$C$10+J118*'⚙️ Configuração'!$C$11)*IF(N118="S",2,1)</f>
        <v>0</v>
      </c>
      <c r="L118" s="90" t="s">
        <v>167</v>
      </c>
      <c r="M118" s="82">
        <f>IF(L118="AT1",'⚙️ Configuração'!$C$14,IF(L118="AT2",'⚙️ Configuração'!$C$15,IF(L118="FI",'⚙️ Configuração'!$C$16,IF(L118="FJ",'⚙️ Configuração'!$C$17,0))))</f>
        <v>0</v>
      </c>
      <c r="N118" s="91" t="s">
        <v>167</v>
      </c>
      <c r="O118" s="92"/>
      <c r="P118" s="83">
        <f>IF(O118="1",'⚙️ Configuração'!$C$21,IF(O118="2",'⚙️ Configuração'!$C$22,IF(O118="3",'⚙️ Configuração'!$C$23,IF(O118="Outro",'⚙️ Configuração'!$C$24,0))))</f>
        <v>0</v>
      </c>
      <c r="Q118" s="84">
        <f t="shared" si="7"/>
        <v>0</v>
      </c>
      <c r="R118" s="40" t="str">
        <f t="shared" si="1"/>
        <v>Semana 1 — ver 🔄</v>
      </c>
      <c r="S118" t="str" cm="1">
        <f t="array" ref="S118">IF(D118="","",IFERROR(_xlfn.SWITCH(B118,"Semana 1",IFERROR(INDEX('🔄 Rotação Duplas'!$D$8:$D$17,MATCH(D118,'🔄 Rotação Duplas'!$C$8:$C$17,0)),INDEX('🔄 Rotação Duplas'!$C$8:$C$17,MATCH(D118,'🔄 Rotação Duplas'!$D$8:$D$17,0))),"Semana 2",IFERROR(INDEX('🔄 Rotação Duplas'!$D$22:$D$31,MATCH(D118,'🔄 Rotação Duplas'!$C$22:$C$31,0)),INDEX('🔄 Rotação Duplas'!$C$22:$C$31,MATCH(D118,'🔄 Rotação Duplas'!$D$22:$D$31,0))),"Semana 3",IFERROR(INDEX('🔄 Rotação Duplas'!$D$36:$D$45,MATCH(D118,'🔄 Rotação Duplas'!$C$36:$C$45,0)),INDEX('🔄 Rotação Duplas'!$C$36:$C$45,MATCH(D118,'🔄 Rotação Duplas'!$D$36:$D$45,0))),"Semana 4",IFERROR(INDEX('🔄 Rotação Duplas'!$D$50:$D$59,MATCH(D118,'🔄 Rotação Duplas'!$C$50:$C$59,0)),INDEX('🔄 Rotação Duplas'!$C$50:$C$59,MATCH(D118,'🔄 Rotação Duplas'!$D$50:$D$59,0))),"Semana 5",IFERROR(INDEX('🔄 Rotação Duplas'!$D$64:$D$73,MATCH(D118,'🔄 Rotação Duplas'!$C$64:$C$73,0)),INDEX('🔄 Rotação Duplas'!$C$64:$C$73,MATCH(D118,'🔄 Rotação Duplas'!$D$64:$D$73,0))),"Semana 6",IFERROR(INDEX('🔄 Rotação Duplas'!$D$78:$D$87,MATCH(D118,'🔄 Rotação Duplas'!$C$78:$C$87,0)),INDEX('🔄 Rotação Duplas'!$C$78:$C$87,MATCH(D118,'🔄 Rotação Duplas'!$D$78:$D$87,0))),"Semana 7",IFERROR(INDEX('🔄 Rotação Duplas'!$D$92:$D$101,MATCH(D118,'🔄 Rotação Duplas'!$C$92:$C$101,0)),INDEX('🔄 Rotação Duplas'!$C$92:$C$101,MATCH(D118,'🔄 Rotação Duplas'!$D$92:$D$101,0))),"Semana 8",IFERROR(INDEX('🔄 Rotação Duplas'!$D$106:$D$115,MATCH(D118,'🔄 Rotação Duplas'!$C$106:$C$115,0)),INDEX('🔄 Rotação Duplas'!$C$106:$C$115,MATCH(D118,'🔄 Rotação Duplas'!$D$106:$D$115,0)))),""))</f>
        <v/>
      </c>
      <c r="T118">
        <f t="shared" si="8"/>
        <v>0</v>
      </c>
    </row>
    <row r="119" spans="2:20" ht="18" customHeight="1" x14ac:dyDescent="0.2">
      <c r="B119" s="78" t="s">
        <v>60</v>
      </c>
      <c r="C119" s="79" t="str">
        <f t="shared" si="10"/>
        <v>Desafio 6</v>
      </c>
      <c r="D119" s="80" t="str">
        <f>'⚙️ Configuração'!C42</f>
        <v>Patricia Isabel Silva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81">
        <f>(E119*'⚙️ Configuração'!$C$6+F119*'⚙️ Configuração'!$C$7+G119*'⚙️ Configuração'!$C$8+H119*'⚙️ Configuração'!$C$9+I119*'⚙️ Configuração'!$C$10+J119*'⚙️ Configuração'!$C$11)*IF(N119="S",2,1)</f>
        <v>0</v>
      </c>
      <c r="L119" s="90" t="s">
        <v>167</v>
      </c>
      <c r="M119" s="82">
        <f>IF(L119="AT1",'⚙️ Configuração'!$C$14,IF(L119="AT2",'⚙️ Configuração'!$C$15,IF(L119="FI",'⚙️ Configuração'!$C$16,IF(L119="FJ",'⚙️ Configuração'!$C$17,0))))</f>
        <v>0</v>
      </c>
      <c r="N119" s="91" t="s">
        <v>167</v>
      </c>
      <c r="O119" s="92"/>
      <c r="P119" s="83">
        <f>IF(O119="1",'⚙️ Configuração'!$C$21,IF(O119="2",'⚙️ Configuração'!$C$22,IF(O119="3",'⚙️ Configuração'!$C$23,IF(O119="Outro",'⚙️ Configuração'!$C$24,0))))</f>
        <v>0</v>
      </c>
      <c r="Q119" s="84">
        <f t="shared" si="7"/>
        <v>0</v>
      </c>
      <c r="R119" s="40" t="str">
        <f t="shared" si="1"/>
        <v>Semana 1 — ver 🔄</v>
      </c>
      <c r="S119" t="str" cm="1">
        <f t="array" ref="S119">IF(D119="","",IFERROR(_xlfn.SWITCH(B119,"Semana 1",IFERROR(INDEX('🔄 Rotação Duplas'!$D$8:$D$17,MATCH(D119,'🔄 Rotação Duplas'!$C$8:$C$17,0)),INDEX('🔄 Rotação Duplas'!$C$8:$C$17,MATCH(D119,'🔄 Rotação Duplas'!$D$8:$D$17,0))),"Semana 2",IFERROR(INDEX('🔄 Rotação Duplas'!$D$22:$D$31,MATCH(D119,'🔄 Rotação Duplas'!$C$22:$C$31,0)),INDEX('🔄 Rotação Duplas'!$C$22:$C$31,MATCH(D119,'🔄 Rotação Duplas'!$D$22:$D$31,0))),"Semana 3",IFERROR(INDEX('🔄 Rotação Duplas'!$D$36:$D$45,MATCH(D119,'🔄 Rotação Duplas'!$C$36:$C$45,0)),INDEX('🔄 Rotação Duplas'!$C$36:$C$45,MATCH(D119,'🔄 Rotação Duplas'!$D$36:$D$45,0))),"Semana 4",IFERROR(INDEX('🔄 Rotação Duplas'!$D$50:$D$59,MATCH(D119,'🔄 Rotação Duplas'!$C$50:$C$59,0)),INDEX('🔄 Rotação Duplas'!$C$50:$C$59,MATCH(D119,'🔄 Rotação Duplas'!$D$50:$D$59,0))),"Semana 5",IFERROR(INDEX('🔄 Rotação Duplas'!$D$64:$D$73,MATCH(D119,'🔄 Rotação Duplas'!$C$64:$C$73,0)),INDEX('🔄 Rotação Duplas'!$C$64:$C$73,MATCH(D119,'🔄 Rotação Duplas'!$D$64:$D$73,0))),"Semana 6",IFERROR(INDEX('🔄 Rotação Duplas'!$D$78:$D$87,MATCH(D119,'🔄 Rotação Duplas'!$C$78:$C$87,0)),INDEX('🔄 Rotação Duplas'!$C$78:$C$87,MATCH(D119,'🔄 Rotação Duplas'!$D$78:$D$87,0))),"Semana 7",IFERROR(INDEX('🔄 Rotação Duplas'!$D$92:$D$101,MATCH(D119,'🔄 Rotação Duplas'!$C$92:$C$101,0)),INDEX('🔄 Rotação Duplas'!$C$92:$C$101,MATCH(D119,'🔄 Rotação Duplas'!$D$92:$D$101,0))),"Semana 8",IFERROR(INDEX('🔄 Rotação Duplas'!$D$106:$D$115,MATCH(D119,'🔄 Rotação Duplas'!$C$106:$C$115,0)),INDEX('🔄 Rotação Duplas'!$C$106:$C$115,MATCH(D119,'🔄 Rotação Duplas'!$D$106:$D$115,0)))),""))</f>
        <v/>
      </c>
      <c r="T119">
        <f t="shared" si="8"/>
        <v>0</v>
      </c>
    </row>
    <row r="120" spans="2:20" ht="18" customHeight="1" x14ac:dyDescent="0.2">
      <c r="B120" s="85" t="s">
        <v>60</v>
      </c>
      <c r="C120" s="86" t="str">
        <f t="shared" si="10"/>
        <v>Desafio 6</v>
      </c>
      <c r="D120" s="87" t="str">
        <f>'⚙️ Configuração'!C43</f>
        <v>Paula Martins</v>
      </c>
      <c r="E120" s="50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81">
        <f>(E120*'⚙️ Configuração'!$C$6+F120*'⚙️ Configuração'!$C$7+G120*'⚙️ Configuração'!$C$8+H120*'⚙️ Configuração'!$C$9+I120*'⚙️ Configuração'!$C$10+J120*'⚙️ Configuração'!$C$11)*IF(N120="S",2,1)</f>
        <v>0</v>
      </c>
      <c r="L120" s="90" t="s">
        <v>167</v>
      </c>
      <c r="M120" s="82">
        <f>IF(L120="AT1",'⚙️ Configuração'!$C$14,IF(L120="AT2",'⚙️ Configuração'!$C$15,IF(L120="FI",'⚙️ Configuração'!$C$16,IF(L120="FJ",'⚙️ Configuração'!$C$17,0))))</f>
        <v>0</v>
      </c>
      <c r="N120" s="91" t="s">
        <v>167</v>
      </c>
      <c r="O120" s="92"/>
      <c r="P120" s="83">
        <f>IF(O120="1",'⚙️ Configuração'!$C$21,IF(O120="2",'⚙️ Configuração'!$C$22,IF(O120="3",'⚙️ Configuração'!$C$23,IF(O120="Outro",'⚙️ Configuração'!$C$24,0))))</f>
        <v>0</v>
      </c>
      <c r="Q120" s="84">
        <f t="shared" si="7"/>
        <v>0</v>
      </c>
      <c r="R120" s="40" t="str">
        <f t="shared" si="1"/>
        <v>Semana 1 — ver 🔄</v>
      </c>
      <c r="S120" t="str" cm="1">
        <f t="array" ref="S120">IF(D120="","",IFERROR(_xlfn.SWITCH(B120,"Semana 1",IFERROR(INDEX('🔄 Rotação Duplas'!$D$8:$D$17,MATCH(D120,'🔄 Rotação Duplas'!$C$8:$C$17,0)),INDEX('🔄 Rotação Duplas'!$C$8:$C$17,MATCH(D120,'🔄 Rotação Duplas'!$D$8:$D$17,0))),"Semana 2",IFERROR(INDEX('🔄 Rotação Duplas'!$D$22:$D$31,MATCH(D120,'🔄 Rotação Duplas'!$C$22:$C$31,0)),INDEX('🔄 Rotação Duplas'!$C$22:$C$31,MATCH(D120,'🔄 Rotação Duplas'!$D$22:$D$31,0))),"Semana 3",IFERROR(INDEX('🔄 Rotação Duplas'!$D$36:$D$45,MATCH(D120,'🔄 Rotação Duplas'!$C$36:$C$45,0)),INDEX('🔄 Rotação Duplas'!$C$36:$C$45,MATCH(D120,'🔄 Rotação Duplas'!$D$36:$D$45,0))),"Semana 4",IFERROR(INDEX('🔄 Rotação Duplas'!$D$50:$D$59,MATCH(D120,'🔄 Rotação Duplas'!$C$50:$C$59,0)),INDEX('🔄 Rotação Duplas'!$C$50:$C$59,MATCH(D120,'🔄 Rotação Duplas'!$D$50:$D$59,0))),"Semana 5",IFERROR(INDEX('🔄 Rotação Duplas'!$D$64:$D$73,MATCH(D120,'🔄 Rotação Duplas'!$C$64:$C$73,0)),INDEX('🔄 Rotação Duplas'!$C$64:$C$73,MATCH(D120,'🔄 Rotação Duplas'!$D$64:$D$73,0))),"Semana 6",IFERROR(INDEX('🔄 Rotação Duplas'!$D$78:$D$87,MATCH(D120,'🔄 Rotação Duplas'!$C$78:$C$87,0)),INDEX('🔄 Rotação Duplas'!$C$78:$C$87,MATCH(D120,'🔄 Rotação Duplas'!$D$78:$D$87,0))),"Semana 7",IFERROR(INDEX('🔄 Rotação Duplas'!$D$92:$D$101,MATCH(D120,'🔄 Rotação Duplas'!$C$92:$C$101,0)),INDEX('🔄 Rotação Duplas'!$C$92:$C$101,MATCH(D120,'🔄 Rotação Duplas'!$D$92:$D$101,0))),"Semana 8",IFERROR(INDEX('🔄 Rotação Duplas'!$D$106:$D$115,MATCH(D120,'🔄 Rotação Duplas'!$C$106:$C$115,0)),INDEX('🔄 Rotação Duplas'!$C$106:$C$115,MATCH(D120,'🔄 Rotação Duplas'!$D$106:$D$115,0)))),""))</f>
        <v/>
      </c>
      <c r="T120">
        <f t="shared" si="8"/>
        <v>0</v>
      </c>
    </row>
    <row r="121" spans="2:20" ht="18" customHeight="1" x14ac:dyDescent="0.2">
      <c r="B121" s="78" t="s">
        <v>60</v>
      </c>
      <c r="C121" s="79" t="str">
        <f t="shared" si="10"/>
        <v>Desafio 6</v>
      </c>
      <c r="D121" s="80" t="str">
        <f>'⚙️ Configuração'!C44</f>
        <v>Paula Miabara</v>
      </c>
      <c r="E121" s="50">
        <v>0</v>
      </c>
      <c r="F121" s="50">
        <v>0</v>
      </c>
      <c r="G121" s="50">
        <v>0</v>
      </c>
      <c r="H121" s="50">
        <v>0</v>
      </c>
      <c r="I121" s="50">
        <v>0</v>
      </c>
      <c r="J121" s="50">
        <v>0</v>
      </c>
      <c r="K121" s="81">
        <f>(E121*'⚙️ Configuração'!$C$6+F121*'⚙️ Configuração'!$C$7+G121*'⚙️ Configuração'!$C$8+H121*'⚙️ Configuração'!$C$9+I121*'⚙️ Configuração'!$C$10+J121*'⚙️ Configuração'!$C$11)*IF(N121="S",2,1)</f>
        <v>0</v>
      </c>
      <c r="L121" s="90" t="s">
        <v>167</v>
      </c>
      <c r="M121" s="82">
        <f>IF(L121="AT1",'⚙️ Configuração'!$C$14,IF(L121="AT2",'⚙️ Configuração'!$C$15,IF(L121="FI",'⚙️ Configuração'!$C$16,IF(L121="FJ",'⚙️ Configuração'!$C$17,0))))</f>
        <v>0</v>
      </c>
      <c r="N121" s="91" t="s">
        <v>167</v>
      </c>
      <c r="O121" s="92"/>
      <c r="P121" s="83">
        <f>IF(O121="1",'⚙️ Configuração'!$C$21,IF(O121="2",'⚙️ Configuração'!$C$22,IF(O121="3",'⚙️ Configuração'!$C$23,IF(O121="Outro",'⚙️ Configuração'!$C$24,0))))</f>
        <v>0</v>
      </c>
      <c r="Q121" s="84">
        <f t="shared" si="7"/>
        <v>0</v>
      </c>
      <c r="R121" s="40" t="str">
        <f t="shared" si="1"/>
        <v>Semana 1 — ver 🔄</v>
      </c>
      <c r="S121" t="str" cm="1">
        <f t="array" ref="S121">IF(D121="","",IFERROR(_xlfn.SWITCH(B121,"Semana 1",IFERROR(INDEX('🔄 Rotação Duplas'!$D$8:$D$17,MATCH(D121,'🔄 Rotação Duplas'!$C$8:$C$17,0)),INDEX('🔄 Rotação Duplas'!$C$8:$C$17,MATCH(D121,'🔄 Rotação Duplas'!$D$8:$D$17,0))),"Semana 2",IFERROR(INDEX('🔄 Rotação Duplas'!$D$22:$D$31,MATCH(D121,'🔄 Rotação Duplas'!$C$22:$C$31,0)),INDEX('🔄 Rotação Duplas'!$C$22:$C$31,MATCH(D121,'🔄 Rotação Duplas'!$D$22:$D$31,0))),"Semana 3",IFERROR(INDEX('🔄 Rotação Duplas'!$D$36:$D$45,MATCH(D121,'🔄 Rotação Duplas'!$C$36:$C$45,0)),INDEX('🔄 Rotação Duplas'!$C$36:$C$45,MATCH(D121,'🔄 Rotação Duplas'!$D$36:$D$45,0))),"Semana 4",IFERROR(INDEX('🔄 Rotação Duplas'!$D$50:$D$59,MATCH(D121,'🔄 Rotação Duplas'!$C$50:$C$59,0)),INDEX('🔄 Rotação Duplas'!$C$50:$C$59,MATCH(D121,'🔄 Rotação Duplas'!$D$50:$D$59,0))),"Semana 5",IFERROR(INDEX('🔄 Rotação Duplas'!$D$64:$D$73,MATCH(D121,'🔄 Rotação Duplas'!$C$64:$C$73,0)),INDEX('🔄 Rotação Duplas'!$C$64:$C$73,MATCH(D121,'🔄 Rotação Duplas'!$D$64:$D$73,0))),"Semana 6",IFERROR(INDEX('🔄 Rotação Duplas'!$D$78:$D$87,MATCH(D121,'🔄 Rotação Duplas'!$C$78:$C$87,0)),INDEX('🔄 Rotação Duplas'!$C$78:$C$87,MATCH(D121,'🔄 Rotação Duplas'!$D$78:$D$87,0))),"Semana 7",IFERROR(INDEX('🔄 Rotação Duplas'!$D$92:$D$101,MATCH(D121,'🔄 Rotação Duplas'!$C$92:$C$101,0)),INDEX('🔄 Rotação Duplas'!$C$92:$C$101,MATCH(D121,'🔄 Rotação Duplas'!$D$92:$D$101,0))),"Semana 8",IFERROR(INDEX('🔄 Rotação Duplas'!$D$106:$D$115,MATCH(D121,'🔄 Rotação Duplas'!$C$106:$C$115,0)),INDEX('🔄 Rotação Duplas'!$C$106:$C$115,MATCH(D121,'🔄 Rotação Duplas'!$D$106:$D$115,0)))),""))</f>
        <v/>
      </c>
      <c r="T121">
        <f t="shared" si="8"/>
        <v>0</v>
      </c>
    </row>
    <row r="122" spans="2:20" ht="18" customHeight="1" x14ac:dyDescent="0.2">
      <c r="B122" s="85" t="s">
        <v>60</v>
      </c>
      <c r="C122" s="86" t="str">
        <f t="shared" si="10"/>
        <v>Desafio 6</v>
      </c>
      <c r="D122" s="87" t="str">
        <f>'⚙️ Configuração'!C45</f>
        <v>Rita Carmo</v>
      </c>
      <c r="E122" s="50">
        <v>0</v>
      </c>
      <c r="F122" s="50">
        <v>0</v>
      </c>
      <c r="G122" s="50">
        <v>0</v>
      </c>
      <c r="H122" s="50">
        <v>0</v>
      </c>
      <c r="I122" s="50">
        <v>0</v>
      </c>
      <c r="J122" s="50">
        <v>0</v>
      </c>
      <c r="K122" s="81">
        <f>(E122*'⚙️ Configuração'!$C$6+F122*'⚙️ Configuração'!$C$7+G122*'⚙️ Configuração'!$C$8+H122*'⚙️ Configuração'!$C$9+I122*'⚙️ Configuração'!$C$10+J122*'⚙️ Configuração'!$C$11)*IF(N122="S",2,1)</f>
        <v>0</v>
      </c>
      <c r="L122" s="90" t="s">
        <v>167</v>
      </c>
      <c r="M122" s="82">
        <f>IF(L122="AT1",'⚙️ Configuração'!$C$14,IF(L122="AT2",'⚙️ Configuração'!$C$15,IF(L122="FI",'⚙️ Configuração'!$C$16,IF(L122="FJ",'⚙️ Configuração'!$C$17,0))))</f>
        <v>0</v>
      </c>
      <c r="N122" s="91" t="s">
        <v>167</v>
      </c>
      <c r="O122" s="92"/>
      <c r="P122" s="83">
        <f>IF(O122="1",'⚙️ Configuração'!$C$21,IF(O122="2",'⚙️ Configuração'!$C$22,IF(O122="3",'⚙️ Configuração'!$C$23,IF(O122="Outro",'⚙️ Configuração'!$C$24,0))))</f>
        <v>0</v>
      </c>
      <c r="Q122" s="84">
        <f t="shared" si="7"/>
        <v>0</v>
      </c>
      <c r="R122" s="40" t="str">
        <f t="shared" si="1"/>
        <v>Semana 1 — ver 🔄</v>
      </c>
      <c r="S122" t="str" cm="1">
        <f t="array" ref="S122">IF(D122="","",IFERROR(_xlfn.SWITCH(B122,"Semana 1",IFERROR(INDEX('🔄 Rotação Duplas'!$D$8:$D$17,MATCH(D122,'🔄 Rotação Duplas'!$C$8:$C$17,0)),INDEX('🔄 Rotação Duplas'!$C$8:$C$17,MATCH(D122,'🔄 Rotação Duplas'!$D$8:$D$17,0))),"Semana 2",IFERROR(INDEX('🔄 Rotação Duplas'!$D$22:$D$31,MATCH(D122,'🔄 Rotação Duplas'!$C$22:$C$31,0)),INDEX('🔄 Rotação Duplas'!$C$22:$C$31,MATCH(D122,'🔄 Rotação Duplas'!$D$22:$D$31,0))),"Semana 3",IFERROR(INDEX('🔄 Rotação Duplas'!$D$36:$D$45,MATCH(D122,'🔄 Rotação Duplas'!$C$36:$C$45,0)),INDEX('🔄 Rotação Duplas'!$C$36:$C$45,MATCH(D122,'🔄 Rotação Duplas'!$D$36:$D$45,0))),"Semana 4",IFERROR(INDEX('🔄 Rotação Duplas'!$D$50:$D$59,MATCH(D122,'🔄 Rotação Duplas'!$C$50:$C$59,0)),INDEX('🔄 Rotação Duplas'!$C$50:$C$59,MATCH(D122,'🔄 Rotação Duplas'!$D$50:$D$59,0))),"Semana 5",IFERROR(INDEX('🔄 Rotação Duplas'!$D$64:$D$73,MATCH(D122,'🔄 Rotação Duplas'!$C$64:$C$73,0)),INDEX('🔄 Rotação Duplas'!$C$64:$C$73,MATCH(D122,'🔄 Rotação Duplas'!$D$64:$D$73,0))),"Semana 6",IFERROR(INDEX('🔄 Rotação Duplas'!$D$78:$D$87,MATCH(D122,'🔄 Rotação Duplas'!$C$78:$C$87,0)),INDEX('🔄 Rotação Duplas'!$C$78:$C$87,MATCH(D122,'🔄 Rotação Duplas'!$D$78:$D$87,0))),"Semana 7",IFERROR(INDEX('🔄 Rotação Duplas'!$D$92:$D$101,MATCH(D122,'🔄 Rotação Duplas'!$C$92:$C$101,0)),INDEX('🔄 Rotação Duplas'!$C$92:$C$101,MATCH(D122,'🔄 Rotação Duplas'!$D$92:$D$101,0))),"Semana 8",IFERROR(INDEX('🔄 Rotação Duplas'!$D$106:$D$115,MATCH(D122,'🔄 Rotação Duplas'!$C$106:$C$115,0)),INDEX('🔄 Rotação Duplas'!$C$106:$C$115,MATCH(D122,'🔄 Rotação Duplas'!$D$106:$D$115,0)))),""))</f>
        <v/>
      </c>
      <c r="T122">
        <f t="shared" si="8"/>
        <v>0</v>
      </c>
    </row>
    <row r="123" spans="2:20" ht="18" customHeight="1" x14ac:dyDescent="0.2">
      <c r="B123" s="78" t="s">
        <v>60</v>
      </c>
      <c r="C123" s="79" t="str">
        <f t="shared" si="10"/>
        <v>Desafio 6</v>
      </c>
      <c r="D123" s="80" t="str">
        <f>'⚙️ Configuração'!C46</f>
        <v>William Fernandes</v>
      </c>
      <c r="E123" s="50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81">
        <f>(E123*'⚙️ Configuração'!$C$6+F123*'⚙️ Configuração'!$C$7+G123*'⚙️ Configuração'!$C$8+H123*'⚙️ Configuração'!$C$9+I123*'⚙️ Configuração'!$C$10+J123*'⚙️ Configuração'!$C$11)*IF(N123="S",2,1)</f>
        <v>0</v>
      </c>
      <c r="L123" s="90" t="s">
        <v>167</v>
      </c>
      <c r="M123" s="82">
        <f>IF(L123="AT1",'⚙️ Configuração'!$C$14,IF(L123="AT2",'⚙️ Configuração'!$C$15,IF(L123="FI",'⚙️ Configuração'!$C$16,IF(L123="FJ",'⚙️ Configuração'!$C$17,0))))</f>
        <v>0</v>
      </c>
      <c r="N123" s="91" t="s">
        <v>167</v>
      </c>
      <c r="O123" s="92"/>
      <c r="P123" s="83">
        <f>IF(O123="1",'⚙️ Configuração'!$C$21,IF(O123="2",'⚙️ Configuração'!$C$22,IF(O123="3",'⚙️ Configuração'!$C$23,IF(O123="Outro",'⚙️ Configuração'!$C$24,0))))</f>
        <v>0</v>
      </c>
      <c r="Q123" s="84">
        <f t="shared" si="7"/>
        <v>0</v>
      </c>
      <c r="R123" s="40" t="str">
        <f t="shared" si="1"/>
        <v>Semana 1 — ver 🔄</v>
      </c>
      <c r="S123" t="str" cm="1">
        <f t="array" ref="S123">IF(D123="","",IFERROR(_xlfn.SWITCH(B123,"Semana 1",IFERROR(INDEX('🔄 Rotação Duplas'!$D$8:$D$17,MATCH(D123,'🔄 Rotação Duplas'!$C$8:$C$17,0)),INDEX('🔄 Rotação Duplas'!$C$8:$C$17,MATCH(D123,'🔄 Rotação Duplas'!$D$8:$D$17,0))),"Semana 2",IFERROR(INDEX('🔄 Rotação Duplas'!$D$22:$D$31,MATCH(D123,'🔄 Rotação Duplas'!$C$22:$C$31,0)),INDEX('🔄 Rotação Duplas'!$C$22:$C$31,MATCH(D123,'🔄 Rotação Duplas'!$D$22:$D$31,0))),"Semana 3",IFERROR(INDEX('🔄 Rotação Duplas'!$D$36:$D$45,MATCH(D123,'🔄 Rotação Duplas'!$C$36:$C$45,0)),INDEX('🔄 Rotação Duplas'!$C$36:$C$45,MATCH(D123,'🔄 Rotação Duplas'!$D$36:$D$45,0))),"Semana 4",IFERROR(INDEX('🔄 Rotação Duplas'!$D$50:$D$59,MATCH(D123,'🔄 Rotação Duplas'!$C$50:$C$59,0)),INDEX('🔄 Rotação Duplas'!$C$50:$C$59,MATCH(D123,'🔄 Rotação Duplas'!$D$50:$D$59,0))),"Semana 5",IFERROR(INDEX('🔄 Rotação Duplas'!$D$64:$D$73,MATCH(D123,'🔄 Rotação Duplas'!$C$64:$C$73,0)),INDEX('🔄 Rotação Duplas'!$C$64:$C$73,MATCH(D123,'🔄 Rotação Duplas'!$D$64:$D$73,0))),"Semana 6",IFERROR(INDEX('🔄 Rotação Duplas'!$D$78:$D$87,MATCH(D123,'🔄 Rotação Duplas'!$C$78:$C$87,0)),INDEX('🔄 Rotação Duplas'!$C$78:$C$87,MATCH(D123,'🔄 Rotação Duplas'!$D$78:$D$87,0))),"Semana 7",IFERROR(INDEX('🔄 Rotação Duplas'!$D$92:$D$101,MATCH(D123,'🔄 Rotação Duplas'!$C$92:$C$101,0)),INDEX('🔄 Rotação Duplas'!$C$92:$C$101,MATCH(D123,'🔄 Rotação Duplas'!$D$92:$D$101,0))),"Semana 8",IFERROR(INDEX('🔄 Rotação Duplas'!$D$106:$D$115,MATCH(D123,'🔄 Rotação Duplas'!$C$106:$C$115,0)),INDEX('🔄 Rotação Duplas'!$C$106:$C$115,MATCH(D123,'🔄 Rotação Duplas'!$D$106:$D$115,0)))),""))</f>
        <v/>
      </c>
      <c r="T123">
        <f t="shared" si="8"/>
        <v>0</v>
      </c>
    </row>
    <row r="124" spans="2:20" ht="18" customHeight="1" x14ac:dyDescent="0.2">
      <c r="B124" s="85" t="s">
        <v>60</v>
      </c>
      <c r="C124" s="86" t="str">
        <f t="shared" si="10"/>
        <v>Desafio 6</v>
      </c>
      <c r="D124" s="87" t="str">
        <f>'⚙️ Configuração'!C47</f>
        <v>-</v>
      </c>
      <c r="E124" s="50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81">
        <f>(E124*'⚙️ Configuração'!$C$6+F124*'⚙️ Configuração'!$C$7+G124*'⚙️ Configuração'!$C$8+H124*'⚙️ Configuração'!$C$9+I124*'⚙️ Configuração'!$C$10+J124*'⚙️ Configuração'!$C$11)*IF(N124="S",2,1)</f>
        <v>0</v>
      </c>
      <c r="L124" s="90" t="s">
        <v>167</v>
      </c>
      <c r="M124" s="82">
        <f>IF(L124="AT1",'⚙️ Configuração'!$C$14,IF(L124="AT2",'⚙️ Configuração'!$C$15,IF(L124="FI",'⚙️ Configuração'!$C$16,IF(L124="FJ",'⚙️ Configuração'!$C$17,0))))</f>
        <v>0</v>
      </c>
      <c r="N124" s="91" t="s">
        <v>167</v>
      </c>
      <c r="O124" s="92"/>
      <c r="P124" s="83">
        <f>IF(O124="1",'⚙️ Configuração'!$C$21,IF(O124="2",'⚙️ Configuração'!$C$22,IF(O124="3",'⚙️ Configuração'!$C$23,IF(O124="Outro",'⚙️ Configuração'!$C$24,0))))</f>
        <v>0</v>
      </c>
      <c r="Q124" s="84">
        <f t="shared" si="7"/>
        <v>0</v>
      </c>
      <c r="R124" s="40" t="str">
        <f t="shared" si="1"/>
        <v>Semana 1 — ver 🔄</v>
      </c>
      <c r="S124" t="str" cm="1">
        <f t="array" ref="S124">IF(D124="","",IFERROR(_xlfn.SWITCH(B124,"Semana 1",IFERROR(INDEX('🔄 Rotação Duplas'!$D$8:$D$17,MATCH(D124,'🔄 Rotação Duplas'!$C$8:$C$17,0)),INDEX('🔄 Rotação Duplas'!$C$8:$C$17,MATCH(D124,'🔄 Rotação Duplas'!$D$8:$D$17,0))),"Semana 2",IFERROR(INDEX('🔄 Rotação Duplas'!$D$22:$D$31,MATCH(D124,'🔄 Rotação Duplas'!$C$22:$C$31,0)),INDEX('🔄 Rotação Duplas'!$C$22:$C$31,MATCH(D124,'🔄 Rotação Duplas'!$D$22:$D$31,0))),"Semana 3",IFERROR(INDEX('🔄 Rotação Duplas'!$D$36:$D$45,MATCH(D124,'🔄 Rotação Duplas'!$C$36:$C$45,0)),INDEX('🔄 Rotação Duplas'!$C$36:$C$45,MATCH(D124,'🔄 Rotação Duplas'!$D$36:$D$45,0))),"Semana 4",IFERROR(INDEX('🔄 Rotação Duplas'!$D$50:$D$59,MATCH(D124,'🔄 Rotação Duplas'!$C$50:$C$59,0)),INDEX('🔄 Rotação Duplas'!$C$50:$C$59,MATCH(D124,'🔄 Rotação Duplas'!$D$50:$D$59,0))),"Semana 5",IFERROR(INDEX('🔄 Rotação Duplas'!$D$64:$D$73,MATCH(D124,'🔄 Rotação Duplas'!$C$64:$C$73,0)),INDEX('🔄 Rotação Duplas'!$C$64:$C$73,MATCH(D124,'🔄 Rotação Duplas'!$D$64:$D$73,0))),"Semana 6",IFERROR(INDEX('🔄 Rotação Duplas'!$D$78:$D$87,MATCH(D124,'🔄 Rotação Duplas'!$C$78:$C$87,0)),INDEX('🔄 Rotação Duplas'!$C$78:$C$87,MATCH(D124,'🔄 Rotação Duplas'!$D$78:$D$87,0))),"Semana 7",IFERROR(INDEX('🔄 Rotação Duplas'!$D$92:$D$101,MATCH(D124,'🔄 Rotação Duplas'!$C$92:$C$101,0)),INDEX('🔄 Rotação Duplas'!$C$92:$C$101,MATCH(D124,'🔄 Rotação Duplas'!$D$92:$D$101,0))),"Semana 8",IFERROR(INDEX('🔄 Rotação Duplas'!$D$106:$D$115,MATCH(D124,'🔄 Rotação Duplas'!$C$106:$C$115,0)),INDEX('🔄 Rotação Duplas'!$C$106:$C$115,MATCH(D124,'🔄 Rotação Duplas'!$D$106:$D$115,0)))),""))</f>
        <v/>
      </c>
      <c r="T124">
        <f t="shared" si="8"/>
        <v>0</v>
      </c>
    </row>
    <row r="125" spans="2:20" ht="18" customHeight="1" x14ac:dyDescent="0.2">
      <c r="B125" s="78" t="s">
        <v>60</v>
      </c>
      <c r="C125" s="79" t="str">
        <f t="shared" si="10"/>
        <v>Desafio 6</v>
      </c>
      <c r="D125" s="80" t="str">
        <f>'⚙️ Configuração'!C48</f>
        <v>-</v>
      </c>
      <c r="E125" s="50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81">
        <f>(E125*'⚙️ Configuração'!$C$6+F125*'⚙️ Configuração'!$C$7+G125*'⚙️ Configuração'!$C$8+H125*'⚙️ Configuração'!$C$9+I125*'⚙️ Configuração'!$C$10+J125*'⚙️ Configuração'!$C$11)*IF(N125="S",2,1)</f>
        <v>0</v>
      </c>
      <c r="L125" s="90" t="s">
        <v>167</v>
      </c>
      <c r="M125" s="82">
        <f>IF(L125="AT1",'⚙️ Configuração'!$C$14,IF(L125="AT2",'⚙️ Configuração'!$C$15,IF(L125="FI",'⚙️ Configuração'!$C$16,IF(L125="FJ",'⚙️ Configuração'!$C$17,0))))</f>
        <v>0</v>
      </c>
      <c r="N125" s="91" t="s">
        <v>167</v>
      </c>
      <c r="O125" s="92"/>
      <c r="P125" s="83">
        <f>IF(O125="1",'⚙️ Configuração'!$C$21,IF(O125="2",'⚙️ Configuração'!$C$22,IF(O125="3",'⚙️ Configuração'!$C$23,IF(O125="Outro",'⚙️ Configuração'!$C$24,0))))</f>
        <v>0</v>
      </c>
      <c r="Q125" s="84">
        <f t="shared" si="7"/>
        <v>0</v>
      </c>
      <c r="R125" s="40" t="str">
        <f t="shared" si="1"/>
        <v>Semana 1 — ver 🔄</v>
      </c>
      <c r="S125" t="str" cm="1">
        <f t="array" ref="S125">IF(D125="","",IFERROR(_xlfn.SWITCH(B125,"Semana 1",IFERROR(INDEX('🔄 Rotação Duplas'!$D$8:$D$17,MATCH(D125,'🔄 Rotação Duplas'!$C$8:$C$17,0)),INDEX('🔄 Rotação Duplas'!$C$8:$C$17,MATCH(D125,'🔄 Rotação Duplas'!$D$8:$D$17,0))),"Semana 2",IFERROR(INDEX('🔄 Rotação Duplas'!$D$22:$D$31,MATCH(D125,'🔄 Rotação Duplas'!$C$22:$C$31,0)),INDEX('🔄 Rotação Duplas'!$C$22:$C$31,MATCH(D125,'🔄 Rotação Duplas'!$D$22:$D$31,0))),"Semana 3",IFERROR(INDEX('🔄 Rotação Duplas'!$D$36:$D$45,MATCH(D125,'🔄 Rotação Duplas'!$C$36:$C$45,0)),INDEX('🔄 Rotação Duplas'!$C$36:$C$45,MATCH(D125,'🔄 Rotação Duplas'!$D$36:$D$45,0))),"Semana 4",IFERROR(INDEX('🔄 Rotação Duplas'!$D$50:$D$59,MATCH(D125,'🔄 Rotação Duplas'!$C$50:$C$59,0)),INDEX('🔄 Rotação Duplas'!$C$50:$C$59,MATCH(D125,'🔄 Rotação Duplas'!$D$50:$D$59,0))),"Semana 5",IFERROR(INDEX('🔄 Rotação Duplas'!$D$64:$D$73,MATCH(D125,'🔄 Rotação Duplas'!$C$64:$C$73,0)),INDEX('🔄 Rotação Duplas'!$C$64:$C$73,MATCH(D125,'🔄 Rotação Duplas'!$D$64:$D$73,0))),"Semana 6",IFERROR(INDEX('🔄 Rotação Duplas'!$D$78:$D$87,MATCH(D125,'🔄 Rotação Duplas'!$C$78:$C$87,0)),INDEX('🔄 Rotação Duplas'!$C$78:$C$87,MATCH(D125,'🔄 Rotação Duplas'!$D$78:$D$87,0))),"Semana 7",IFERROR(INDEX('🔄 Rotação Duplas'!$D$92:$D$101,MATCH(D125,'🔄 Rotação Duplas'!$C$92:$C$101,0)),INDEX('🔄 Rotação Duplas'!$C$92:$C$101,MATCH(D125,'🔄 Rotação Duplas'!$D$92:$D$101,0))),"Semana 8",IFERROR(INDEX('🔄 Rotação Duplas'!$D$106:$D$115,MATCH(D125,'🔄 Rotação Duplas'!$C$106:$C$115,0)),INDEX('🔄 Rotação Duplas'!$C$106:$C$115,MATCH(D125,'🔄 Rotação Duplas'!$D$106:$D$115,0)))),""))</f>
        <v/>
      </c>
      <c r="T125">
        <f t="shared" si="8"/>
        <v>0</v>
      </c>
    </row>
    <row r="126" spans="2:20" ht="18" customHeight="1" x14ac:dyDescent="0.2">
      <c r="B126" s="85" t="s">
        <v>60</v>
      </c>
      <c r="C126" s="86" t="str">
        <f t="shared" si="10"/>
        <v>Desafio 6</v>
      </c>
      <c r="D126" s="87" t="str">
        <f>'⚙️ Configuração'!C49</f>
        <v>-</v>
      </c>
      <c r="E126" s="50">
        <v>0</v>
      </c>
      <c r="F126" s="50">
        <v>0</v>
      </c>
      <c r="G126" s="50">
        <v>0</v>
      </c>
      <c r="H126" s="50">
        <v>0</v>
      </c>
      <c r="I126" s="50">
        <v>0</v>
      </c>
      <c r="J126" s="50">
        <v>0</v>
      </c>
      <c r="K126" s="81">
        <f>(E126*'⚙️ Configuração'!$C$6+F126*'⚙️ Configuração'!$C$7+G126*'⚙️ Configuração'!$C$8+H126*'⚙️ Configuração'!$C$9+I126*'⚙️ Configuração'!$C$10+J126*'⚙️ Configuração'!$C$11)*IF(N126="S",2,1)</f>
        <v>0</v>
      </c>
      <c r="L126" s="90" t="s">
        <v>167</v>
      </c>
      <c r="M126" s="82">
        <f>IF(L126="AT1",'⚙️ Configuração'!$C$14,IF(L126="AT2",'⚙️ Configuração'!$C$15,IF(L126="FI",'⚙️ Configuração'!$C$16,IF(L126="FJ",'⚙️ Configuração'!$C$17,0))))</f>
        <v>0</v>
      </c>
      <c r="N126" s="91" t="s">
        <v>167</v>
      </c>
      <c r="O126" s="92"/>
      <c r="P126" s="83">
        <f>IF(O126="1",'⚙️ Configuração'!$C$21,IF(O126="2",'⚙️ Configuração'!$C$22,IF(O126="3",'⚙️ Configuração'!$C$23,IF(O126="Outro",'⚙️ Configuração'!$C$24,0))))</f>
        <v>0</v>
      </c>
      <c r="Q126" s="84">
        <f t="shared" si="7"/>
        <v>0</v>
      </c>
      <c r="R126" s="40" t="str">
        <f t="shared" si="1"/>
        <v>Semana 1 — ver 🔄</v>
      </c>
      <c r="S126" t="str" cm="1">
        <f t="array" ref="S126">IF(D126="","",IFERROR(_xlfn.SWITCH(B126,"Semana 1",IFERROR(INDEX('🔄 Rotação Duplas'!$D$8:$D$17,MATCH(D126,'🔄 Rotação Duplas'!$C$8:$C$17,0)),INDEX('🔄 Rotação Duplas'!$C$8:$C$17,MATCH(D126,'🔄 Rotação Duplas'!$D$8:$D$17,0))),"Semana 2",IFERROR(INDEX('🔄 Rotação Duplas'!$D$22:$D$31,MATCH(D126,'🔄 Rotação Duplas'!$C$22:$C$31,0)),INDEX('🔄 Rotação Duplas'!$C$22:$C$31,MATCH(D126,'🔄 Rotação Duplas'!$D$22:$D$31,0))),"Semana 3",IFERROR(INDEX('🔄 Rotação Duplas'!$D$36:$D$45,MATCH(D126,'🔄 Rotação Duplas'!$C$36:$C$45,0)),INDEX('🔄 Rotação Duplas'!$C$36:$C$45,MATCH(D126,'🔄 Rotação Duplas'!$D$36:$D$45,0))),"Semana 4",IFERROR(INDEX('🔄 Rotação Duplas'!$D$50:$D$59,MATCH(D126,'🔄 Rotação Duplas'!$C$50:$C$59,0)),INDEX('🔄 Rotação Duplas'!$C$50:$C$59,MATCH(D126,'🔄 Rotação Duplas'!$D$50:$D$59,0))),"Semana 5",IFERROR(INDEX('🔄 Rotação Duplas'!$D$64:$D$73,MATCH(D126,'🔄 Rotação Duplas'!$C$64:$C$73,0)),INDEX('🔄 Rotação Duplas'!$C$64:$C$73,MATCH(D126,'🔄 Rotação Duplas'!$D$64:$D$73,0))),"Semana 6",IFERROR(INDEX('🔄 Rotação Duplas'!$D$78:$D$87,MATCH(D126,'🔄 Rotação Duplas'!$C$78:$C$87,0)),INDEX('🔄 Rotação Duplas'!$C$78:$C$87,MATCH(D126,'🔄 Rotação Duplas'!$D$78:$D$87,0))),"Semana 7",IFERROR(INDEX('🔄 Rotação Duplas'!$D$92:$D$101,MATCH(D126,'🔄 Rotação Duplas'!$C$92:$C$101,0)),INDEX('🔄 Rotação Duplas'!$C$92:$C$101,MATCH(D126,'🔄 Rotação Duplas'!$D$92:$D$101,0))),"Semana 8",IFERROR(INDEX('🔄 Rotação Duplas'!$D$106:$D$115,MATCH(D126,'🔄 Rotação Duplas'!$C$106:$C$115,0)),INDEX('🔄 Rotação Duplas'!$C$106:$C$115,MATCH(D126,'🔄 Rotação Duplas'!$D$106:$D$115,0)))),""))</f>
        <v/>
      </c>
      <c r="T126">
        <f t="shared" si="8"/>
        <v>0</v>
      </c>
    </row>
    <row r="127" spans="2:20" ht="18" customHeight="1" x14ac:dyDescent="0.2">
      <c r="B127" s="78" t="s">
        <v>60</v>
      </c>
      <c r="C127" s="79" t="str">
        <f t="shared" ref="C127:C146" si="11">"Desafio 7"</f>
        <v>Desafio 7</v>
      </c>
      <c r="D127" s="80" t="str">
        <f>'⚙️ Configuração'!C30</f>
        <v>Carla Cantante</v>
      </c>
      <c r="E127" s="50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81">
        <f>(E127*'⚙️ Configuração'!$C$6+F127*'⚙️ Configuração'!$C$7+G127*'⚙️ Configuração'!$C$8+H127*'⚙️ Configuração'!$C$9+I127*'⚙️ Configuração'!$C$10+J127*'⚙️ Configuração'!$C$11)*IF(N127="S",2,1)</f>
        <v>0</v>
      </c>
      <c r="L127" s="90" t="s">
        <v>167</v>
      </c>
      <c r="M127" s="82">
        <f>IF(L127="AT1",'⚙️ Configuração'!$C$14,IF(L127="AT2",'⚙️ Configuração'!$C$15,IF(L127="FI",'⚙️ Configuração'!$C$16,IF(L127="FJ",'⚙️ Configuração'!$C$17,0))))</f>
        <v>0</v>
      </c>
      <c r="N127" s="91" t="s">
        <v>167</v>
      </c>
      <c r="O127" s="92"/>
      <c r="P127" s="83">
        <f>IF(O127="1",'⚙️ Configuração'!$C$21,IF(O127="2",'⚙️ Configuração'!$C$22,IF(O127="3",'⚙️ Configuração'!$C$23,IF(O127="Outro",'⚙️ Configuração'!$C$24,0))))</f>
        <v>0</v>
      </c>
      <c r="Q127" s="84">
        <f t="shared" si="7"/>
        <v>0</v>
      </c>
      <c r="R127" s="40" t="str">
        <f t="shared" si="1"/>
        <v>Semana 1 — ver 🔄</v>
      </c>
      <c r="S127" t="str" cm="1">
        <f t="array" ref="S127">IF(D127="","",IFERROR(_xlfn.SWITCH(B127,"Semana 1",IFERROR(INDEX('🔄 Rotação Duplas'!$D$8:$D$17,MATCH(D127,'🔄 Rotação Duplas'!$C$8:$C$17,0)),INDEX('🔄 Rotação Duplas'!$C$8:$C$17,MATCH(D127,'🔄 Rotação Duplas'!$D$8:$D$17,0))),"Semana 2",IFERROR(INDEX('🔄 Rotação Duplas'!$D$22:$D$31,MATCH(D127,'🔄 Rotação Duplas'!$C$22:$C$31,0)),INDEX('🔄 Rotação Duplas'!$C$22:$C$31,MATCH(D127,'🔄 Rotação Duplas'!$D$22:$D$31,0))),"Semana 3",IFERROR(INDEX('🔄 Rotação Duplas'!$D$36:$D$45,MATCH(D127,'🔄 Rotação Duplas'!$C$36:$C$45,0)),INDEX('🔄 Rotação Duplas'!$C$36:$C$45,MATCH(D127,'🔄 Rotação Duplas'!$D$36:$D$45,0))),"Semana 4",IFERROR(INDEX('🔄 Rotação Duplas'!$D$50:$D$59,MATCH(D127,'🔄 Rotação Duplas'!$C$50:$C$59,0)),INDEX('🔄 Rotação Duplas'!$C$50:$C$59,MATCH(D127,'🔄 Rotação Duplas'!$D$50:$D$59,0))),"Semana 5",IFERROR(INDEX('🔄 Rotação Duplas'!$D$64:$D$73,MATCH(D127,'🔄 Rotação Duplas'!$C$64:$C$73,0)),INDEX('🔄 Rotação Duplas'!$C$64:$C$73,MATCH(D127,'🔄 Rotação Duplas'!$D$64:$D$73,0))),"Semana 6",IFERROR(INDEX('🔄 Rotação Duplas'!$D$78:$D$87,MATCH(D127,'🔄 Rotação Duplas'!$C$78:$C$87,0)),INDEX('🔄 Rotação Duplas'!$C$78:$C$87,MATCH(D127,'🔄 Rotação Duplas'!$D$78:$D$87,0))),"Semana 7",IFERROR(INDEX('🔄 Rotação Duplas'!$D$92:$D$101,MATCH(D127,'🔄 Rotação Duplas'!$C$92:$C$101,0)),INDEX('🔄 Rotação Duplas'!$C$92:$C$101,MATCH(D127,'🔄 Rotação Duplas'!$D$92:$D$101,0))),"Semana 8",IFERROR(INDEX('🔄 Rotação Duplas'!$D$106:$D$115,MATCH(D127,'🔄 Rotação Duplas'!$C$106:$C$115,0)),INDEX('🔄 Rotação Duplas'!$C$106:$C$115,MATCH(D127,'🔄 Rotação Duplas'!$D$106:$D$115,0)))),""))</f>
        <v/>
      </c>
      <c r="T127">
        <f t="shared" si="8"/>
        <v>0</v>
      </c>
    </row>
    <row r="128" spans="2:20" ht="18" customHeight="1" x14ac:dyDescent="0.2">
      <c r="B128" s="85" t="s">
        <v>60</v>
      </c>
      <c r="C128" s="86" t="str">
        <f t="shared" si="11"/>
        <v>Desafio 7</v>
      </c>
      <c r="D128" s="87" t="str">
        <f>'⚙️ Configuração'!C31</f>
        <v>Elisabete Mendes</v>
      </c>
      <c r="E128" s="50">
        <v>0</v>
      </c>
      <c r="F128" s="50">
        <v>0</v>
      </c>
      <c r="G128" s="50">
        <v>0</v>
      </c>
      <c r="H128" s="50">
        <v>0</v>
      </c>
      <c r="I128" s="50">
        <v>0</v>
      </c>
      <c r="J128" s="50">
        <v>0</v>
      </c>
      <c r="K128" s="81">
        <f>(E128*'⚙️ Configuração'!$C$6+F128*'⚙️ Configuração'!$C$7+G128*'⚙️ Configuração'!$C$8+H128*'⚙️ Configuração'!$C$9+I128*'⚙️ Configuração'!$C$10+J128*'⚙️ Configuração'!$C$11)*IF(N128="S",2,1)</f>
        <v>0</v>
      </c>
      <c r="L128" s="90" t="s">
        <v>167</v>
      </c>
      <c r="M128" s="82">
        <f>IF(L128="AT1",'⚙️ Configuração'!$C$14,IF(L128="AT2",'⚙️ Configuração'!$C$15,IF(L128="FI",'⚙️ Configuração'!$C$16,IF(L128="FJ",'⚙️ Configuração'!$C$17,0))))</f>
        <v>0</v>
      </c>
      <c r="N128" s="91" t="s">
        <v>167</v>
      </c>
      <c r="O128" s="92"/>
      <c r="P128" s="83">
        <f>IF(O128="1",'⚙️ Configuração'!$C$21,IF(O128="2",'⚙️ Configuração'!$C$22,IF(O128="3",'⚙️ Configuração'!$C$23,IF(O128="Outro",'⚙️ Configuração'!$C$24,0))))</f>
        <v>0</v>
      </c>
      <c r="Q128" s="84">
        <f t="shared" si="7"/>
        <v>0</v>
      </c>
      <c r="R128" s="40" t="str">
        <f t="shared" si="1"/>
        <v>Semana 1 — ver 🔄</v>
      </c>
      <c r="S128" t="str" cm="1">
        <f t="array" ref="S128">IF(D128="","",IFERROR(_xlfn.SWITCH(B128,"Semana 1",IFERROR(INDEX('🔄 Rotação Duplas'!$D$8:$D$17,MATCH(D128,'🔄 Rotação Duplas'!$C$8:$C$17,0)),INDEX('🔄 Rotação Duplas'!$C$8:$C$17,MATCH(D128,'🔄 Rotação Duplas'!$D$8:$D$17,0))),"Semana 2",IFERROR(INDEX('🔄 Rotação Duplas'!$D$22:$D$31,MATCH(D128,'🔄 Rotação Duplas'!$C$22:$C$31,0)),INDEX('🔄 Rotação Duplas'!$C$22:$C$31,MATCH(D128,'🔄 Rotação Duplas'!$D$22:$D$31,0))),"Semana 3",IFERROR(INDEX('🔄 Rotação Duplas'!$D$36:$D$45,MATCH(D128,'🔄 Rotação Duplas'!$C$36:$C$45,0)),INDEX('🔄 Rotação Duplas'!$C$36:$C$45,MATCH(D128,'🔄 Rotação Duplas'!$D$36:$D$45,0))),"Semana 4",IFERROR(INDEX('🔄 Rotação Duplas'!$D$50:$D$59,MATCH(D128,'🔄 Rotação Duplas'!$C$50:$C$59,0)),INDEX('🔄 Rotação Duplas'!$C$50:$C$59,MATCH(D128,'🔄 Rotação Duplas'!$D$50:$D$59,0))),"Semana 5",IFERROR(INDEX('🔄 Rotação Duplas'!$D$64:$D$73,MATCH(D128,'🔄 Rotação Duplas'!$C$64:$C$73,0)),INDEX('🔄 Rotação Duplas'!$C$64:$C$73,MATCH(D128,'🔄 Rotação Duplas'!$D$64:$D$73,0))),"Semana 6",IFERROR(INDEX('🔄 Rotação Duplas'!$D$78:$D$87,MATCH(D128,'🔄 Rotação Duplas'!$C$78:$C$87,0)),INDEX('🔄 Rotação Duplas'!$C$78:$C$87,MATCH(D128,'🔄 Rotação Duplas'!$D$78:$D$87,0))),"Semana 7",IFERROR(INDEX('🔄 Rotação Duplas'!$D$92:$D$101,MATCH(D128,'🔄 Rotação Duplas'!$C$92:$C$101,0)),INDEX('🔄 Rotação Duplas'!$C$92:$C$101,MATCH(D128,'🔄 Rotação Duplas'!$D$92:$D$101,0))),"Semana 8",IFERROR(INDEX('🔄 Rotação Duplas'!$D$106:$D$115,MATCH(D128,'🔄 Rotação Duplas'!$C$106:$C$115,0)),INDEX('🔄 Rotação Duplas'!$C$106:$C$115,MATCH(D128,'🔄 Rotação Duplas'!$D$106:$D$115,0)))),""))</f>
        <v/>
      </c>
      <c r="T128">
        <f t="shared" si="8"/>
        <v>0</v>
      </c>
    </row>
    <row r="129" spans="2:20" ht="18" customHeight="1" x14ac:dyDescent="0.2">
      <c r="B129" s="78" t="s">
        <v>60</v>
      </c>
      <c r="C129" s="79" t="str">
        <f t="shared" si="11"/>
        <v>Desafio 7</v>
      </c>
      <c r="D129" s="80" t="str">
        <f>'⚙️ Configuração'!C32</f>
        <v>Filipa Cunha</v>
      </c>
      <c r="E129" s="50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81">
        <f>(E129*'⚙️ Configuração'!$C$6+F129*'⚙️ Configuração'!$C$7+G129*'⚙️ Configuração'!$C$8+H129*'⚙️ Configuração'!$C$9+I129*'⚙️ Configuração'!$C$10+J129*'⚙️ Configuração'!$C$11)*IF(N129="S",2,1)</f>
        <v>0</v>
      </c>
      <c r="L129" s="90" t="s">
        <v>167</v>
      </c>
      <c r="M129" s="82">
        <f>IF(L129="AT1",'⚙️ Configuração'!$C$14,IF(L129="AT2",'⚙️ Configuração'!$C$15,IF(L129="FI",'⚙️ Configuração'!$C$16,IF(L129="FJ",'⚙️ Configuração'!$C$17,0))))</f>
        <v>0</v>
      </c>
      <c r="N129" s="91" t="s">
        <v>167</v>
      </c>
      <c r="O129" s="92"/>
      <c r="P129" s="83">
        <f>IF(O129="1",'⚙️ Configuração'!$C$21,IF(O129="2",'⚙️ Configuração'!$C$22,IF(O129="3",'⚙️ Configuração'!$C$23,IF(O129="Outro",'⚙️ Configuração'!$C$24,0))))</f>
        <v>0</v>
      </c>
      <c r="Q129" s="84">
        <f t="shared" si="7"/>
        <v>0</v>
      </c>
      <c r="R129" s="40" t="str">
        <f t="shared" si="1"/>
        <v>Semana 1 — ver 🔄</v>
      </c>
      <c r="S129" t="str" cm="1">
        <f t="array" ref="S129">IF(D129="","",IFERROR(_xlfn.SWITCH(B129,"Semana 1",IFERROR(INDEX('🔄 Rotação Duplas'!$D$8:$D$17,MATCH(D129,'🔄 Rotação Duplas'!$C$8:$C$17,0)),INDEX('🔄 Rotação Duplas'!$C$8:$C$17,MATCH(D129,'🔄 Rotação Duplas'!$D$8:$D$17,0))),"Semana 2",IFERROR(INDEX('🔄 Rotação Duplas'!$D$22:$D$31,MATCH(D129,'🔄 Rotação Duplas'!$C$22:$C$31,0)),INDEX('🔄 Rotação Duplas'!$C$22:$C$31,MATCH(D129,'🔄 Rotação Duplas'!$D$22:$D$31,0))),"Semana 3",IFERROR(INDEX('🔄 Rotação Duplas'!$D$36:$D$45,MATCH(D129,'🔄 Rotação Duplas'!$C$36:$C$45,0)),INDEX('🔄 Rotação Duplas'!$C$36:$C$45,MATCH(D129,'🔄 Rotação Duplas'!$D$36:$D$45,0))),"Semana 4",IFERROR(INDEX('🔄 Rotação Duplas'!$D$50:$D$59,MATCH(D129,'🔄 Rotação Duplas'!$C$50:$C$59,0)),INDEX('🔄 Rotação Duplas'!$C$50:$C$59,MATCH(D129,'🔄 Rotação Duplas'!$D$50:$D$59,0))),"Semana 5",IFERROR(INDEX('🔄 Rotação Duplas'!$D$64:$D$73,MATCH(D129,'🔄 Rotação Duplas'!$C$64:$C$73,0)),INDEX('🔄 Rotação Duplas'!$C$64:$C$73,MATCH(D129,'🔄 Rotação Duplas'!$D$64:$D$73,0))),"Semana 6",IFERROR(INDEX('🔄 Rotação Duplas'!$D$78:$D$87,MATCH(D129,'🔄 Rotação Duplas'!$C$78:$C$87,0)),INDEX('🔄 Rotação Duplas'!$C$78:$C$87,MATCH(D129,'🔄 Rotação Duplas'!$D$78:$D$87,0))),"Semana 7",IFERROR(INDEX('🔄 Rotação Duplas'!$D$92:$D$101,MATCH(D129,'🔄 Rotação Duplas'!$C$92:$C$101,0)),INDEX('🔄 Rotação Duplas'!$C$92:$C$101,MATCH(D129,'🔄 Rotação Duplas'!$D$92:$D$101,0))),"Semana 8",IFERROR(INDEX('🔄 Rotação Duplas'!$D$106:$D$115,MATCH(D129,'🔄 Rotação Duplas'!$C$106:$C$115,0)),INDEX('🔄 Rotação Duplas'!$C$106:$C$115,MATCH(D129,'🔄 Rotação Duplas'!$D$106:$D$115,0)))),""))</f>
        <v/>
      </c>
      <c r="T129">
        <f t="shared" si="8"/>
        <v>0</v>
      </c>
    </row>
    <row r="130" spans="2:20" ht="18" customHeight="1" x14ac:dyDescent="0.2">
      <c r="B130" s="85" t="s">
        <v>60</v>
      </c>
      <c r="C130" s="86" t="str">
        <f t="shared" si="11"/>
        <v>Desafio 7</v>
      </c>
      <c r="D130" s="87" t="str">
        <f>'⚙️ Configuração'!C33</f>
        <v>Helena Rocha</v>
      </c>
      <c r="E130" s="50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81">
        <f>(E130*'⚙️ Configuração'!$C$6+F130*'⚙️ Configuração'!$C$7+G130*'⚙️ Configuração'!$C$8+H130*'⚙️ Configuração'!$C$9+I130*'⚙️ Configuração'!$C$10+J130*'⚙️ Configuração'!$C$11)*IF(N130="S",2,1)</f>
        <v>0</v>
      </c>
      <c r="L130" s="90" t="s">
        <v>167</v>
      </c>
      <c r="M130" s="82">
        <f>IF(L130="AT1",'⚙️ Configuração'!$C$14,IF(L130="AT2",'⚙️ Configuração'!$C$15,IF(L130="FI",'⚙️ Configuração'!$C$16,IF(L130="FJ",'⚙️ Configuração'!$C$17,0))))</f>
        <v>0</v>
      </c>
      <c r="N130" s="91" t="s">
        <v>167</v>
      </c>
      <c r="O130" s="92"/>
      <c r="P130" s="83">
        <f>IF(O130="1",'⚙️ Configuração'!$C$21,IF(O130="2",'⚙️ Configuração'!$C$22,IF(O130="3",'⚙️ Configuração'!$C$23,IF(O130="Outro",'⚙️ Configuração'!$C$24,0))))</f>
        <v>0</v>
      </c>
      <c r="Q130" s="84">
        <f t="shared" si="7"/>
        <v>0</v>
      </c>
      <c r="R130" s="40" t="str">
        <f t="shared" si="1"/>
        <v>Semana 1 — ver 🔄</v>
      </c>
      <c r="S130" t="str" cm="1">
        <f t="array" ref="S130">IF(D130="","",IFERROR(_xlfn.SWITCH(B130,"Semana 1",IFERROR(INDEX('🔄 Rotação Duplas'!$D$8:$D$17,MATCH(D130,'🔄 Rotação Duplas'!$C$8:$C$17,0)),INDEX('🔄 Rotação Duplas'!$C$8:$C$17,MATCH(D130,'🔄 Rotação Duplas'!$D$8:$D$17,0))),"Semana 2",IFERROR(INDEX('🔄 Rotação Duplas'!$D$22:$D$31,MATCH(D130,'🔄 Rotação Duplas'!$C$22:$C$31,0)),INDEX('🔄 Rotação Duplas'!$C$22:$C$31,MATCH(D130,'🔄 Rotação Duplas'!$D$22:$D$31,0))),"Semana 3",IFERROR(INDEX('🔄 Rotação Duplas'!$D$36:$D$45,MATCH(D130,'🔄 Rotação Duplas'!$C$36:$C$45,0)),INDEX('🔄 Rotação Duplas'!$C$36:$C$45,MATCH(D130,'🔄 Rotação Duplas'!$D$36:$D$45,0))),"Semana 4",IFERROR(INDEX('🔄 Rotação Duplas'!$D$50:$D$59,MATCH(D130,'🔄 Rotação Duplas'!$C$50:$C$59,0)),INDEX('🔄 Rotação Duplas'!$C$50:$C$59,MATCH(D130,'🔄 Rotação Duplas'!$D$50:$D$59,0))),"Semana 5",IFERROR(INDEX('🔄 Rotação Duplas'!$D$64:$D$73,MATCH(D130,'🔄 Rotação Duplas'!$C$64:$C$73,0)),INDEX('🔄 Rotação Duplas'!$C$64:$C$73,MATCH(D130,'🔄 Rotação Duplas'!$D$64:$D$73,0))),"Semana 6",IFERROR(INDEX('🔄 Rotação Duplas'!$D$78:$D$87,MATCH(D130,'🔄 Rotação Duplas'!$C$78:$C$87,0)),INDEX('🔄 Rotação Duplas'!$C$78:$C$87,MATCH(D130,'🔄 Rotação Duplas'!$D$78:$D$87,0))),"Semana 7",IFERROR(INDEX('🔄 Rotação Duplas'!$D$92:$D$101,MATCH(D130,'🔄 Rotação Duplas'!$C$92:$C$101,0)),INDEX('🔄 Rotação Duplas'!$C$92:$C$101,MATCH(D130,'🔄 Rotação Duplas'!$D$92:$D$101,0))),"Semana 8",IFERROR(INDEX('🔄 Rotação Duplas'!$D$106:$D$115,MATCH(D130,'🔄 Rotação Duplas'!$C$106:$C$115,0)),INDEX('🔄 Rotação Duplas'!$C$106:$C$115,MATCH(D130,'🔄 Rotação Duplas'!$D$106:$D$115,0)))),""))</f>
        <v/>
      </c>
      <c r="T130">
        <f t="shared" si="8"/>
        <v>0</v>
      </c>
    </row>
    <row r="131" spans="2:20" ht="18" customHeight="1" x14ac:dyDescent="0.2">
      <c r="B131" s="78" t="s">
        <v>60</v>
      </c>
      <c r="C131" s="79" t="str">
        <f t="shared" si="11"/>
        <v>Desafio 7</v>
      </c>
      <c r="D131" s="80" t="str">
        <f>'⚙️ Configuração'!C34</f>
        <v>João Xavier</v>
      </c>
      <c r="E131" s="50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81">
        <f>(E131*'⚙️ Configuração'!$C$6+F131*'⚙️ Configuração'!$C$7+G131*'⚙️ Configuração'!$C$8+H131*'⚙️ Configuração'!$C$9+I131*'⚙️ Configuração'!$C$10+J131*'⚙️ Configuração'!$C$11)*IF(N131="S",2,1)</f>
        <v>0</v>
      </c>
      <c r="L131" s="90" t="s">
        <v>167</v>
      </c>
      <c r="M131" s="82">
        <f>IF(L131="AT1",'⚙️ Configuração'!$C$14,IF(L131="AT2",'⚙️ Configuração'!$C$15,IF(L131="FI",'⚙️ Configuração'!$C$16,IF(L131="FJ",'⚙️ Configuração'!$C$17,0))))</f>
        <v>0</v>
      </c>
      <c r="N131" s="91" t="s">
        <v>167</v>
      </c>
      <c r="O131" s="92"/>
      <c r="P131" s="83">
        <f>IF(O131="1",'⚙️ Configuração'!$C$21,IF(O131="2",'⚙️ Configuração'!$C$22,IF(O131="3",'⚙️ Configuração'!$C$23,IF(O131="Outro",'⚙️ Configuração'!$C$24,0))))</f>
        <v>0</v>
      </c>
      <c r="Q131" s="84">
        <f t="shared" si="7"/>
        <v>0</v>
      </c>
      <c r="R131" s="40" t="str">
        <f t="shared" si="1"/>
        <v>Semana 1 — ver 🔄</v>
      </c>
      <c r="S131" t="str" cm="1">
        <f t="array" ref="S131">IF(D131="","",IFERROR(_xlfn.SWITCH(B131,"Semana 1",IFERROR(INDEX('🔄 Rotação Duplas'!$D$8:$D$17,MATCH(D131,'🔄 Rotação Duplas'!$C$8:$C$17,0)),INDEX('🔄 Rotação Duplas'!$C$8:$C$17,MATCH(D131,'🔄 Rotação Duplas'!$D$8:$D$17,0))),"Semana 2",IFERROR(INDEX('🔄 Rotação Duplas'!$D$22:$D$31,MATCH(D131,'🔄 Rotação Duplas'!$C$22:$C$31,0)),INDEX('🔄 Rotação Duplas'!$C$22:$C$31,MATCH(D131,'🔄 Rotação Duplas'!$D$22:$D$31,0))),"Semana 3",IFERROR(INDEX('🔄 Rotação Duplas'!$D$36:$D$45,MATCH(D131,'🔄 Rotação Duplas'!$C$36:$C$45,0)),INDEX('🔄 Rotação Duplas'!$C$36:$C$45,MATCH(D131,'🔄 Rotação Duplas'!$D$36:$D$45,0))),"Semana 4",IFERROR(INDEX('🔄 Rotação Duplas'!$D$50:$D$59,MATCH(D131,'🔄 Rotação Duplas'!$C$50:$C$59,0)),INDEX('🔄 Rotação Duplas'!$C$50:$C$59,MATCH(D131,'🔄 Rotação Duplas'!$D$50:$D$59,0))),"Semana 5",IFERROR(INDEX('🔄 Rotação Duplas'!$D$64:$D$73,MATCH(D131,'🔄 Rotação Duplas'!$C$64:$C$73,0)),INDEX('🔄 Rotação Duplas'!$C$64:$C$73,MATCH(D131,'🔄 Rotação Duplas'!$D$64:$D$73,0))),"Semana 6",IFERROR(INDEX('🔄 Rotação Duplas'!$D$78:$D$87,MATCH(D131,'🔄 Rotação Duplas'!$C$78:$C$87,0)),INDEX('🔄 Rotação Duplas'!$C$78:$C$87,MATCH(D131,'🔄 Rotação Duplas'!$D$78:$D$87,0))),"Semana 7",IFERROR(INDEX('🔄 Rotação Duplas'!$D$92:$D$101,MATCH(D131,'🔄 Rotação Duplas'!$C$92:$C$101,0)),INDEX('🔄 Rotação Duplas'!$C$92:$C$101,MATCH(D131,'🔄 Rotação Duplas'!$D$92:$D$101,0))),"Semana 8",IFERROR(INDEX('🔄 Rotação Duplas'!$D$106:$D$115,MATCH(D131,'🔄 Rotação Duplas'!$C$106:$C$115,0)),INDEX('🔄 Rotação Duplas'!$C$106:$C$115,MATCH(D131,'🔄 Rotação Duplas'!$D$106:$D$115,0)))),""))</f>
        <v/>
      </c>
      <c r="T131">
        <f t="shared" si="8"/>
        <v>0</v>
      </c>
    </row>
    <row r="132" spans="2:20" ht="18" customHeight="1" x14ac:dyDescent="0.2">
      <c r="B132" s="85" t="s">
        <v>60</v>
      </c>
      <c r="C132" s="86" t="str">
        <f t="shared" si="11"/>
        <v>Desafio 7</v>
      </c>
      <c r="D132" s="87" t="str">
        <f>'⚙️ Configuração'!C35</f>
        <v>Tomás Carlos</v>
      </c>
      <c r="E132" s="50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81">
        <f>(E132*'⚙️ Configuração'!$C$6+F132*'⚙️ Configuração'!$C$7+G132*'⚙️ Configuração'!$C$8+H132*'⚙️ Configuração'!$C$9+I132*'⚙️ Configuração'!$C$10+J132*'⚙️ Configuração'!$C$11)*IF(N132="S",2,1)</f>
        <v>0</v>
      </c>
      <c r="L132" s="90" t="s">
        <v>167</v>
      </c>
      <c r="M132" s="82">
        <f>IF(L132="AT1",'⚙️ Configuração'!$C$14,IF(L132="AT2",'⚙️ Configuração'!$C$15,IF(L132="FI",'⚙️ Configuração'!$C$16,IF(L132="FJ",'⚙️ Configuração'!$C$17,0))))</f>
        <v>0</v>
      </c>
      <c r="N132" s="91" t="s">
        <v>167</v>
      </c>
      <c r="O132" s="92"/>
      <c r="P132" s="83">
        <f>IF(O132="1",'⚙️ Configuração'!$C$21,IF(O132="2",'⚙️ Configuração'!$C$22,IF(O132="3",'⚙️ Configuração'!$C$23,IF(O132="Outro",'⚙️ Configuração'!$C$24,0))))</f>
        <v>0</v>
      </c>
      <c r="Q132" s="84">
        <f t="shared" si="7"/>
        <v>0</v>
      </c>
      <c r="R132" s="40" t="str">
        <f t="shared" si="1"/>
        <v>Semana 1 — ver 🔄</v>
      </c>
      <c r="S132" t="str" cm="1">
        <f t="array" ref="S132">IF(D132="","",IFERROR(_xlfn.SWITCH(B132,"Semana 1",IFERROR(INDEX('🔄 Rotação Duplas'!$D$8:$D$17,MATCH(D132,'🔄 Rotação Duplas'!$C$8:$C$17,0)),INDEX('🔄 Rotação Duplas'!$C$8:$C$17,MATCH(D132,'🔄 Rotação Duplas'!$D$8:$D$17,0))),"Semana 2",IFERROR(INDEX('🔄 Rotação Duplas'!$D$22:$D$31,MATCH(D132,'🔄 Rotação Duplas'!$C$22:$C$31,0)),INDEX('🔄 Rotação Duplas'!$C$22:$C$31,MATCH(D132,'🔄 Rotação Duplas'!$D$22:$D$31,0))),"Semana 3",IFERROR(INDEX('🔄 Rotação Duplas'!$D$36:$D$45,MATCH(D132,'🔄 Rotação Duplas'!$C$36:$C$45,0)),INDEX('🔄 Rotação Duplas'!$C$36:$C$45,MATCH(D132,'🔄 Rotação Duplas'!$D$36:$D$45,0))),"Semana 4",IFERROR(INDEX('🔄 Rotação Duplas'!$D$50:$D$59,MATCH(D132,'🔄 Rotação Duplas'!$C$50:$C$59,0)),INDEX('🔄 Rotação Duplas'!$C$50:$C$59,MATCH(D132,'🔄 Rotação Duplas'!$D$50:$D$59,0))),"Semana 5",IFERROR(INDEX('🔄 Rotação Duplas'!$D$64:$D$73,MATCH(D132,'🔄 Rotação Duplas'!$C$64:$C$73,0)),INDEX('🔄 Rotação Duplas'!$C$64:$C$73,MATCH(D132,'🔄 Rotação Duplas'!$D$64:$D$73,0))),"Semana 6",IFERROR(INDEX('🔄 Rotação Duplas'!$D$78:$D$87,MATCH(D132,'🔄 Rotação Duplas'!$C$78:$C$87,0)),INDEX('🔄 Rotação Duplas'!$C$78:$C$87,MATCH(D132,'🔄 Rotação Duplas'!$D$78:$D$87,0))),"Semana 7",IFERROR(INDEX('🔄 Rotação Duplas'!$D$92:$D$101,MATCH(D132,'🔄 Rotação Duplas'!$C$92:$C$101,0)),INDEX('🔄 Rotação Duplas'!$C$92:$C$101,MATCH(D132,'🔄 Rotação Duplas'!$D$92:$D$101,0))),"Semana 8",IFERROR(INDEX('🔄 Rotação Duplas'!$D$106:$D$115,MATCH(D132,'🔄 Rotação Duplas'!$C$106:$C$115,0)),INDEX('🔄 Rotação Duplas'!$C$106:$C$115,MATCH(D132,'🔄 Rotação Duplas'!$D$106:$D$115,0)))),""))</f>
        <v/>
      </c>
      <c r="T132">
        <f t="shared" si="8"/>
        <v>0</v>
      </c>
    </row>
    <row r="133" spans="2:20" ht="18" customHeight="1" x14ac:dyDescent="0.2">
      <c r="B133" s="78" t="s">
        <v>60</v>
      </c>
      <c r="C133" s="79" t="str">
        <f t="shared" si="11"/>
        <v>Desafio 7</v>
      </c>
      <c r="D133" s="80" t="str">
        <f>'⚙️ Configuração'!C36</f>
        <v>Alexandra Correia</v>
      </c>
      <c r="E133" s="50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81">
        <f>(E133*'⚙️ Configuração'!$C$6+F133*'⚙️ Configuração'!$C$7+G133*'⚙️ Configuração'!$C$8+H133*'⚙️ Configuração'!$C$9+I133*'⚙️ Configuração'!$C$10+J133*'⚙️ Configuração'!$C$11)*IF(N133="S",2,1)</f>
        <v>0</v>
      </c>
      <c r="L133" s="90" t="s">
        <v>167</v>
      </c>
      <c r="M133" s="82">
        <f>IF(L133="AT1",'⚙️ Configuração'!$C$14,IF(L133="AT2",'⚙️ Configuração'!$C$15,IF(L133="FI",'⚙️ Configuração'!$C$16,IF(L133="FJ",'⚙️ Configuração'!$C$17,0))))</f>
        <v>0</v>
      </c>
      <c r="N133" s="91" t="s">
        <v>167</v>
      </c>
      <c r="O133" s="92"/>
      <c r="P133" s="83">
        <f>IF(O133="1",'⚙️ Configuração'!$C$21,IF(O133="2",'⚙️ Configuração'!$C$22,IF(O133="3",'⚙️ Configuração'!$C$23,IF(O133="Outro",'⚙️ Configuração'!$C$24,0))))</f>
        <v>0</v>
      </c>
      <c r="Q133" s="84">
        <f t="shared" si="7"/>
        <v>0</v>
      </c>
      <c r="R133" s="40" t="str">
        <f t="shared" si="1"/>
        <v>Semana 1 — ver 🔄</v>
      </c>
      <c r="S133" t="str" cm="1">
        <f t="array" ref="S133">IF(D133="","",IFERROR(_xlfn.SWITCH(B133,"Semana 1",IFERROR(INDEX('🔄 Rotação Duplas'!$D$8:$D$17,MATCH(D133,'🔄 Rotação Duplas'!$C$8:$C$17,0)),INDEX('🔄 Rotação Duplas'!$C$8:$C$17,MATCH(D133,'🔄 Rotação Duplas'!$D$8:$D$17,0))),"Semana 2",IFERROR(INDEX('🔄 Rotação Duplas'!$D$22:$D$31,MATCH(D133,'🔄 Rotação Duplas'!$C$22:$C$31,0)),INDEX('🔄 Rotação Duplas'!$C$22:$C$31,MATCH(D133,'🔄 Rotação Duplas'!$D$22:$D$31,0))),"Semana 3",IFERROR(INDEX('🔄 Rotação Duplas'!$D$36:$D$45,MATCH(D133,'🔄 Rotação Duplas'!$C$36:$C$45,0)),INDEX('🔄 Rotação Duplas'!$C$36:$C$45,MATCH(D133,'🔄 Rotação Duplas'!$D$36:$D$45,0))),"Semana 4",IFERROR(INDEX('🔄 Rotação Duplas'!$D$50:$D$59,MATCH(D133,'🔄 Rotação Duplas'!$C$50:$C$59,0)),INDEX('🔄 Rotação Duplas'!$C$50:$C$59,MATCH(D133,'🔄 Rotação Duplas'!$D$50:$D$59,0))),"Semana 5",IFERROR(INDEX('🔄 Rotação Duplas'!$D$64:$D$73,MATCH(D133,'🔄 Rotação Duplas'!$C$64:$C$73,0)),INDEX('🔄 Rotação Duplas'!$C$64:$C$73,MATCH(D133,'🔄 Rotação Duplas'!$D$64:$D$73,0))),"Semana 6",IFERROR(INDEX('🔄 Rotação Duplas'!$D$78:$D$87,MATCH(D133,'🔄 Rotação Duplas'!$C$78:$C$87,0)),INDEX('🔄 Rotação Duplas'!$C$78:$C$87,MATCH(D133,'🔄 Rotação Duplas'!$D$78:$D$87,0))),"Semana 7",IFERROR(INDEX('🔄 Rotação Duplas'!$D$92:$D$101,MATCH(D133,'🔄 Rotação Duplas'!$C$92:$C$101,0)),INDEX('🔄 Rotação Duplas'!$C$92:$C$101,MATCH(D133,'🔄 Rotação Duplas'!$D$92:$D$101,0))),"Semana 8",IFERROR(INDEX('🔄 Rotação Duplas'!$D$106:$D$115,MATCH(D133,'🔄 Rotação Duplas'!$C$106:$C$115,0)),INDEX('🔄 Rotação Duplas'!$C$106:$C$115,MATCH(D133,'🔄 Rotação Duplas'!$D$106:$D$115,0)))),""))</f>
        <v/>
      </c>
      <c r="T133">
        <f t="shared" si="8"/>
        <v>0</v>
      </c>
    </row>
    <row r="134" spans="2:20" ht="18" customHeight="1" x14ac:dyDescent="0.2">
      <c r="B134" s="85" t="s">
        <v>60</v>
      </c>
      <c r="C134" s="86" t="str">
        <f t="shared" si="11"/>
        <v>Desafio 7</v>
      </c>
      <c r="D134" s="87" t="str">
        <f>'⚙️ Configuração'!C37</f>
        <v>Carla Barata</v>
      </c>
      <c r="E134" s="50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81">
        <f>(E134*'⚙️ Configuração'!$C$6+F134*'⚙️ Configuração'!$C$7+G134*'⚙️ Configuração'!$C$8+H134*'⚙️ Configuração'!$C$9+I134*'⚙️ Configuração'!$C$10+J134*'⚙️ Configuração'!$C$11)*IF(N134="S",2,1)</f>
        <v>0</v>
      </c>
      <c r="L134" s="90" t="s">
        <v>167</v>
      </c>
      <c r="M134" s="82">
        <f>IF(L134="AT1",'⚙️ Configuração'!$C$14,IF(L134="AT2",'⚙️ Configuração'!$C$15,IF(L134="FI",'⚙️ Configuração'!$C$16,IF(L134="FJ",'⚙️ Configuração'!$C$17,0))))</f>
        <v>0</v>
      </c>
      <c r="N134" s="91" t="s">
        <v>167</v>
      </c>
      <c r="O134" s="92"/>
      <c r="P134" s="83">
        <f>IF(O134="1",'⚙️ Configuração'!$C$21,IF(O134="2",'⚙️ Configuração'!$C$22,IF(O134="3",'⚙️ Configuração'!$C$23,IF(O134="Outro",'⚙️ Configuração'!$C$24,0))))</f>
        <v>0</v>
      </c>
      <c r="Q134" s="84">
        <f t="shared" si="7"/>
        <v>0</v>
      </c>
      <c r="R134" s="40" t="str">
        <f t="shared" si="1"/>
        <v>Semana 1 — ver 🔄</v>
      </c>
      <c r="S134" t="str" cm="1">
        <f t="array" ref="S134">IF(D134="","",IFERROR(_xlfn.SWITCH(B134,"Semana 1",IFERROR(INDEX('🔄 Rotação Duplas'!$D$8:$D$17,MATCH(D134,'🔄 Rotação Duplas'!$C$8:$C$17,0)),INDEX('🔄 Rotação Duplas'!$C$8:$C$17,MATCH(D134,'🔄 Rotação Duplas'!$D$8:$D$17,0))),"Semana 2",IFERROR(INDEX('🔄 Rotação Duplas'!$D$22:$D$31,MATCH(D134,'🔄 Rotação Duplas'!$C$22:$C$31,0)),INDEX('🔄 Rotação Duplas'!$C$22:$C$31,MATCH(D134,'🔄 Rotação Duplas'!$D$22:$D$31,0))),"Semana 3",IFERROR(INDEX('🔄 Rotação Duplas'!$D$36:$D$45,MATCH(D134,'🔄 Rotação Duplas'!$C$36:$C$45,0)),INDEX('🔄 Rotação Duplas'!$C$36:$C$45,MATCH(D134,'🔄 Rotação Duplas'!$D$36:$D$45,0))),"Semana 4",IFERROR(INDEX('🔄 Rotação Duplas'!$D$50:$D$59,MATCH(D134,'🔄 Rotação Duplas'!$C$50:$C$59,0)),INDEX('🔄 Rotação Duplas'!$C$50:$C$59,MATCH(D134,'🔄 Rotação Duplas'!$D$50:$D$59,0))),"Semana 5",IFERROR(INDEX('🔄 Rotação Duplas'!$D$64:$D$73,MATCH(D134,'🔄 Rotação Duplas'!$C$64:$C$73,0)),INDEX('🔄 Rotação Duplas'!$C$64:$C$73,MATCH(D134,'🔄 Rotação Duplas'!$D$64:$D$73,0))),"Semana 6",IFERROR(INDEX('🔄 Rotação Duplas'!$D$78:$D$87,MATCH(D134,'🔄 Rotação Duplas'!$C$78:$C$87,0)),INDEX('🔄 Rotação Duplas'!$C$78:$C$87,MATCH(D134,'🔄 Rotação Duplas'!$D$78:$D$87,0))),"Semana 7",IFERROR(INDEX('🔄 Rotação Duplas'!$D$92:$D$101,MATCH(D134,'🔄 Rotação Duplas'!$C$92:$C$101,0)),INDEX('🔄 Rotação Duplas'!$C$92:$C$101,MATCH(D134,'🔄 Rotação Duplas'!$D$92:$D$101,0))),"Semana 8",IFERROR(INDEX('🔄 Rotação Duplas'!$D$106:$D$115,MATCH(D134,'🔄 Rotação Duplas'!$C$106:$C$115,0)),INDEX('🔄 Rotação Duplas'!$C$106:$C$115,MATCH(D134,'🔄 Rotação Duplas'!$D$106:$D$115,0)))),""))</f>
        <v/>
      </c>
      <c r="T134">
        <f t="shared" si="8"/>
        <v>0</v>
      </c>
    </row>
    <row r="135" spans="2:20" ht="18" customHeight="1" x14ac:dyDescent="0.2">
      <c r="B135" s="78" t="s">
        <v>60</v>
      </c>
      <c r="C135" s="79" t="str">
        <f t="shared" si="11"/>
        <v>Desafio 7</v>
      </c>
      <c r="D135" s="80" t="str">
        <f>'⚙️ Configuração'!C38</f>
        <v>Denise Filipe</v>
      </c>
      <c r="E135" s="50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81">
        <f>(E135*'⚙️ Configuração'!$C$6+F135*'⚙️ Configuração'!$C$7+G135*'⚙️ Configuração'!$C$8+H135*'⚙️ Configuração'!$C$9+I135*'⚙️ Configuração'!$C$10+J135*'⚙️ Configuração'!$C$11)*IF(N135="S",2,1)</f>
        <v>0</v>
      </c>
      <c r="L135" s="90" t="s">
        <v>167</v>
      </c>
      <c r="M135" s="82">
        <f>IF(L135="AT1",'⚙️ Configuração'!$C$14,IF(L135="AT2",'⚙️ Configuração'!$C$15,IF(L135="FI",'⚙️ Configuração'!$C$16,IF(L135="FJ",'⚙️ Configuração'!$C$17,0))))</f>
        <v>0</v>
      </c>
      <c r="N135" s="91" t="s">
        <v>167</v>
      </c>
      <c r="O135" s="92"/>
      <c r="P135" s="83">
        <f>IF(O135="1",'⚙️ Configuração'!$C$21,IF(O135="2",'⚙️ Configuração'!$C$22,IF(O135="3",'⚙️ Configuração'!$C$23,IF(O135="Outro",'⚙️ Configuração'!$C$24,0))))</f>
        <v>0</v>
      </c>
      <c r="Q135" s="84">
        <f t="shared" si="7"/>
        <v>0</v>
      </c>
      <c r="R135" s="40" t="str">
        <f t="shared" si="1"/>
        <v>Semana 1 — ver 🔄</v>
      </c>
      <c r="S135" t="str" cm="1">
        <f t="array" ref="S135">IF(D135="","",IFERROR(_xlfn.SWITCH(B135,"Semana 1",IFERROR(INDEX('🔄 Rotação Duplas'!$D$8:$D$17,MATCH(D135,'🔄 Rotação Duplas'!$C$8:$C$17,0)),INDEX('🔄 Rotação Duplas'!$C$8:$C$17,MATCH(D135,'🔄 Rotação Duplas'!$D$8:$D$17,0))),"Semana 2",IFERROR(INDEX('🔄 Rotação Duplas'!$D$22:$D$31,MATCH(D135,'🔄 Rotação Duplas'!$C$22:$C$31,0)),INDEX('🔄 Rotação Duplas'!$C$22:$C$31,MATCH(D135,'🔄 Rotação Duplas'!$D$22:$D$31,0))),"Semana 3",IFERROR(INDEX('🔄 Rotação Duplas'!$D$36:$D$45,MATCH(D135,'🔄 Rotação Duplas'!$C$36:$C$45,0)),INDEX('🔄 Rotação Duplas'!$C$36:$C$45,MATCH(D135,'🔄 Rotação Duplas'!$D$36:$D$45,0))),"Semana 4",IFERROR(INDEX('🔄 Rotação Duplas'!$D$50:$D$59,MATCH(D135,'🔄 Rotação Duplas'!$C$50:$C$59,0)),INDEX('🔄 Rotação Duplas'!$C$50:$C$59,MATCH(D135,'🔄 Rotação Duplas'!$D$50:$D$59,0))),"Semana 5",IFERROR(INDEX('🔄 Rotação Duplas'!$D$64:$D$73,MATCH(D135,'🔄 Rotação Duplas'!$C$64:$C$73,0)),INDEX('🔄 Rotação Duplas'!$C$64:$C$73,MATCH(D135,'🔄 Rotação Duplas'!$D$64:$D$73,0))),"Semana 6",IFERROR(INDEX('🔄 Rotação Duplas'!$D$78:$D$87,MATCH(D135,'🔄 Rotação Duplas'!$C$78:$C$87,0)),INDEX('🔄 Rotação Duplas'!$C$78:$C$87,MATCH(D135,'🔄 Rotação Duplas'!$D$78:$D$87,0))),"Semana 7",IFERROR(INDEX('🔄 Rotação Duplas'!$D$92:$D$101,MATCH(D135,'🔄 Rotação Duplas'!$C$92:$C$101,0)),INDEX('🔄 Rotação Duplas'!$C$92:$C$101,MATCH(D135,'🔄 Rotação Duplas'!$D$92:$D$101,0))),"Semana 8",IFERROR(INDEX('🔄 Rotação Duplas'!$D$106:$D$115,MATCH(D135,'🔄 Rotação Duplas'!$C$106:$C$115,0)),INDEX('🔄 Rotação Duplas'!$C$106:$C$115,MATCH(D135,'🔄 Rotação Duplas'!$D$106:$D$115,0)))),""))</f>
        <v/>
      </c>
      <c r="T135">
        <f t="shared" si="8"/>
        <v>0</v>
      </c>
    </row>
    <row r="136" spans="2:20" ht="18" customHeight="1" x14ac:dyDescent="0.2">
      <c r="B136" s="85" t="s">
        <v>60</v>
      </c>
      <c r="C136" s="86" t="str">
        <f t="shared" si="11"/>
        <v>Desafio 7</v>
      </c>
      <c r="D136" s="87" t="str">
        <f>'⚙️ Configuração'!C39</f>
        <v>Fátima Rodriguez</v>
      </c>
      <c r="E136" s="50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81">
        <f>(E136*'⚙️ Configuração'!$C$6+F136*'⚙️ Configuração'!$C$7+G136*'⚙️ Configuração'!$C$8+H136*'⚙️ Configuração'!$C$9+I136*'⚙️ Configuração'!$C$10+J136*'⚙️ Configuração'!$C$11)*IF(N136="S",2,1)</f>
        <v>0</v>
      </c>
      <c r="L136" s="90" t="s">
        <v>167</v>
      </c>
      <c r="M136" s="82">
        <f>IF(L136="AT1",'⚙️ Configuração'!$C$14,IF(L136="AT2",'⚙️ Configuração'!$C$15,IF(L136="FI",'⚙️ Configuração'!$C$16,IF(L136="FJ",'⚙️ Configuração'!$C$17,0))))</f>
        <v>0</v>
      </c>
      <c r="N136" s="91" t="s">
        <v>167</v>
      </c>
      <c r="O136" s="92"/>
      <c r="P136" s="83">
        <f>IF(O136="1",'⚙️ Configuração'!$C$21,IF(O136="2",'⚙️ Configuração'!$C$22,IF(O136="3",'⚙️ Configuração'!$C$23,IF(O136="Outro",'⚙️ Configuração'!$C$24,0))))</f>
        <v>0</v>
      </c>
      <c r="Q136" s="84">
        <f t="shared" ref="Q136:Q199" si="12">K136+M136+P136</f>
        <v>0</v>
      </c>
      <c r="R136" s="40" t="str">
        <f t="shared" si="1"/>
        <v>Semana 1 — ver 🔄</v>
      </c>
      <c r="S136" t="str" cm="1">
        <f t="array" ref="S136">IF(D136="","",IFERROR(_xlfn.SWITCH(B136,"Semana 1",IFERROR(INDEX('🔄 Rotação Duplas'!$D$8:$D$17,MATCH(D136,'🔄 Rotação Duplas'!$C$8:$C$17,0)),INDEX('🔄 Rotação Duplas'!$C$8:$C$17,MATCH(D136,'🔄 Rotação Duplas'!$D$8:$D$17,0))),"Semana 2",IFERROR(INDEX('🔄 Rotação Duplas'!$D$22:$D$31,MATCH(D136,'🔄 Rotação Duplas'!$C$22:$C$31,0)),INDEX('🔄 Rotação Duplas'!$C$22:$C$31,MATCH(D136,'🔄 Rotação Duplas'!$D$22:$D$31,0))),"Semana 3",IFERROR(INDEX('🔄 Rotação Duplas'!$D$36:$D$45,MATCH(D136,'🔄 Rotação Duplas'!$C$36:$C$45,0)),INDEX('🔄 Rotação Duplas'!$C$36:$C$45,MATCH(D136,'🔄 Rotação Duplas'!$D$36:$D$45,0))),"Semana 4",IFERROR(INDEX('🔄 Rotação Duplas'!$D$50:$D$59,MATCH(D136,'🔄 Rotação Duplas'!$C$50:$C$59,0)),INDEX('🔄 Rotação Duplas'!$C$50:$C$59,MATCH(D136,'🔄 Rotação Duplas'!$D$50:$D$59,0))),"Semana 5",IFERROR(INDEX('🔄 Rotação Duplas'!$D$64:$D$73,MATCH(D136,'🔄 Rotação Duplas'!$C$64:$C$73,0)),INDEX('🔄 Rotação Duplas'!$C$64:$C$73,MATCH(D136,'🔄 Rotação Duplas'!$D$64:$D$73,0))),"Semana 6",IFERROR(INDEX('🔄 Rotação Duplas'!$D$78:$D$87,MATCH(D136,'🔄 Rotação Duplas'!$C$78:$C$87,0)),INDEX('🔄 Rotação Duplas'!$C$78:$C$87,MATCH(D136,'🔄 Rotação Duplas'!$D$78:$D$87,0))),"Semana 7",IFERROR(INDEX('🔄 Rotação Duplas'!$D$92:$D$101,MATCH(D136,'🔄 Rotação Duplas'!$C$92:$C$101,0)),INDEX('🔄 Rotação Duplas'!$C$92:$C$101,MATCH(D136,'🔄 Rotação Duplas'!$D$92:$D$101,0))),"Semana 8",IFERROR(INDEX('🔄 Rotação Duplas'!$D$106:$D$115,MATCH(D136,'🔄 Rotação Duplas'!$C$106:$C$115,0)),INDEX('🔄 Rotação Duplas'!$C$106:$C$115,MATCH(D136,'🔄 Rotação Duplas'!$D$106:$D$115,0)))),""))</f>
        <v/>
      </c>
      <c r="T136">
        <f t="shared" ref="T136:T199" si="13">IF(OR(D136="",D136="-",S136="",S136="-"),0,COUNTIFS($B$7:$B$646,B136,$D$7:$D$646,D136,$N$7:$N$646,"S")+COUNTIFS($B$7:$B$646,B136,$D$7:$D$646,S136,$N$7:$N$646,"S"))</f>
        <v>0</v>
      </c>
    </row>
    <row r="137" spans="2:20" ht="18" customHeight="1" x14ac:dyDescent="0.2">
      <c r="B137" s="78" t="s">
        <v>60</v>
      </c>
      <c r="C137" s="79" t="str">
        <f t="shared" si="11"/>
        <v>Desafio 7</v>
      </c>
      <c r="D137" s="80" t="str">
        <f>'⚙️ Configuração'!C40</f>
        <v>Maria João Travassos</v>
      </c>
      <c r="E137" s="50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81">
        <f>(E137*'⚙️ Configuração'!$C$6+F137*'⚙️ Configuração'!$C$7+G137*'⚙️ Configuração'!$C$8+H137*'⚙️ Configuração'!$C$9+I137*'⚙️ Configuração'!$C$10+J137*'⚙️ Configuração'!$C$11)*IF(N137="S",2,1)</f>
        <v>0</v>
      </c>
      <c r="L137" s="90" t="s">
        <v>167</v>
      </c>
      <c r="M137" s="82">
        <f>IF(L137="AT1",'⚙️ Configuração'!$C$14,IF(L137="AT2",'⚙️ Configuração'!$C$15,IF(L137="FI",'⚙️ Configuração'!$C$16,IF(L137="FJ",'⚙️ Configuração'!$C$17,0))))</f>
        <v>0</v>
      </c>
      <c r="N137" s="91" t="s">
        <v>167</v>
      </c>
      <c r="O137" s="92"/>
      <c r="P137" s="83">
        <f>IF(O137="1",'⚙️ Configuração'!$C$21,IF(O137="2",'⚙️ Configuração'!$C$22,IF(O137="3",'⚙️ Configuração'!$C$23,IF(O137="Outro",'⚙️ Configuração'!$C$24,0))))</f>
        <v>0</v>
      </c>
      <c r="Q137" s="84">
        <f t="shared" si="12"/>
        <v>0</v>
      </c>
      <c r="R137" s="40" t="str">
        <f t="shared" si="1"/>
        <v>Semana 1 — ver 🔄</v>
      </c>
      <c r="S137" t="str" cm="1">
        <f t="array" ref="S137">IF(D137="","",IFERROR(_xlfn.SWITCH(B137,"Semana 1",IFERROR(INDEX('🔄 Rotação Duplas'!$D$8:$D$17,MATCH(D137,'🔄 Rotação Duplas'!$C$8:$C$17,0)),INDEX('🔄 Rotação Duplas'!$C$8:$C$17,MATCH(D137,'🔄 Rotação Duplas'!$D$8:$D$17,0))),"Semana 2",IFERROR(INDEX('🔄 Rotação Duplas'!$D$22:$D$31,MATCH(D137,'🔄 Rotação Duplas'!$C$22:$C$31,0)),INDEX('🔄 Rotação Duplas'!$C$22:$C$31,MATCH(D137,'🔄 Rotação Duplas'!$D$22:$D$31,0))),"Semana 3",IFERROR(INDEX('🔄 Rotação Duplas'!$D$36:$D$45,MATCH(D137,'🔄 Rotação Duplas'!$C$36:$C$45,0)),INDEX('🔄 Rotação Duplas'!$C$36:$C$45,MATCH(D137,'🔄 Rotação Duplas'!$D$36:$D$45,0))),"Semana 4",IFERROR(INDEX('🔄 Rotação Duplas'!$D$50:$D$59,MATCH(D137,'🔄 Rotação Duplas'!$C$50:$C$59,0)),INDEX('🔄 Rotação Duplas'!$C$50:$C$59,MATCH(D137,'🔄 Rotação Duplas'!$D$50:$D$59,0))),"Semana 5",IFERROR(INDEX('🔄 Rotação Duplas'!$D$64:$D$73,MATCH(D137,'🔄 Rotação Duplas'!$C$64:$C$73,0)),INDEX('🔄 Rotação Duplas'!$C$64:$C$73,MATCH(D137,'🔄 Rotação Duplas'!$D$64:$D$73,0))),"Semana 6",IFERROR(INDEX('🔄 Rotação Duplas'!$D$78:$D$87,MATCH(D137,'🔄 Rotação Duplas'!$C$78:$C$87,0)),INDEX('🔄 Rotação Duplas'!$C$78:$C$87,MATCH(D137,'🔄 Rotação Duplas'!$D$78:$D$87,0))),"Semana 7",IFERROR(INDEX('🔄 Rotação Duplas'!$D$92:$D$101,MATCH(D137,'🔄 Rotação Duplas'!$C$92:$C$101,0)),INDEX('🔄 Rotação Duplas'!$C$92:$C$101,MATCH(D137,'🔄 Rotação Duplas'!$D$92:$D$101,0))),"Semana 8",IFERROR(INDEX('🔄 Rotação Duplas'!$D$106:$D$115,MATCH(D137,'🔄 Rotação Duplas'!$C$106:$C$115,0)),INDEX('🔄 Rotação Duplas'!$C$106:$C$115,MATCH(D137,'🔄 Rotação Duplas'!$D$106:$D$115,0)))),""))</f>
        <v/>
      </c>
      <c r="T137">
        <f t="shared" si="13"/>
        <v>0</v>
      </c>
    </row>
    <row r="138" spans="2:20" ht="18" customHeight="1" x14ac:dyDescent="0.2">
      <c r="B138" s="85" t="s">
        <v>60</v>
      </c>
      <c r="C138" s="86" t="str">
        <f t="shared" si="11"/>
        <v>Desafio 7</v>
      </c>
      <c r="D138" s="87" t="str">
        <f>'⚙️ Configuração'!C41</f>
        <v>Marta Torres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81">
        <f>(E138*'⚙️ Configuração'!$C$6+F138*'⚙️ Configuração'!$C$7+G138*'⚙️ Configuração'!$C$8+H138*'⚙️ Configuração'!$C$9+I138*'⚙️ Configuração'!$C$10+J138*'⚙️ Configuração'!$C$11)*IF(N138="S",2,1)</f>
        <v>0</v>
      </c>
      <c r="L138" s="90" t="s">
        <v>167</v>
      </c>
      <c r="M138" s="82">
        <f>IF(L138="AT1",'⚙️ Configuração'!$C$14,IF(L138="AT2",'⚙️ Configuração'!$C$15,IF(L138="FI",'⚙️ Configuração'!$C$16,IF(L138="FJ",'⚙️ Configuração'!$C$17,0))))</f>
        <v>0</v>
      </c>
      <c r="N138" s="91" t="s">
        <v>167</v>
      </c>
      <c r="O138" s="92"/>
      <c r="P138" s="83">
        <f>IF(O138="1",'⚙️ Configuração'!$C$21,IF(O138="2",'⚙️ Configuração'!$C$22,IF(O138="3",'⚙️ Configuração'!$C$23,IF(O138="Outro",'⚙️ Configuração'!$C$24,0))))</f>
        <v>0</v>
      </c>
      <c r="Q138" s="84">
        <f t="shared" si="12"/>
        <v>0</v>
      </c>
      <c r="R138" s="40" t="str">
        <f t="shared" si="1"/>
        <v>Semana 1 — ver 🔄</v>
      </c>
      <c r="S138" t="str" cm="1">
        <f t="array" ref="S138">IF(D138="","",IFERROR(_xlfn.SWITCH(B138,"Semana 1",IFERROR(INDEX('🔄 Rotação Duplas'!$D$8:$D$17,MATCH(D138,'🔄 Rotação Duplas'!$C$8:$C$17,0)),INDEX('🔄 Rotação Duplas'!$C$8:$C$17,MATCH(D138,'🔄 Rotação Duplas'!$D$8:$D$17,0))),"Semana 2",IFERROR(INDEX('🔄 Rotação Duplas'!$D$22:$D$31,MATCH(D138,'🔄 Rotação Duplas'!$C$22:$C$31,0)),INDEX('🔄 Rotação Duplas'!$C$22:$C$31,MATCH(D138,'🔄 Rotação Duplas'!$D$22:$D$31,0))),"Semana 3",IFERROR(INDEX('🔄 Rotação Duplas'!$D$36:$D$45,MATCH(D138,'🔄 Rotação Duplas'!$C$36:$C$45,0)),INDEX('🔄 Rotação Duplas'!$C$36:$C$45,MATCH(D138,'🔄 Rotação Duplas'!$D$36:$D$45,0))),"Semana 4",IFERROR(INDEX('🔄 Rotação Duplas'!$D$50:$D$59,MATCH(D138,'🔄 Rotação Duplas'!$C$50:$C$59,0)),INDEX('🔄 Rotação Duplas'!$C$50:$C$59,MATCH(D138,'🔄 Rotação Duplas'!$D$50:$D$59,0))),"Semana 5",IFERROR(INDEX('🔄 Rotação Duplas'!$D$64:$D$73,MATCH(D138,'🔄 Rotação Duplas'!$C$64:$C$73,0)),INDEX('🔄 Rotação Duplas'!$C$64:$C$73,MATCH(D138,'🔄 Rotação Duplas'!$D$64:$D$73,0))),"Semana 6",IFERROR(INDEX('🔄 Rotação Duplas'!$D$78:$D$87,MATCH(D138,'🔄 Rotação Duplas'!$C$78:$C$87,0)),INDEX('🔄 Rotação Duplas'!$C$78:$C$87,MATCH(D138,'🔄 Rotação Duplas'!$D$78:$D$87,0))),"Semana 7",IFERROR(INDEX('🔄 Rotação Duplas'!$D$92:$D$101,MATCH(D138,'🔄 Rotação Duplas'!$C$92:$C$101,0)),INDEX('🔄 Rotação Duplas'!$C$92:$C$101,MATCH(D138,'🔄 Rotação Duplas'!$D$92:$D$101,0))),"Semana 8",IFERROR(INDEX('🔄 Rotação Duplas'!$D$106:$D$115,MATCH(D138,'🔄 Rotação Duplas'!$C$106:$C$115,0)),INDEX('🔄 Rotação Duplas'!$C$106:$C$115,MATCH(D138,'🔄 Rotação Duplas'!$D$106:$D$115,0)))),""))</f>
        <v/>
      </c>
      <c r="T138">
        <f t="shared" si="13"/>
        <v>0</v>
      </c>
    </row>
    <row r="139" spans="2:20" ht="18" customHeight="1" x14ac:dyDescent="0.2">
      <c r="B139" s="78" t="s">
        <v>60</v>
      </c>
      <c r="C139" s="79" t="str">
        <f t="shared" si="11"/>
        <v>Desafio 7</v>
      </c>
      <c r="D139" s="80" t="str">
        <f>'⚙️ Configuração'!C42</f>
        <v>Patricia Isabel Silva</v>
      </c>
      <c r="E139" s="50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81">
        <f>(E139*'⚙️ Configuração'!$C$6+F139*'⚙️ Configuração'!$C$7+G139*'⚙️ Configuração'!$C$8+H139*'⚙️ Configuração'!$C$9+I139*'⚙️ Configuração'!$C$10+J139*'⚙️ Configuração'!$C$11)*IF(N139="S",2,1)</f>
        <v>0</v>
      </c>
      <c r="L139" s="90" t="s">
        <v>167</v>
      </c>
      <c r="M139" s="82">
        <f>IF(L139="AT1",'⚙️ Configuração'!$C$14,IF(L139="AT2",'⚙️ Configuração'!$C$15,IF(L139="FI",'⚙️ Configuração'!$C$16,IF(L139="FJ",'⚙️ Configuração'!$C$17,0))))</f>
        <v>0</v>
      </c>
      <c r="N139" s="91" t="s">
        <v>167</v>
      </c>
      <c r="O139" s="92"/>
      <c r="P139" s="83">
        <f>IF(O139="1",'⚙️ Configuração'!$C$21,IF(O139="2",'⚙️ Configuração'!$C$22,IF(O139="3",'⚙️ Configuração'!$C$23,IF(O139="Outro",'⚙️ Configuração'!$C$24,0))))</f>
        <v>0</v>
      </c>
      <c r="Q139" s="84">
        <f t="shared" si="12"/>
        <v>0</v>
      </c>
      <c r="R139" s="40" t="str">
        <f t="shared" si="1"/>
        <v>Semana 1 — ver 🔄</v>
      </c>
      <c r="S139" t="str" cm="1">
        <f t="array" ref="S139">IF(D139="","",IFERROR(_xlfn.SWITCH(B139,"Semana 1",IFERROR(INDEX('🔄 Rotação Duplas'!$D$8:$D$17,MATCH(D139,'🔄 Rotação Duplas'!$C$8:$C$17,0)),INDEX('🔄 Rotação Duplas'!$C$8:$C$17,MATCH(D139,'🔄 Rotação Duplas'!$D$8:$D$17,0))),"Semana 2",IFERROR(INDEX('🔄 Rotação Duplas'!$D$22:$D$31,MATCH(D139,'🔄 Rotação Duplas'!$C$22:$C$31,0)),INDEX('🔄 Rotação Duplas'!$C$22:$C$31,MATCH(D139,'🔄 Rotação Duplas'!$D$22:$D$31,0))),"Semana 3",IFERROR(INDEX('🔄 Rotação Duplas'!$D$36:$D$45,MATCH(D139,'🔄 Rotação Duplas'!$C$36:$C$45,0)),INDEX('🔄 Rotação Duplas'!$C$36:$C$45,MATCH(D139,'🔄 Rotação Duplas'!$D$36:$D$45,0))),"Semana 4",IFERROR(INDEX('🔄 Rotação Duplas'!$D$50:$D$59,MATCH(D139,'🔄 Rotação Duplas'!$C$50:$C$59,0)),INDEX('🔄 Rotação Duplas'!$C$50:$C$59,MATCH(D139,'🔄 Rotação Duplas'!$D$50:$D$59,0))),"Semana 5",IFERROR(INDEX('🔄 Rotação Duplas'!$D$64:$D$73,MATCH(D139,'🔄 Rotação Duplas'!$C$64:$C$73,0)),INDEX('🔄 Rotação Duplas'!$C$64:$C$73,MATCH(D139,'🔄 Rotação Duplas'!$D$64:$D$73,0))),"Semana 6",IFERROR(INDEX('🔄 Rotação Duplas'!$D$78:$D$87,MATCH(D139,'🔄 Rotação Duplas'!$C$78:$C$87,0)),INDEX('🔄 Rotação Duplas'!$C$78:$C$87,MATCH(D139,'🔄 Rotação Duplas'!$D$78:$D$87,0))),"Semana 7",IFERROR(INDEX('🔄 Rotação Duplas'!$D$92:$D$101,MATCH(D139,'🔄 Rotação Duplas'!$C$92:$C$101,0)),INDEX('🔄 Rotação Duplas'!$C$92:$C$101,MATCH(D139,'🔄 Rotação Duplas'!$D$92:$D$101,0))),"Semana 8",IFERROR(INDEX('🔄 Rotação Duplas'!$D$106:$D$115,MATCH(D139,'🔄 Rotação Duplas'!$C$106:$C$115,0)),INDEX('🔄 Rotação Duplas'!$C$106:$C$115,MATCH(D139,'🔄 Rotação Duplas'!$D$106:$D$115,0)))),""))</f>
        <v/>
      </c>
      <c r="T139">
        <f t="shared" si="13"/>
        <v>0</v>
      </c>
    </row>
    <row r="140" spans="2:20" ht="18" customHeight="1" x14ac:dyDescent="0.2">
      <c r="B140" s="85" t="s">
        <v>60</v>
      </c>
      <c r="C140" s="86" t="str">
        <f t="shared" si="11"/>
        <v>Desafio 7</v>
      </c>
      <c r="D140" s="87" t="str">
        <f>'⚙️ Configuração'!C43</f>
        <v>Paula Martins</v>
      </c>
      <c r="E140" s="50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81">
        <f>(E140*'⚙️ Configuração'!$C$6+F140*'⚙️ Configuração'!$C$7+G140*'⚙️ Configuração'!$C$8+H140*'⚙️ Configuração'!$C$9+I140*'⚙️ Configuração'!$C$10+J140*'⚙️ Configuração'!$C$11)*IF(N140="S",2,1)</f>
        <v>0</v>
      </c>
      <c r="L140" s="90" t="s">
        <v>167</v>
      </c>
      <c r="M140" s="82">
        <f>IF(L140="AT1",'⚙️ Configuração'!$C$14,IF(L140="AT2",'⚙️ Configuração'!$C$15,IF(L140="FI",'⚙️ Configuração'!$C$16,IF(L140="FJ",'⚙️ Configuração'!$C$17,0))))</f>
        <v>0</v>
      </c>
      <c r="N140" s="91" t="s">
        <v>167</v>
      </c>
      <c r="O140" s="92"/>
      <c r="P140" s="83">
        <f>IF(O140="1",'⚙️ Configuração'!$C$21,IF(O140="2",'⚙️ Configuração'!$C$22,IF(O140="3",'⚙️ Configuração'!$C$23,IF(O140="Outro",'⚙️ Configuração'!$C$24,0))))</f>
        <v>0</v>
      </c>
      <c r="Q140" s="84">
        <f t="shared" si="12"/>
        <v>0</v>
      </c>
      <c r="R140" s="40" t="str">
        <f t="shared" si="1"/>
        <v>Semana 1 — ver 🔄</v>
      </c>
      <c r="S140" t="str" cm="1">
        <f t="array" ref="S140">IF(D140="","",IFERROR(_xlfn.SWITCH(B140,"Semana 1",IFERROR(INDEX('🔄 Rotação Duplas'!$D$8:$D$17,MATCH(D140,'🔄 Rotação Duplas'!$C$8:$C$17,0)),INDEX('🔄 Rotação Duplas'!$C$8:$C$17,MATCH(D140,'🔄 Rotação Duplas'!$D$8:$D$17,0))),"Semana 2",IFERROR(INDEX('🔄 Rotação Duplas'!$D$22:$D$31,MATCH(D140,'🔄 Rotação Duplas'!$C$22:$C$31,0)),INDEX('🔄 Rotação Duplas'!$C$22:$C$31,MATCH(D140,'🔄 Rotação Duplas'!$D$22:$D$31,0))),"Semana 3",IFERROR(INDEX('🔄 Rotação Duplas'!$D$36:$D$45,MATCH(D140,'🔄 Rotação Duplas'!$C$36:$C$45,0)),INDEX('🔄 Rotação Duplas'!$C$36:$C$45,MATCH(D140,'🔄 Rotação Duplas'!$D$36:$D$45,0))),"Semana 4",IFERROR(INDEX('🔄 Rotação Duplas'!$D$50:$D$59,MATCH(D140,'🔄 Rotação Duplas'!$C$50:$C$59,0)),INDEX('🔄 Rotação Duplas'!$C$50:$C$59,MATCH(D140,'🔄 Rotação Duplas'!$D$50:$D$59,0))),"Semana 5",IFERROR(INDEX('🔄 Rotação Duplas'!$D$64:$D$73,MATCH(D140,'🔄 Rotação Duplas'!$C$64:$C$73,0)),INDEX('🔄 Rotação Duplas'!$C$64:$C$73,MATCH(D140,'🔄 Rotação Duplas'!$D$64:$D$73,0))),"Semana 6",IFERROR(INDEX('🔄 Rotação Duplas'!$D$78:$D$87,MATCH(D140,'🔄 Rotação Duplas'!$C$78:$C$87,0)),INDEX('🔄 Rotação Duplas'!$C$78:$C$87,MATCH(D140,'🔄 Rotação Duplas'!$D$78:$D$87,0))),"Semana 7",IFERROR(INDEX('🔄 Rotação Duplas'!$D$92:$D$101,MATCH(D140,'🔄 Rotação Duplas'!$C$92:$C$101,0)),INDEX('🔄 Rotação Duplas'!$C$92:$C$101,MATCH(D140,'🔄 Rotação Duplas'!$D$92:$D$101,0))),"Semana 8",IFERROR(INDEX('🔄 Rotação Duplas'!$D$106:$D$115,MATCH(D140,'🔄 Rotação Duplas'!$C$106:$C$115,0)),INDEX('🔄 Rotação Duplas'!$C$106:$C$115,MATCH(D140,'🔄 Rotação Duplas'!$D$106:$D$115,0)))),""))</f>
        <v/>
      </c>
      <c r="T140">
        <f t="shared" si="13"/>
        <v>0</v>
      </c>
    </row>
    <row r="141" spans="2:20" ht="18" customHeight="1" x14ac:dyDescent="0.2">
      <c r="B141" s="78" t="s">
        <v>60</v>
      </c>
      <c r="C141" s="79" t="str">
        <f t="shared" si="11"/>
        <v>Desafio 7</v>
      </c>
      <c r="D141" s="80" t="str">
        <f>'⚙️ Configuração'!C44</f>
        <v>Paula Miabara</v>
      </c>
      <c r="E141" s="50">
        <v>0</v>
      </c>
      <c r="F141" s="50">
        <v>0</v>
      </c>
      <c r="G141" s="50">
        <v>0</v>
      </c>
      <c r="H141" s="50">
        <v>0</v>
      </c>
      <c r="I141" s="50">
        <v>0</v>
      </c>
      <c r="J141" s="50">
        <v>0</v>
      </c>
      <c r="K141" s="81">
        <f>(E141*'⚙️ Configuração'!$C$6+F141*'⚙️ Configuração'!$C$7+G141*'⚙️ Configuração'!$C$8+H141*'⚙️ Configuração'!$C$9+I141*'⚙️ Configuração'!$C$10+J141*'⚙️ Configuração'!$C$11)*IF(N141="S",2,1)</f>
        <v>0</v>
      </c>
      <c r="L141" s="90" t="s">
        <v>167</v>
      </c>
      <c r="M141" s="82">
        <f>IF(L141="AT1",'⚙️ Configuração'!$C$14,IF(L141="AT2",'⚙️ Configuração'!$C$15,IF(L141="FI",'⚙️ Configuração'!$C$16,IF(L141="FJ",'⚙️ Configuração'!$C$17,0))))</f>
        <v>0</v>
      </c>
      <c r="N141" s="91" t="s">
        <v>167</v>
      </c>
      <c r="O141" s="92"/>
      <c r="P141" s="83">
        <f>IF(O141="1",'⚙️ Configuração'!$C$21,IF(O141="2",'⚙️ Configuração'!$C$22,IF(O141="3",'⚙️ Configuração'!$C$23,IF(O141="Outro",'⚙️ Configuração'!$C$24,0))))</f>
        <v>0</v>
      </c>
      <c r="Q141" s="84">
        <f t="shared" si="12"/>
        <v>0</v>
      </c>
      <c r="R141" s="40" t="str">
        <f t="shared" si="1"/>
        <v>Semana 1 — ver 🔄</v>
      </c>
      <c r="S141" t="str" cm="1">
        <f t="array" ref="S141">IF(D141="","",IFERROR(_xlfn.SWITCH(B141,"Semana 1",IFERROR(INDEX('🔄 Rotação Duplas'!$D$8:$D$17,MATCH(D141,'🔄 Rotação Duplas'!$C$8:$C$17,0)),INDEX('🔄 Rotação Duplas'!$C$8:$C$17,MATCH(D141,'🔄 Rotação Duplas'!$D$8:$D$17,0))),"Semana 2",IFERROR(INDEX('🔄 Rotação Duplas'!$D$22:$D$31,MATCH(D141,'🔄 Rotação Duplas'!$C$22:$C$31,0)),INDEX('🔄 Rotação Duplas'!$C$22:$C$31,MATCH(D141,'🔄 Rotação Duplas'!$D$22:$D$31,0))),"Semana 3",IFERROR(INDEX('🔄 Rotação Duplas'!$D$36:$D$45,MATCH(D141,'🔄 Rotação Duplas'!$C$36:$C$45,0)),INDEX('🔄 Rotação Duplas'!$C$36:$C$45,MATCH(D141,'🔄 Rotação Duplas'!$D$36:$D$45,0))),"Semana 4",IFERROR(INDEX('🔄 Rotação Duplas'!$D$50:$D$59,MATCH(D141,'🔄 Rotação Duplas'!$C$50:$C$59,0)),INDEX('🔄 Rotação Duplas'!$C$50:$C$59,MATCH(D141,'🔄 Rotação Duplas'!$D$50:$D$59,0))),"Semana 5",IFERROR(INDEX('🔄 Rotação Duplas'!$D$64:$D$73,MATCH(D141,'🔄 Rotação Duplas'!$C$64:$C$73,0)),INDEX('🔄 Rotação Duplas'!$C$64:$C$73,MATCH(D141,'🔄 Rotação Duplas'!$D$64:$D$73,0))),"Semana 6",IFERROR(INDEX('🔄 Rotação Duplas'!$D$78:$D$87,MATCH(D141,'🔄 Rotação Duplas'!$C$78:$C$87,0)),INDEX('🔄 Rotação Duplas'!$C$78:$C$87,MATCH(D141,'🔄 Rotação Duplas'!$D$78:$D$87,0))),"Semana 7",IFERROR(INDEX('🔄 Rotação Duplas'!$D$92:$D$101,MATCH(D141,'🔄 Rotação Duplas'!$C$92:$C$101,0)),INDEX('🔄 Rotação Duplas'!$C$92:$C$101,MATCH(D141,'🔄 Rotação Duplas'!$D$92:$D$101,0))),"Semana 8",IFERROR(INDEX('🔄 Rotação Duplas'!$D$106:$D$115,MATCH(D141,'🔄 Rotação Duplas'!$C$106:$C$115,0)),INDEX('🔄 Rotação Duplas'!$C$106:$C$115,MATCH(D141,'🔄 Rotação Duplas'!$D$106:$D$115,0)))),""))</f>
        <v/>
      </c>
      <c r="T141">
        <f t="shared" si="13"/>
        <v>0</v>
      </c>
    </row>
    <row r="142" spans="2:20" ht="18" customHeight="1" x14ac:dyDescent="0.2">
      <c r="B142" s="85" t="s">
        <v>60</v>
      </c>
      <c r="C142" s="86" t="str">
        <f t="shared" si="11"/>
        <v>Desafio 7</v>
      </c>
      <c r="D142" s="87" t="str">
        <f>'⚙️ Configuração'!C45</f>
        <v>Rita Carmo</v>
      </c>
      <c r="E142" s="50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81">
        <f>(E142*'⚙️ Configuração'!$C$6+F142*'⚙️ Configuração'!$C$7+G142*'⚙️ Configuração'!$C$8+H142*'⚙️ Configuração'!$C$9+I142*'⚙️ Configuração'!$C$10+J142*'⚙️ Configuração'!$C$11)*IF(N142="S",2,1)</f>
        <v>0</v>
      </c>
      <c r="L142" s="90" t="s">
        <v>167</v>
      </c>
      <c r="M142" s="82">
        <f>IF(L142="AT1",'⚙️ Configuração'!$C$14,IF(L142="AT2",'⚙️ Configuração'!$C$15,IF(L142="FI",'⚙️ Configuração'!$C$16,IF(L142="FJ",'⚙️ Configuração'!$C$17,0))))</f>
        <v>0</v>
      </c>
      <c r="N142" s="91" t="s">
        <v>167</v>
      </c>
      <c r="O142" s="92"/>
      <c r="P142" s="83">
        <f>IF(O142="1",'⚙️ Configuração'!$C$21,IF(O142="2",'⚙️ Configuração'!$C$22,IF(O142="3",'⚙️ Configuração'!$C$23,IF(O142="Outro",'⚙️ Configuração'!$C$24,0))))</f>
        <v>0</v>
      </c>
      <c r="Q142" s="84">
        <f t="shared" si="12"/>
        <v>0</v>
      </c>
      <c r="R142" s="40" t="str">
        <f t="shared" si="1"/>
        <v>Semana 1 — ver 🔄</v>
      </c>
      <c r="S142" t="str" cm="1">
        <f t="array" ref="S142">IF(D142="","",IFERROR(_xlfn.SWITCH(B142,"Semana 1",IFERROR(INDEX('🔄 Rotação Duplas'!$D$8:$D$17,MATCH(D142,'🔄 Rotação Duplas'!$C$8:$C$17,0)),INDEX('🔄 Rotação Duplas'!$C$8:$C$17,MATCH(D142,'🔄 Rotação Duplas'!$D$8:$D$17,0))),"Semana 2",IFERROR(INDEX('🔄 Rotação Duplas'!$D$22:$D$31,MATCH(D142,'🔄 Rotação Duplas'!$C$22:$C$31,0)),INDEX('🔄 Rotação Duplas'!$C$22:$C$31,MATCH(D142,'🔄 Rotação Duplas'!$D$22:$D$31,0))),"Semana 3",IFERROR(INDEX('🔄 Rotação Duplas'!$D$36:$D$45,MATCH(D142,'🔄 Rotação Duplas'!$C$36:$C$45,0)),INDEX('🔄 Rotação Duplas'!$C$36:$C$45,MATCH(D142,'🔄 Rotação Duplas'!$D$36:$D$45,0))),"Semana 4",IFERROR(INDEX('🔄 Rotação Duplas'!$D$50:$D$59,MATCH(D142,'🔄 Rotação Duplas'!$C$50:$C$59,0)),INDEX('🔄 Rotação Duplas'!$C$50:$C$59,MATCH(D142,'🔄 Rotação Duplas'!$D$50:$D$59,0))),"Semana 5",IFERROR(INDEX('🔄 Rotação Duplas'!$D$64:$D$73,MATCH(D142,'🔄 Rotação Duplas'!$C$64:$C$73,0)),INDEX('🔄 Rotação Duplas'!$C$64:$C$73,MATCH(D142,'🔄 Rotação Duplas'!$D$64:$D$73,0))),"Semana 6",IFERROR(INDEX('🔄 Rotação Duplas'!$D$78:$D$87,MATCH(D142,'🔄 Rotação Duplas'!$C$78:$C$87,0)),INDEX('🔄 Rotação Duplas'!$C$78:$C$87,MATCH(D142,'🔄 Rotação Duplas'!$D$78:$D$87,0))),"Semana 7",IFERROR(INDEX('🔄 Rotação Duplas'!$D$92:$D$101,MATCH(D142,'🔄 Rotação Duplas'!$C$92:$C$101,0)),INDEX('🔄 Rotação Duplas'!$C$92:$C$101,MATCH(D142,'🔄 Rotação Duplas'!$D$92:$D$101,0))),"Semana 8",IFERROR(INDEX('🔄 Rotação Duplas'!$D$106:$D$115,MATCH(D142,'🔄 Rotação Duplas'!$C$106:$C$115,0)),INDEX('🔄 Rotação Duplas'!$C$106:$C$115,MATCH(D142,'🔄 Rotação Duplas'!$D$106:$D$115,0)))),""))</f>
        <v/>
      </c>
      <c r="T142">
        <f t="shared" si="13"/>
        <v>0</v>
      </c>
    </row>
    <row r="143" spans="2:20" ht="18" customHeight="1" x14ac:dyDescent="0.2">
      <c r="B143" s="78" t="s">
        <v>60</v>
      </c>
      <c r="C143" s="79" t="str">
        <f t="shared" si="11"/>
        <v>Desafio 7</v>
      </c>
      <c r="D143" s="80" t="str">
        <f>'⚙️ Configuração'!C46</f>
        <v>William Fernandes</v>
      </c>
      <c r="E143" s="50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81">
        <f>(E143*'⚙️ Configuração'!$C$6+F143*'⚙️ Configuração'!$C$7+G143*'⚙️ Configuração'!$C$8+H143*'⚙️ Configuração'!$C$9+I143*'⚙️ Configuração'!$C$10+J143*'⚙️ Configuração'!$C$11)*IF(N143="S",2,1)</f>
        <v>0</v>
      </c>
      <c r="L143" s="90" t="s">
        <v>167</v>
      </c>
      <c r="M143" s="82">
        <f>IF(L143="AT1",'⚙️ Configuração'!$C$14,IF(L143="AT2",'⚙️ Configuração'!$C$15,IF(L143="FI",'⚙️ Configuração'!$C$16,IF(L143="FJ",'⚙️ Configuração'!$C$17,0))))</f>
        <v>0</v>
      </c>
      <c r="N143" s="91" t="s">
        <v>167</v>
      </c>
      <c r="O143" s="92"/>
      <c r="P143" s="83">
        <f>IF(O143="1",'⚙️ Configuração'!$C$21,IF(O143="2",'⚙️ Configuração'!$C$22,IF(O143="3",'⚙️ Configuração'!$C$23,IF(O143="Outro",'⚙️ Configuração'!$C$24,0))))</f>
        <v>0</v>
      </c>
      <c r="Q143" s="84">
        <f t="shared" si="12"/>
        <v>0</v>
      </c>
      <c r="R143" s="40" t="str">
        <f t="shared" si="1"/>
        <v>Semana 1 — ver 🔄</v>
      </c>
      <c r="S143" t="str" cm="1">
        <f t="array" ref="S143">IF(D143="","",IFERROR(_xlfn.SWITCH(B143,"Semana 1",IFERROR(INDEX('🔄 Rotação Duplas'!$D$8:$D$17,MATCH(D143,'🔄 Rotação Duplas'!$C$8:$C$17,0)),INDEX('🔄 Rotação Duplas'!$C$8:$C$17,MATCH(D143,'🔄 Rotação Duplas'!$D$8:$D$17,0))),"Semana 2",IFERROR(INDEX('🔄 Rotação Duplas'!$D$22:$D$31,MATCH(D143,'🔄 Rotação Duplas'!$C$22:$C$31,0)),INDEX('🔄 Rotação Duplas'!$C$22:$C$31,MATCH(D143,'🔄 Rotação Duplas'!$D$22:$D$31,0))),"Semana 3",IFERROR(INDEX('🔄 Rotação Duplas'!$D$36:$D$45,MATCH(D143,'🔄 Rotação Duplas'!$C$36:$C$45,0)),INDEX('🔄 Rotação Duplas'!$C$36:$C$45,MATCH(D143,'🔄 Rotação Duplas'!$D$36:$D$45,0))),"Semana 4",IFERROR(INDEX('🔄 Rotação Duplas'!$D$50:$D$59,MATCH(D143,'🔄 Rotação Duplas'!$C$50:$C$59,0)),INDEX('🔄 Rotação Duplas'!$C$50:$C$59,MATCH(D143,'🔄 Rotação Duplas'!$D$50:$D$59,0))),"Semana 5",IFERROR(INDEX('🔄 Rotação Duplas'!$D$64:$D$73,MATCH(D143,'🔄 Rotação Duplas'!$C$64:$C$73,0)),INDEX('🔄 Rotação Duplas'!$C$64:$C$73,MATCH(D143,'🔄 Rotação Duplas'!$D$64:$D$73,0))),"Semana 6",IFERROR(INDEX('🔄 Rotação Duplas'!$D$78:$D$87,MATCH(D143,'🔄 Rotação Duplas'!$C$78:$C$87,0)),INDEX('🔄 Rotação Duplas'!$C$78:$C$87,MATCH(D143,'🔄 Rotação Duplas'!$D$78:$D$87,0))),"Semana 7",IFERROR(INDEX('🔄 Rotação Duplas'!$D$92:$D$101,MATCH(D143,'🔄 Rotação Duplas'!$C$92:$C$101,0)),INDEX('🔄 Rotação Duplas'!$C$92:$C$101,MATCH(D143,'🔄 Rotação Duplas'!$D$92:$D$101,0))),"Semana 8",IFERROR(INDEX('🔄 Rotação Duplas'!$D$106:$D$115,MATCH(D143,'🔄 Rotação Duplas'!$C$106:$C$115,0)),INDEX('🔄 Rotação Duplas'!$C$106:$C$115,MATCH(D143,'🔄 Rotação Duplas'!$D$106:$D$115,0)))),""))</f>
        <v/>
      </c>
      <c r="T143">
        <f t="shared" si="13"/>
        <v>0</v>
      </c>
    </row>
    <row r="144" spans="2:20" ht="18" customHeight="1" x14ac:dyDescent="0.2">
      <c r="B144" s="85" t="s">
        <v>60</v>
      </c>
      <c r="C144" s="86" t="str">
        <f t="shared" si="11"/>
        <v>Desafio 7</v>
      </c>
      <c r="D144" s="87" t="str">
        <f>'⚙️ Configuração'!C47</f>
        <v>-</v>
      </c>
      <c r="E144" s="50">
        <v>0</v>
      </c>
      <c r="F144" s="50">
        <v>0</v>
      </c>
      <c r="G144" s="50">
        <v>0</v>
      </c>
      <c r="H144" s="50">
        <v>0</v>
      </c>
      <c r="I144" s="50">
        <v>0</v>
      </c>
      <c r="J144" s="50">
        <v>0</v>
      </c>
      <c r="K144" s="81">
        <f>(E144*'⚙️ Configuração'!$C$6+F144*'⚙️ Configuração'!$C$7+G144*'⚙️ Configuração'!$C$8+H144*'⚙️ Configuração'!$C$9+I144*'⚙️ Configuração'!$C$10+J144*'⚙️ Configuração'!$C$11)*IF(N144="S",2,1)</f>
        <v>0</v>
      </c>
      <c r="L144" s="90" t="s">
        <v>167</v>
      </c>
      <c r="M144" s="82">
        <f>IF(L144="AT1",'⚙️ Configuração'!$C$14,IF(L144="AT2",'⚙️ Configuração'!$C$15,IF(L144="FI",'⚙️ Configuração'!$C$16,IF(L144="FJ",'⚙️ Configuração'!$C$17,0))))</f>
        <v>0</v>
      </c>
      <c r="N144" s="91" t="s">
        <v>167</v>
      </c>
      <c r="O144" s="92"/>
      <c r="P144" s="83">
        <f>IF(O144="1",'⚙️ Configuração'!$C$21,IF(O144="2",'⚙️ Configuração'!$C$22,IF(O144="3",'⚙️ Configuração'!$C$23,IF(O144="Outro",'⚙️ Configuração'!$C$24,0))))</f>
        <v>0</v>
      </c>
      <c r="Q144" s="84">
        <f t="shared" si="12"/>
        <v>0</v>
      </c>
      <c r="R144" s="40" t="str">
        <f t="shared" si="1"/>
        <v>Semana 1 — ver 🔄</v>
      </c>
      <c r="S144" t="str" cm="1">
        <f t="array" ref="S144">IF(D144="","",IFERROR(_xlfn.SWITCH(B144,"Semana 1",IFERROR(INDEX('🔄 Rotação Duplas'!$D$8:$D$17,MATCH(D144,'🔄 Rotação Duplas'!$C$8:$C$17,0)),INDEX('🔄 Rotação Duplas'!$C$8:$C$17,MATCH(D144,'🔄 Rotação Duplas'!$D$8:$D$17,0))),"Semana 2",IFERROR(INDEX('🔄 Rotação Duplas'!$D$22:$D$31,MATCH(D144,'🔄 Rotação Duplas'!$C$22:$C$31,0)),INDEX('🔄 Rotação Duplas'!$C$22:$C$31,MATCH(D144,'🔄 Rotação Duplas'!$D$22:$D$31,0))),"Semana 3",IFERROR(INDEX('🔄 Rotação Duplas'!$D$36:$D$45,MATCH(D144,'🔄 Rotação Duplas'!$C$36:$C$45,0)),INDEX('🔄 Rotação Duplas'!$C$36:$C$45,MATCH(D144,'🔄 Rotação Duplas'!$D$36:$D$45,0))),"Semana 4",IFERROR(INDEX('🔄 Rotação Duplas'!$D$50:$D$59,MATCH(D144,'🔄 Rotação Duplas'!$C$50:$C$59,0)),INDEX('🔄 Rotação Duplas'!$C$50:$C$59,MATCH(D144,'🔄 Rotação Duplas'!$D$50:$D$59,0))),"Semana 5",IFERROR(INDEX('🔄 Rotação Duplas'!$D$64:$D$73,MATCH(D144,'🔄 Rotação Duplas'!$C$64:$C$73,0)),INDEX('🔄 Rotação Duplas'!$C$64:$C$73,MATCH(D144,'🔄 Rotação Duplas'!$D$64:$D$73,0))),"Semana 6",IFERROR(INDEX('🔄 Rotação Duplas'!$D$78:$D$87,MATCH(D144,'🔄 Rotação Duplas'!$C$78:$C$87,0)),INDEX('🔄 Rotação Duplas'!$C$78:$C$87,MATCH(D144,'🔄 Rotação Duplas'!$D$78:$D$87,0))),"Semana 7",IFERROR(INDEX('🔄 Rotação Duplas'!$D$92:$D$101,MATCH(D144,'🔄 Rotação Duplas'!$C$92:$C$101,0)),INDEX('🔄 Rotação Duplas'!$C$92:$C$101,MATCH(D144,'🔄 Rotação Duplas'!$D$92:$D$101,0))),"Semana 8",IFERROR(INDEX('🔄 Rotação Duplas'!$D$106:$D$115,MATCH(D144,'🔄 Rotação Duplas'!$C$106:$C$115,0)),INDEX('🔄 Rotação Duplas'!$C$106:$C$115,MATCH(D144,'🔄 Rotação Duplas'!$D$106:$D$115,0)))),""))</f>
        <v/>
      </c>
      <c r="T144">
        <f t="shared" si="13"/>
        <v>0</v>
      </c>
    </row>
    <row r="145" spans="2:20" ht="18" customHeight="1" x14ac:dyDescent="0.2">
      <c r="B145" s="78" t="s">
        <v>60</v>
      </c>
      <c r="C145" s="79" t="str">
        <f t="shared" si="11"/>
        <v>Desafio 7</v>
      </c>
      <c r="D145" s="80" t="str">
        <f>'⚙️ Configuração'!C48</f>
        <v>-</v>
      </c>
      <c r="E145" s="50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81">
        <f>(E145*'⚙️ Configuração'!$C$6+F145*'⚙️ Configuração'!$C$7+G145*'⚙️ Configuração'!$C$8+H145*'⚙️ Configuração'!$C$9+I145*'⚙️ Configuração'!$C$10+J145*'⚙️ Configuração'!$C$11)*IF(N145="S",2,1)</f>
        <v>0</v>
      </c>
      <c r="L145" s="90" t="s">
        <v>167</v>
      </c>
      <c r="M145" s="82">
        <f>IF(L145="AT1",'⚙️ Configuração'!$C$14,IF(L145="AT2",'⚙️ Configuração'!$C$15,IF(L145="FI",'⚙️ Configuração'!$C$16,IF(L145="FJ",'⚙️ Configuração'!$C$17,0))))</f>
        <v>0</v>
      </c>
      <c r="N145" s="91" t="s">
        <v>167</v>
      </c>
      <c r="O145" s="92"/>
      <c r="P145" s="83">
        <f>IF(O145="1",'⚙️ Configuração'!$C$21,IF(O145="2",'⚙️ Configuração'!$C$22,IF(O145="3",'⚙️ Configuração'!$C$23,IF(O145="Outro",'⚙️ Configuração'!$C$24,0))))</f>
        <v>0</v>
      </c>
      <c r="Q145" s="84">
        <f t="shared" si="12"/>
        <v>0</v>
      </c>
      <c r="R145" s="40" t="str">
        <f t="shared" si="1"/>
        <v>Semana 1 — ver 🔄</v>
      </c>
      <c r="S145" t="str" cm="1">
        <f t="array" ref="S145">IF(D145="","",IFERROR(_xlfn.SWITCH(B145,"Semana 1",IFERROR(INDEX('🔄 Rotação Duplas'!$D$8:$D$17,MATCH(D145,'🔄 Rotação Duplas'!$C$8:$C$17,0)),INDEX('🔄 Rotação Duplas'!$C$8:$C$17,MATCH(D145,'🔄 Rotação Duplas'!$D$8:$D$17,0))),"Semana 2",IFERROR(INDEX('🔄 Rotação Duplas'!$D$22:$D$31,MATCH(D145,'🔄 Rotação Duplas'!$C$22:$C$31,0)),INDEX('🔄 Rotação Duplas'!$C$22:$C$31,MATCH(D145,'🔄 Rotação Duplas'!$D$22:$D$31,0))),"Semana 3",IFERROR(INDEX('🔄 Rotação Duplas'!$D$36:$D$45,MATCH(D145,'🔄 Rotação Duplas'!$C$36:$C$45,0)),INDEX('🔄 Rotação Duplas'!$C$36:$C$45,MATCH(D145,'🔄 Rotação Duplas'!$D$36:$D$45,0))),"Semana 4",IFERROR(INDEX('🔄 Rotação Duplas'!$D$50:$D$59,MATCH(D145,'🔄 Rotação Duplas'!$C$50:$C$59,0)),INDEX('🔄 Rotação Duplas'!$C$50:$C$59,MATCH(D145,'🔄 Rotação Duplas'!$D$50:$D$59,0))),"Semana 5",IFERROR(INDEX('🔄 Rotação Duplas'!$D$64:$D$73,MATCH(D145,'🔄 Rotação Duplas'!$C$64:$C$73,0)),INDEX('🔄 Rotação Duplas'!$C$64:$C$73,MATCH(D145,'🔄 Rotação Duplas'!$D$64:$D$73,0))),"Semana 6",IFERROR(INDEX('🔄 Rotação Duplas'!$D$78:$D$87,MATCH(D145,'🔄 Rotação Duplas'!$C$78:$C$87,0)),INDEX('🔄 Rotação Duplas'!$C$78:$C$87,MATCH(D145,'🔄 Rotação Duplas'!$D$78:$D$87,0))),"Semana 7",IFERROR(INDEX('🔄 Rotação Duplas'!$D$92:$D$101,MATCH(D145,'🔄 Rotação Duplas'!$C$92:$C$101,0)),INDEX('🔄 Rotação Duplas'!$C$92:$C$101,MATCH(D145,'🔄 Rotação Duplas'!$D$92:$D$101,0))),"Semana 8",IFERROR(INDEX('🔄 Rotação Duplas'!$D$106:$D$115,MATCH(D145,'🔄 Rotação Duplas'!$C$106:$C$115,0)),INDEX('🔄 Rotação Duplas'!$C$106:$C$115,MATCH(D145,'🔄 Rotação Duplas'!$D$106:$D$115,0)))),""))</f>
        <v/>
      </c>
      <c r="T145">
        <f t="shared" si="13"/>
        <v>0</v>
      </c>
    </row>
    <row r="146" spans="2:20" ht="18" customHeight="1" x14ac:dyDescent="0.2">
      <c r="B146" s="85" t="s">
        <v>60</v>
      </c>
      <c r="C146" s="86" t="str">
        <f t="shared" si="11"/>
        <v>Desafio 7</v>
      </c>
      <c r="D146" s="87" t="str">
        <f>'⚙️ Configuração'!C49</f>
        <v>-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81">
        <f>(E146*'⚙️ Configuração'!$C$6+F146*'⚙️ Configuração'!$C$7+G146*'⚙️ Configuração'!$C$8+H146*'⚙️ Configuração'!$C$9+I146*'⚙️ Configuração'!$C$10+J146*'⚙️ Configuração'!$C$11)*IF(N146="S",2,1)</f>
        <v>0</v>
      </c>
      <c r="L146" s="90" t="s">
        <v>167</v>
      </c>
      <c r="M146" s="82">
        <f>IF(L146="AT1",'⚙️ Configuração'!$C$14,IF(L146="AT2",'⚙️ Configuração'!$C$15,IF(L146="FI",'⚙️ Configuração'!$C$16,IF(L146="FJ",'⚙️ Configuração'!$C$17,0))))</f>
        <v>0</v>
      </c>
      <c r="N146" s="91" t="s">
        <v>167</v>
      </c>
      <c r="O146" s="92"/>
      <c r="P146" s="83">
        <f>IF(O146="1",'⚙️ Configuração'!$C$21,IF(O146="2",'⚙️ Configuração'!$C$22,IF(O146="3",'⚙️ Configuração'!$C$23,IF(O146="Outro",'⚙️ Configuração'!$C$24,0))))</f>
        <v>0</v>
      </c>
      <c r="Q146" s="84">
        <f t="shared" si="12"/>
        <v>0</v>
      </c>
      <c r="R146" s="40" t="str">
        <f t="shared" si="1"/>
        <v>Semana 1 — ver 🔄</v>
      </c>
      <c r="S146" t="str" cm="1">
        <f t="array" ref="S146">IF(D146="","",IFERROR(_xlfn.SWITCH(B146,"Semana 1",IFERROR(INDEX('🔄 Rotação Duplas'!$D$8:$D$17,MATCH(D146,'🔄 Rotação Duplas'!$C$8:$C$17,0)),INDEX('🔄 Rotação Duplas'!$C$8:$C$17,MATCH(D146,'🔄 Rotação Duplas'!$D$8:$D$17,0))),"Semana 2",IFERROR(INDEX('🔄 Rotação Duplas'!$D$22:$D$31,MATCH(D146,'🔄 Rotação Duplas'!$C$22:$C$31,0)),INDEX('🔄 Rotação Duplas'!$C$22:$C$31,MATCH(D146,'🔄 Rotação Duplas'!$D$22:$D$31,0))),"Semana 3",IFERROR(INDEX('🔄 Rotação Duplas'!$D$36:$D$45,MATCH(D146,'🔄 Rotação Duplas'!$C$36:$C$45,0)),INDEX('🔄 Rotação Duplas'!$C$36:$C$45,MATCH(D146,'🔄 Rotação Duplas'!$D$36:$D$45,0))),"Semana 4",IFERROR(INDEX('🔄 Rotação Duplas'!$D$50:$D$59,MATCH(D146,'🔄 Rotação Duplas'!$C$50:$C$59,0)),INDEX('🔄 Rotação Duplas'!$C$50:$C$59,MATCH(D146,'🔄 Rotação Duplas'!$D$50:$D$59,0))),"Semana 5",IFERROR(INDEX('🔄 Rotação Duplas'!$D$64:$D$73,MATCH(D146,'🔄 Rotação Duplas'!$C$64:$C$73,0)),INDEX('🔄 Rotação Duplas'!$C$64:$C$73,MATCH(D146,'🔄 Rotação Duplas'!$D$64:$D$73,0))),"Semana 6",IFERROR(INDEX('🔄 Rotação Duplas'!$D$78:$D$87,MATCH(D146,'🔄 Rotação Duplas'!$C$78:$C$87,0)),INDEX('🔄 Rotação Duplas'!$C$78:$C$87,MATCH(D146,'🔄 Rotação Duplas'!$D$78:$D$87,0))),"Semana 7",IFERROR(INDEX('🔄 Rotação Duplas'!$D$92:$D$101,MATCH(D146,'🔄 Rotação Duplas'!$C$92:$C$101,0)),INDEX('🔄 Rotação Duplas'!$C$92:$C$101,MATCH(D146,'🔄 Rotação Duplas'!$D$92:$D$101,0))),"Semana 8",IFERROR(INDEX('🔄 Rotação Duplas'!$D$106:$D$115,MATCH(D146,'🔄 Rotação Duplas'!$C$106:$C$115,0)),INDEX('🔄 Rotação Duplas'!$C$106:$C$115,MATCH(D146,'🔄 Rotação Duplas'!$D$106:$D$115,0)))),""))</f>
        <v/>
      </c>
      <c r="T146">
        <f t="shared" si="13"/>
        <v>0</v>
      </c>
    </row>
    <row r="147" spans="2:20" ht="18" customHeight="1" x14ac:dyDescent="0.2">
      <c r="B147" s="78" t="s">
        <v>60</v>
      </c>
      <c r="C147" s="79" t="str">
        <f t="shared" ref="C147:C166" si="14">"Desafio 8"</f>
        <v>Desafio 8</v>
      </c>
      <c r="D147" s="80" t="str">
        <f>'⚙️ Configuração'!C30</f>
        <v>Carla Cantante</v>
      </c>
      <c r="E147" s="50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81">
        <f>(E147*'⚙️ Configuração'!$C$6+F147*'⚙️ Configuração'!$C$7+G147*'⚙️ Configuração'!$C$8+H147*'⚙️ Configuração'!$C$9+I147*'⚙️ Configuração'!$C$10+J147*'⚙️ Configuração'!$C$11)*IF(N147="S",2,1)</f>
        <v>0</v>
      </c>
      <c r="L147" s="90" t="s">
        <v>167</v>
      </c>
      <c r="M147" s="82">
        <f>IF(L147="AT1",'⚙️ Configuração'!$C$14,IF(L147="AT2",'⚙️ Configuração'!$C$15,IF(L147="FI",'⚙️ Configuração'!$C$16,IF(L147="FJ",'⚙️ Configuração'!$C$17,0))))</f>
        <v>0</v>
      </c>
      <c r="N147" s="91" t="s">
        <v>167</v>
      </c>
      <c r="O147" s="92"/>
      <c r="P147" s="83">
        <f>IF(O147="1",'⚙️ Configuração'!$C$21,IF(O147="2",'⚙️ Configuração'!$C$22,IF(O147="3",'⚙️ Configuração'!$C$23,IF(O147="Outro",'⚙️ Configuração'!$C$24,0))))</f>
        <v>0</v>
      </c>
      <c r="Q147" s="84">
        <f t="shared" si="12"/>
        <v>0</v>
      </c>
      <c r="R147" s="40" t="str">
        <f t="shared" si="1"/>
        <v>Semana 1 — ver 🔄</v>
      </c>
      <c r="S147" t="str" cm="1">
        <f t="array" ref="S147">IF(D147="","",IFERROR(_xlfn.SWITCH(B147,"Semana 1",IFERROR(INDEX('🔄 Rotação Duplas'!$D$8:$D$17,MATCH(D147,'🔄 Rotação Duplas'!$C$8:$C$17,0)),INDEX('🔄 Rotação Duplas'!$C$8:$C$17,MATCH(D147,'🔄 Rotação Duplas'!$D$8:$D$17,0))),"Semana 2",IFERROR(INDEX('🔄 Rotação Duplas'!$D$22:$D$31,MATCH(D147,'🔄 Rotação Duplas'!$C$22:$C$31,0)),INDEX('🔄 Rotação Duplas'!$C$22:$C$31,MATCH(D147,'🔄 Rotação Duplas'!$D$22:$D$31,0))),"Semana 3",IFERROR(INDEX('🔄 Rotação Duplas'!$D$36:$D$45,MATCH(D147,'🔄 Rotação Duplas'!$C$36:$C$45,0)),INDEX('🔄 Rotação Duplas'!$C$36:$C$45,MATCH(D147,'🔄 Rotação Duplas'!$D$36:$D$45,0))),"Semana 4",IFERROR(INDEX('🔄 Rotação Duplas'!$D$50:$D$59,MATCH(D147,'🔄 Rotação Duplas'!$C$50:$C$59,0)),INDEX('🔄 Rotação Duplas'!$C$50:$C$59,MATCH(D147,'🔄 Rotação Duplas'!$D$50:$D$59,0))),"Semana 5",IFERROR(INDEX('🔄 Rotação Duplas'!$D$64:$D$73,MATCH(D147,'🔄 Rotação Duplas'!$C$64:$C$73,0)),INDEX('🔄 Rotação Duplas'!$C$64:$C$73,MATCH(D147,'🔄 Rotação Duplas'!$D$64:$D$73,0))),"Semana 6",IFERROR(INDEX('🔄 Rotação Duplas'!$D$78:$D$87,MATCH(D147,'🔄 Rotação Duplas'!$C$78:$C$87,0)),INDEX('🔄 Rotação Duplas'!$C$78:$C$87,MATCH(D147,'🔄 Rotação Duplas'!$D$78:$D$87,0))),"Semana 7",IFERROR(INDEX('🔄 Rotação Duplas'!$D$92:$D$101,MATCH(D147,'🔄 Rotação Duplas'!$C$92:$C$101,0)),INDEX('🔄 Rotação Duplas'!$C$92:$C$101,MATCH(D147,'🔄 Rotação Duplas'!$D$92:$D$101,0))),"Semana 8",IFERROR(INDEX('🔄 Rotação Duplas'!$D$106:$D$115,MATCH(D147,'🔄 Rotação Duplas'!$C$106:$C$115,0)),INDEX('🔄 Rotação Duplas'!$C$106:$C$115,MATCH(D147,'🔄 Rotação Duplas'!$D$106:$D$115,0)))),""))</f>
        <v/>
      </c>
      <c r="T147">
        <f t="shared" si="13"/>
        <v>0</v>
      </c>
    </row>
    <row r="148" spans="2:20" ht="18" customHeight="1" x14ac:dyDescent="0.2">
      <c r="B148" s="85" t="s">
        <v>60</v>
      </c>
      <c r="C148" s="86" t="str">
        <f t="shared" si="14"/>
        <v>Desafio 8</v>
      </c>
      <c r="D148" s="87" t="str">
        <f>'⚙️ Configuração'!C31</f>
        <v>Elisabete Mendes</v>
      </c>
      <c r="E148" s="50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81">
        <f>(E148*'⚙️ Configuração'!$C$6+F148*'⚙️ Configuração'!$C$7+G148*'⚙️ Configuração'!$C$8+H148*'⚙️ Configuração'!$C$9+I148*'⚙️ Configuração'!$C$10+J148*'⚙️ Configuração'!$C$11)*IF(N148="S",2,1)</f>
        <v>0</v>
      </c>
      <c r="L148" s="90" t="s">
        <v>167</v>
      </c>
      <c r="M148" s="82">
        <f>IF(L148="AT1",'⚙️ Configuração'!$C$14,IF(L148="AT2",'⚙️ Configuração'!$C$15,IF(L148="FI",'⚙️ Configuração'!$C$16,IF(L148="FJ",'⚙️ Configuração'!$C$17,0))))</f>
        <v>0</v>
      </c>
      <c r="N148" s="91" t="s">
        <v>167</v>
      </c>
      <c r="O148" s="92"/>
      <c r="P148" s="83">
        <f>IF(O148="1",'⚙️ Configuração'!$C$21,IF(O148="2",'⚙️ Configuração'!$C$22,IF(O148="3",'⚙️ Configuração'!$C$23,IF(O148="Outro",'⚙️ Configuração'!$C$24,0))))</f>
        <v>0</v>
      </c>
      <c r="Q148" s="84">
        <f t="shared" si="12"/>
        <v>0</v>
      </c>
      <c r="R148" s="40" t="str">
        <f t="shared" si="1"/>
        <v>Semana 1 — ver 🔄</v>
      </c>
      <c r="S148" t="str" cm="1">
        <f t="array" ref="S148">IF(D148="","",IFERROR(_xlfn.SWITCH(B148,"Semana 1",IFERROR(INDEX('🔄 Rotação Duplas'!$D$8:$D$17,MATCH(D148,'🔄 Rotação Duplas'!$C$8:$C$17,0)),INDEX('🔄 Rotação Duplas'!$C$8:$C$17,MATCH(D148,'🔄 Rotação Duplas'!$D$8:$D$17,0))),"Semana 2",IFERROR(INDEX('🔄 Rotação Duplas'!$D$22:$D$31,MATCH(D148,'🔄 Rotação Duplas'!$C$22:$C$31,0)),INDEX('🔄 Rotação Duplas'!$C$22:$C$31,MATCH(D148,'🔄 Rotação Duplas'!$D$22:$D$31,0))),"Semana 3",IFERROR(INDEX('🔄 Rotação Duplas'!$D$36:$D$45,MATCH(D148,'🔄 Rotação Duplas'!$C$36:$C$45,0)),INDEX('🔄 Rotação Duplas'!$C$36:$C$45,MATCH(D148,'🔄 Rotação Duplas'!$D$36:$D$45,0))),"Semana 4",IFERROR(INDEX('🔄 Rotação Duplas'!$D$50:$D$59,MATCH(D148,'🔄 Rotação Duplas'!$C$50:$C$59,0)),INDEX('🔄 Rotação Duplas'!$C$50:$C$59,MATCH(D148,'🔄 Rotação Duplas'!$D$50:$D$59,0))),"Semana 5",IFERROR(INDEX('🔄 Rotação Duplas'!$D$64:$D$73,MATCH(D148,'🔄 Rotação Duplas'!$C$64:$C$73,0)),INDEX('🔄 Rotação Duplas'!$C$64:$C$73,MATCH(D148,'🔄 Rotação Duplas'!$D$64:$D$73,0))),"Semana 6",IFERROR(INDEX('🔄 Rotação Duplas'!$D$78:$D$87,MATCH(D148,'🔄 Rotação Duplas'!$C$78:$C$87,0)),INDEX('🔄 Rotação Duplas'!$C$78:$C$87,MATCH(D148,'🔄 Rotação Duplas'!$D$78:$D$87,0))),"Semana 7",IFERROR(INDEX('🔄 Rotação Duplas'!$D$92:$D$101,MATCH(D148,'🔄 Rotação Duplas'!$C$92:$C$101,0)),INDEX('🔄 Rotação Duplas'!$C$92:$C$101,MATCH(D148,'🔄 Rotação Duplas'!$D$92:$D$101,0))),"Semana 8",IFERROR(INDEX('🔄 Rotação Duplas'!$D$106:$D$115,MATCH(D148,'🔄 Rotação Duplas'!$C$106:$C$115,0)),INDEX('🔄 Rotação Duplas'!$C$106:$C$115,MATCH(D148,'🔄 Rotação Duplas'!$D$106:$D$115,0)))),""))</f>
        <v/>
      </c>
      <c r="T148">
        <f t="shared" si="13"/>
        <v>0</v>
      </c>
    </row>
    <row r="149" spans="2:20" ht="18" customHeight="1" x14ac:dyDescent="0.2">
      <c r="B149" s="78" t="s">
        <v>60</v>
      </c>
      <c r="C149" s="79" t="str">
        <f t="shared" si="14"/>
        <v>Desafio 8</v>
      </c>
      <c r="D149" s="80" t="str">
        <f>'⚙️ Configuração'!C32</f>
        <v>Filipa Cunha</v>
      </c>
      <c r="E149" s="50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81">
        <f>(E149*'⚙️ Configuração'!$C$6+F149*'⚙️ Configuração'!$C$7+G149*'⚙️ Configuração'!$C$8+H149*'⚙️ Configuração'!$C$9+I149*'⚙️ Configuração'!$C$10+J149*'⚙️ Configuração'!$C$11)*IF(N149="S",2,1)</f>
        <v>0</v>
      </c>
      <c r="L149" s="90" t="s">
        <v>167</v>
      </c>
      <c r="M149" s="82">
        <f>IF(L149="AT1",'⚙️ Configuração'!$C$14,IF(L149="AT2",'⚙️ Configuração'!$C$15,IF(L149="FI",'⚙️ Configuração'!$C$16,IF(L149="FJ",'⚙️ Configuração'!$C$17,0))))</f>
        <v>0</v>
      </c>
      <c r="N149" s="91" t="s">
        <v>167</v>
      </c>
      <c r="O149" s="92"/>
      <c r="P149" s="83">
        <f>IF(O149="1",'⚙️ Configuração'!$C$21,IF(O149="2",'⚙️ Configuração'!$C$22,IF(O149="3",'⚙️ Configuração'!$C$23,IF(O149="Outro",'⚙️ Configuração'!$C$24,0))))</f>
        <v>0</v>
      </c>
      <c r="Q149" s="84">
        <f t="shared" si="12"/>
        <v>0</v>
      </c>
      <c r="R149" s="40" t="str">
        <f t="shared" si="1"/>
        <v>Semana 1 — ver 🔄</v>
      </c>
      <c r="S149" t="str" cm="1">
        <f t="array" ref="S149">IF(D149="","",IFERROR(_xlfn.SWITCH(B149,"Semana 1",IFERROR(INDEX('🔄 Rotação Duplas'!$D$8:$D$17,MATCH(D149,'🔄 Rotação Duplas'!$C$8:$C$17,0)),INDEX('🔄 Rotação Duplas'!$C$8:$C$17,MATCH(D149,'🔄 Rotação Duplas'!$D$8:$D$17,0))),"Semana 2",IFERROR(INDEX('🔄 Rotação Duplas'!$D$22:$D$31,MATCH(D149,'🔄 Rotação Duplas'!$C$22:$C$31,0)),INDEX('🔄 Rotação Duplas'!$C$22:$C$31,MATCH(D149,'🔄 Rotação Duplas'!$D$22:$D$31,0))),"Semana 3",IFERROR(INDEX('🔄 Rotação Duplas'!$D$36:$D$45,MATCH(D149,'🔄 Rotação Duplas'!$C$36:$C$45,0)),INDEX('🔄 Rotação Duplas'!$C$36:$C$45,MATCH(D149,'🔄 Rotação Duplas'!$D$36:$D$45,0))),"Semana 4",IFERROR(INDEX('🔄 Rotação Duplas'!$D$50:$D$59,MATCH(D149,'🔄 Rotação Duplas'!$C$50:$C$59,0)),INDEX('🔄 Rotação Duplas'!$C$50:$C$59,MATCH(D149,'🔄 Rotação Duplas'!$D$50:$D$59,0))),"Semana 5",IFERROR(INDEX('🔄 Rotação Duplas'!$D$64:$D$73,MATCH(D149,'🔄 Rotação Duplas'!$C$64:$C$73,0)),INDEX('🔄 Rotação Duplas'!$C$64:$C$73,MATCH(D149,'🔄 Rotação Duplas'!$D$64:$D$73,0))),"Semana 6",IFERROR(INDEX('🔄 Rotação Duplas'!$D$78:$D$87,MATCH(D149,'🔄 Rotação Duplas'!$C$78:$C$87,0)),INDEX('🔄 Rotação Duplas'!$C$78:$C$87,MATCH(D149,'🔄 Rotação Duplas'!$D$78:$D$87,0))),"Semana 7",IFERROR(INDEX('🔄 Rotação Duplas'!$D$92:$D$101,MATCH(D149,'🔄 Rotação Duplas'!$C$92:$C$101,0)),INDEX('🔄 Rotação Duplas'!$C$92:$C$101,MATCH(D149,'🔄 Rotação Duplas'!$D$92:$D$101,0))),"Semana 8",IFERROR(INDEX('🔄 Rotação Duplas'!$D$106:$D$115,MATCH(D149,'🔄 Rotação Duplas'!$C$106:$C$115,0)),INDEX('🔄 Rotação Duplas'!$C$106:$C$115,MATCH(D149,'🔄 Rotação Duplas'!$D$106:$D$115,0)))),""))</f>
        <v/>
      </c>
      <c r="T149">
        <f t="shared" si="13"/>
        <v>0</v>
      </c>
    </row>
    <row r="150" spans="2:20" ht="18" customHeight="1" x14ac:dyDescent="0.2">
      <c r="B150" s="85" t="s">
        <v>60</v>
      </c>
      <c r="C150" s="86" t="str">
        <f t="shared" si="14"/>
        <v>Desafio 8</v>
      </c>
      <c r="D150" s="87" t="str">
        <f>'⚙️ Configuração'!C33</f>
        <v>Helena Rocha</v>
      </c>
      <c r="E150" s="50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81">
        <f>(E150*'⚙️ Configuração'!$C$6+F150*'⚙️ Configuração'!$C$7+G150*'⚙️ Configuração'!$C$8+H150*'⚙️ Configuração'!$C$9+I150*'⚙️ Configuração'!$C$10+J150*'⚙️ Configuração'!$C$11)*IF(N150="S",2,1)</f>
        <v>0</v>
      </c>
      <c r="L150" s="90" t="s">
        <v>167</v>
      </c>
      <c r="M150" s="82">
        <f>IF(L150="AT1",'⚙️ Configuração'!$C$14,IF(L150="AT2",'⚙️ Configuração'!$C$15,IF(L150="FI",'⚙️ Configuração'!$C$16,IF(L150="FJ",'⚙️ Configuração'!$C$17,0))))</f>
        <v>0</v>
      </c>
      <c r="N150" s="91" t="s">
        <v>167</v>
      </c>
      <c r="O150" s="92"/>
      <c r="P150" s="83">
        <f>IF(O150="1",'⚙️ Configuração'!$C$21,IF(O150="2",'⚙️ Configuração'!$C$22,IF(O150="3",'⚙️ Configuração'!$C$23,IF(O150="Outro",'⚙️ Configuração'!$C$24,0))))</f>
        <v>0</v>
      </c>
      <c r="Q150" s="84">
        <f t="shared" si="12"/>
        <v>0</v>
      </c>
      <c r="R150" s="40" t="str">
        <f t="shared" si="1"/>
        <v>Semana 1 — ver 🔄</v>
      </c>
      <c r="S150" t="str" cm="1">
        <f t="array" ref="S150">IF(D150="","",IFERROR(_xlfn.SWITCH(B150,"Semana 1",IFERROR(INDEX('🔄 Rotação Duplas'!$D$8:$D$17,MATCH(D150,'🔄 Rotação Duplas'!$C$8:$C$17,0)),INDEX('🔄 Rotação Duplas'!$C$8:$C$17,MATCH(D150,'🔄 Rotação Duplas'!$D$8:$D$17,0))),"Semana 2",IFERROR(INDEX('🔄 Rotação Duplas'!$D$22:$D$31,MATCH(D150,'🔄 Rotação Duplas'!$C$22:$C$31,0)),INDEX('🔄 Rotação Duplas'!$C$22:$C$31,MATCH(D150,'🔄 Rotação Duplas'!$D$22:$D$31,0))),"Semana 3",IFERROR(INDEX('🔄 Rotação Duplas'!$D$36:$D$45,MATCH(D150,'🔄 Rotação Duplas'!$C$36:$C$45,0)),INDEX('🔄 Rotação Duplas'!$C$36:$C$45,MATCH(D150,'🔄 Rotação Duplas'!$D$36:$D$45,0))),"Semana 4",IFERROR(INDEX('🔄 Rotação Duplas'!$D$50:$D$59,MATCH(D150,'🔄 Rotação Duplas'!$C$50:$C$59,0)),INDEX('🔄 Rotação Duplas'!$C$50:$C$59,MATCH(D150,'🔄 Rotação Duplas'!$D$50:$D$59,0))),"Semana 5",IFERROR(INDEX('🔄 Rotação Duplas'!$D$64:$D$73,MATCH(D150,'🔄 Rotação Duplas'!$C$64:$C$73,0)),INDEX('🔄 Rotação Duplas'!$C$64:$C$73,MATCH(D150,'🔄 Rotação Duplas'!$D$64:$D$73,0))),"Semana 6",IFERROR(INDEX('🔄 Rotação Duplas'!$D$78:$D$87,MATCH(D150,'🔄 Rotação Duplas'!$C$78:$C$87,0)),INDEX('🔄 Rotação Duplas'!$C$78:$C$87,MATCH(D150,'🔄 Rotação Duplas'!$D$78:$D$87,0))),"Semana 7",IFERROR(INDEX('🔄 Rotação Duplas'!$D$92:$D$101,MATCH(D150,'🔄 Rotação Duplas'!$C$92:$C$101,0)),INDEX('🔄 Rotação Duplas'!$C$92:$C$101,MATCH(D150,'🔄 Rotação Duplas'!$D$92:$D$101,0))),"Semana 8",IFERROR(INDEX('🔄 Rotação Duplas'!$D$106:$D$115,MATCH(D150,'🔄 Rotação Duplas'!$C$106:$C$115,0)),INDEX('🔄 Rotação Duplas'!$C$106:$C$115,MATCH(D150,'🔄 Rotação Duplas'!$D$106:$D$115,0)))),""))</f>
        <v/>
      </c>
      <c r="T150">
        <f t="shared" si="13"/>
        <v>0</v>
      </c>
    </row>
    <row r="151" spans="2:20" ht="18" customHeight="1" x14ac:dyDescent="0.2">
      <c r="B151" s="78" t="s">
        <v>60</v>
      </c>
      <c r="C151" s="79" t="str">
        <f t="shared" si="14"/>
        <v>Desafio 8</v>
      </c>
      <c r="D151" s="80" t="str">
        <f>'⚙️ Configuração'!C34</f>
        <v>João Xavier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81">
        <f>(E151*'⚙️ Configuração'!$C$6+F151*'⚙️ Configuração'!$C$7+G151*'⚙️ Configuração'!$C$8+H151*'⚙️ Configuração'!$C$9+I151*'⚙️ Configuração'!$C$10+J151*'⚙️ Configuração'!$C$11)*IF(N151="S",2,1)</f>
        <v>0</v>
      </c>
      <c r="L151" s="90" t="s">
        <v>167</v>
      </c>
      <c r="M151" s="82">
        <f>IF(L151="AT1",'⚙️ Configuração'!$C$14,IF(L151="AT2",'⚙️ Configuração'!$C$15,IF(L151="FI",'⚙️ Configuração'!$C$16,IF(L151="FJ",'⚙️ Configuração'!$C$17,0))))</f>
        <v>0</v>
      </c>
      <c r="N151" s="91" t="s">
        <v>167</v>
      </c>
      <c r="O151" s="92"/>
      <c r="P151" s="83">
        <f>IF(O151="1",'⚙️ Configuração'!$C$21,IF(O151="2",'⚙️ Configuração'!$C$22,IF(O151="3",'⚙️ Configuração'!$C$23,IF(O151="Outro",'⚙️ Configuração'!$C$24,0))))</f>
        <v>0</v>
      </c>
      <c r="Q151" s="84">
        <f t="shared" si="12"/>
        <v>0</v>
      </c>
      <c r="R151" s="40" t="str">
        <f t="shared" si="1"/>
        <v>Semana 1 — ver 🔄</v>
      </c>
      <c r="S151" t="str" cm="1">
        <f t="array" ref="S151">IF(D151="","",IFERROR(_xlfn.SWITCH(B151,"Semana 1",IFERROR(INDEX('🔄 Rotação Duplas'!$D$8:$D$17,MATCH(D151,'🔄 Rotação Duplas'!$C$8:$C$17,0)),INDEX('🔄 Rotação Duplas'!$C$8:$C$17,MATCH(D151,'🔄 Rotação Duplas'!$D$8:$D$17,0))),"Semana 2",IFERROR(INDEX('🔄 Rotação Duplas'!$D$22:$D$31,MATCH(D151,'🔄 Rotação Duplas'!$C$22:$C$31,0)),INDEX('🔄 Rotação Duplas'!$C$22:$C$31,MATCH(D151,'🔄 Rotação Duplas'!$D$22:$D$31,0))),"Semana 3",IFERROR(INDEX('🔄 Rotação Duplas'!$D$36:$D$45,MATCH(D151,'🔄 Rotação Duplas'!$C$36:$C$45,0)),INDEX('🔄 Rotação Duplas'!$C$36:$C$45,MATCH(D151,'🔄 Rotação Duplas'!$D$36:$D$45,0))),"Semana 4",IFERROR(INDEX('🔄 Rotação Duplas'!$D$50:$D$59,MATCH(D151,'🔄 Rotação Duplas'!$C$50:$C$59,0)),INDEX('🔄 Rotação Duplas'!$C$50:$C$59,MATCH(D151,'🔄 Rotação Duplas'!$D$50:$D$59,0))),"Semana 5",IFERROR(INDEX('🔄 Rotação Duplas'!$D$64:$D$73,MATCH(D151,'🔄 Rotação Duplas'!$C$64:$C$73,0)),INDEX('🔄 Rotação Duplas'!$C$64:$C$73,MATCH(D151,'🔄 Rotação Duplas'!$D$64:$D$73,0))),"Semana 6",IFERROR(INDEX('🔄 Rotação Duplas'!$D$78:$D$87,MATCH(D151,'🔄 Rotação Duplas'!$C$78:$C$87,0)),INDEX('🔄 Rotação Duplas'!$C$78:$C$87,MATCH(D151,'🔄 Rotação Duplas'!$D$78:$D$87,0))),"Semana 7",IFERROR(INDEX('🔄 Rotação Duplas'!$D$92:$D$101,MATCH(D151,'🔄 Rotação Duplas'!$C$92:$C$101,0)),INDEX('🔄 Rotação Duplas'!$C$92:$C$101,MATCH(D151,'🔄 Rotação Duplas'!$D$92:$D$101,0))),"Semana 8",IFERROR(INDEX('🔄 Rotação Duplas'!$D$106:$D$115,MATCH(D151,'🔄 Rotação Duplas'!$C$106:$C$115,0)),INDEX('🔄 Rotação Duplas'!$C$106:$C$115,MATCH(D151,'🔄 Rotação Duplas'!$D$106:$D$115,0)))),""))</f>
        <v/>
      </c>
      <c r="T151">
        <f t="shared" si="13"/>
        <v>0</v>
      </c>
    </row>
    <row r="152" spans="2:20" ht="18" customHeight="1" x14ac:dyDescent="0.2">
      <c r="B152" s="85" t="s">
        <v>60</v>
      </c>
      <c r="C152" s="86" t="str">
        <f t="shared" si="14"/>
        <v>Desafio 8</v>
      </c>
      <c r="D152" s="87" t="str">
        <f>'⚙️ Configuração'!C35</f>
        <v>Tomás Carlos</v>
      </c>
      <c r="E152" s="50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81">
        <f>(E152*'⚙️ Configuração'!$C$6+F152*'⚙️ Configuração'!$C$7+G152*'⚙️ Configuração'!$C$8+H152*'⚙️ Configuração'!$C$9+I152*'⚙️ Configuração'!$C$10+J152*'⚙️ Configuração'!$C$11)*IF(N152="S",2,1)</f>
        <v>0</v>
      </c>
      <c r="L152" s="90" t="s">
        <v>167</v>
      </c>
      <c r="M152" s="82">
        <f>IF(L152="AT1",'⚙️ Configuração'!$C$14,IF(L152="AT2",'⚙️ Configuração'!$C$15,IF(L152="FI",'⚙️ Configuração'!$C$16,IF(L152="FJ",'⚙️ Configuração'!$C$17,0))))</f>
        <v>0</v>
      </c>
      <c r="N152" s="91" t="s">
        <v>167</v>
      </c>
      <c r="O152" s="92"/>
      <c r="P152" s="83">
        <f>IF(O152="1",'⚙️ Configuração'!$C$21,IF(O152="2",'⚙️ Configuração'!$C$22,IF(O152="3",'⚙️ Configuração'!$C$23,IF(O152="Outro",'⚙️ Configuração'!$C$24,0))))</f>
        <v>0</v>
      </c>
      <c r="Q152" s="84">
        <f t="shared" si="12"/>
        <v>0</v>
      </c>
      <c r="R152" s="40" t="str">
        <f t="shared" si="1"/>
        <v>Semana 1 — ver 🔄</v>
      </c>
      <c r="S152" t="str" cm="1">
        <f t="array" ref="S152">IF(D152="","",IFERROR(_xlfn.SWITCH(B152,"Semana 1",IFERROR(INDEX('🔄 Rotação Duplas'!$D$8:$D$17,MATCH(D152,'🔄 Rotação Duplas'!$C$8:$C$17,0)),INDEX('🔄 Rotação Duplas'!$C$8:$C$17,MATCH(D152,'🔄 Rotação Duplas'!$D$8:$D$17,0))),"Semana 2",IFERROR(INDEX('🔄 Rotação Duplas'!$D$22:$D$31,MATCH(D152,'🔄 Rotação Duplas'!$C$22:$C$31,0)),INDEX('🔄 Rotação Duplas'!$C$22:$C$31,MATCH(D152,'🔄 Rotação Duplas'!$D$22:$D$31,0))),"Semana 3",IFERROR(INDEX('🔄 Rotação Duplas'!$D$36:$D$45,MATCH(D152,'🔄 Rotação Duplas'!$C$36:$C$45,0)),INDEX('🔄 Rotação Duplas'!$C$36:$C$45,MATCH(D152,'🔄 Rotação Duplas'!$D$36:$D$45,0))),"Semana 4",IFERROR(INDEX('🔄 Rotação Duplas'!$D$50:$D$59,MATCH(D152,'🔄 Rotação Duplas'!$C$50:$C$59,0)),INDEX('🔄 Rotação Duplas'!$C$50:$C$59,MATCH(D152,'🔄 Rotação Duplas'!$D$50:$D$59,0))),"Semana 5",IFERROR(INDEX('🔄 Rotação Duplas'!$D$64:$D$73,MATCH(D152,'🔄 Rotação Duplas'!$C$64:$C$73,0)),INDEX('🔄 Rotação Duplas'!$C$64:$C$73,MATCH(D152,'🔄 Rotação Duplas'!$D$64:$D$73,0))),"Semana 6",IFERROR(INDEX('🔄 Rotação Duplas'!$D$78:$D$87,MATCH(D152,'🔄 Rotação Duplas'!$C$78:$C$87,0)),INDEX('🔄 Rotação Duplas'!$C$78:$C$87,MATCH(D152,'🔄 Rotação Duplas'!$D$78:$D$87,0))),"Semana 7",IFERROR(INDEX('🔄 Rotação Duplas'!$D$92:$D$101,MATCH(D152,'🔄 Rotação Duplas'!$C$92:$C$101,0)),INDEX('🔄 Rotação Duplas'!$C$92:$C$101,MATCH(D152,'🔄 Rotação Duplas'!$D$92:$D$101,0))),"Semana 8",IFERROR(INDEX('🔄 Rotação Duplas'!$D$106:$D$115,MATCH(D152,'🔄 Rotação Duplas'!$C$106:$C$115,0)),INDEX('🔄 Rotação Duplas'!$C$106:$C$115,MATCH(D152,'🔄 Rotação Duplas'!$D$106:$D$115,0)))),""))</f>
        <v/>
      </c>
      <c r="T152">
        <f t="shared" si="13"/>
        <v>0</v>
      </c>
    </row>
    <row r="153" spans="2:20" ht="18" customHeight="1" x14ac:dyDescent="0.2">
      <c r="B153" s="78" t="s">
        <v>60</v>
      </c>
      <c r="C153" s="79" t="str">
        <f t="shared" si="14"/>
        <v>Desafio 8</v>
      </c>
      <c r="D153" s="80" t="str">
        <f>'⚙️ Configuração'!C36</f>
        <v>Alexandra Correia</v>
      </c>
      <c r="E153" s="50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81">
        <f>(E153*'⚙️ Configuração'!$C$6+F153*'⚙️ Configuração'!$C$7+G153*'⚙️ Configuração'!$C$8+H153*'⚙️ Configuração'!$C$9+I153*'⚙️ Configuração'!$C$10+J153*'⚙️ Configuração'!$C$11)*IF(N153="S",2,1)</f>
        <v>0</v>
      </c>
      <c r="L153" s="90" t="s">
        <v>167</v>
      </c>
      <c r="M153" s="82">
        <f>IF(L153="AT1",'⚙️ Configuração'!$C$14,IF(L153="AT2",'⚙️ Configuração'!$C$15,IF(L153="FI",'⚙️ Configuração'!$C$16,IF(L153="FJ",'⚙️ Configuração'!$C$17,0))))</f>
        <v>0</v>
      </c>
      <c r="N153" s="91" t="s">
        <v>167</v>
      </c>
      <c r="O153" s="92"/>
      <c r="P153" s="83">
        <f>IF(O153="1",'⚙️ Configuração'!$C$21,IF(O153="2",'⚙️ Configuração'!$C$22,IF(O153="3",'⚙️ Configuração'!$C$23,IF(O153="Outro",'⚙️ Configuração'!$C$24,0))))</f>
        <v>0</v>
      </c>
      <c r="Q153" s="84">
        <f t="shared" si="12"/>
        <v>0</v>
      </c>
      <c r="R153" s="40" t="str">
        <f t="shared" si="1"/>
        <v>Semana 1 — ver 🔄</v>
      </c>
      <c r="S153" t="str" cm="1">
        <f t="array" ref="S153">IF(D153="","",IFERROR(_xlfn.SWITCH(B153,"Semana 1",IFERROR(INDEX('🔄 Rotação Duplas'!$D$8:$D$17,MATCH(D153,'🔄 Rotação Duplas'!$C$8:$C$17,0)),INDEX('🔄 Rotação Duplas'!$C$8:$C$17,MATCH(D153,'🔄 Rotação Duplas'!$D$8:$D$17,0))),"Semana 2",IFERROR(INDEX('🔄 Rotação Duplas'!$D$22:$D$31,MATCH(D153,'🔄 Rotação Duplas'!$C$22:$C$31,0)),INDEX('🔄 Rotação Duplas'!$C$22:$C$31,MATCH(D153,'🔄 Rotação Duplas'!$D$22:$D$31,0))),"Semana 3",IFERROR(INDEX('🔄 Rotação Duplas'!$D$36:$D$45,MATCH(D153,'🔄 Rotação Duplas'!$C$36:$C$45,0)),INDEX('🔄 Rotação Duplas'!$C$36:$C$45,MATCH(D153,'🔄 Rotação Duplas'!$D$36:$D$45,0))),"Semana 4",IFERROR(INDEX('🔄 Rotação Duplas'!$D$50:$D$59,MATCH(D153,'🔄 Rotação Duplas'!$C$50:$C$59,0)),INDEX('🔄 Rotação Duplas'!$C$50:$C$59,MATCH(D153,'🔄 Rotação Duplas'!$D$50:$D$59,0))),"Semana 5",IFERROR(INDEX('🔄 Rotação Duplas'!$D$64:$D$73,MATCH(D153,'🔄 Rotação Duplas'!$C$64:$C$73,0)),INDEX('🔄 Rotação Duplas'!$C$64:$C$73,MATCH(D153,'🔄 Rotação Duplas'!$D$64:$D$73,0))),"Semana 6",IFERROR(INDEX('🔄 Rotação Duplas'!$D$78:$D$87,MATCH(D153,'🔄 Rotação Duplas'!$C$78:$C$87,0)),INDEX('🔄 Rotação Duplas'!$C$78:$C$87,MATCH(D153,'🔄 Rotação Duplas'!$D$78:$D$87,0))),"Semana 7",IFERROR(INDEX('🔄 Rotação Duplas'!$D$92:$D$101,MATCH(D153,'🔄 Rotação Duplas'!$C$92:$C$101,0)),INDEX('🔄 Rotação Duplas'!$C$92:$C$101,MATCH(D153,'🔄 Rotação Duplas'!$D$92:$D$101,0))),"Semana 8",IFERROR(INDEX('🔄 Rotação Duplas'!$D$106:$D$115,MATCH(D153,'🔄 Rotação Duplas'!$C$106:$C$115,0)),INDEX('🔄 Rotação Duplas'!$C$106:$C$115,MATCH(D153,'🔄 Rotação Duplas'!$D$106:$D$115,0)))),""))</f>
        <v/>
      </c>
      <c r="T153">
        <f t="shared" si="13"/>
        <v>0</v>
      </c>
    </row>
    <row r="154" spans="2:20" ht="18" customHeight="1" x14ac:dyDescent="0.2">
      <c r="B154" s="85" t="s">
        <v>60</v>
      </c>
      <c r="C154" s="86" t="str">
        <f t="shared" si="14"/>
        <v>Desafio 8</v>
      </c>
      <c r="D154" s="87" t="str">
        <f>'⚙️ Configuração'!C37</f>
        <v>Carla Barata</v>
      </c>
      <c r="E154" s="50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81">
        <f>(E154*'⚙️ Configuração'!$C$6+F154*'⚙️ Configuração'!$C$7+G154*'⚙️ Configuração'!$C$8+H154*'⚙️ Configuração'!$C$9+I154*'⚙️ Configuração'!$C$10+J154*'⚙️ Configuração'!$C$11)*IF(N154="S",2,1)</f>
        <v>0</v>
      </c>
      <c r="L154" s="90" t="s">
        <v>167</v>
      </c>
      <c r="M154" s="82">
        <f>IF(L154="AT1",'⚙️ Configuração'!$C$14,IF(L154="AT2",'⚙️ Configuração'!$C$15,IF(L154="FI",'⚙️ Configuração'!$C$16,IF(L154="FJ",'⚙️ Configuração'!$C$17,0))))</f>
        <v>0</v>
      </c>
      <c r="N154" s="91" t="s">
        <v>167</v>
      </c>
      <c r="O154" s="92"/>
      <c r="P154" s="83">
        <f>IF(O154="1",'⚙️ Configuração'!$C$21,IF(O154="2",'⚙️ Configuração'!$C$22,IF(O154="3",'⚙️ Configuração'!$C$23,IF(O154="Outro",'⚙️ Configuração'!$C$24,0))))</f>
        <v>0</v>
      </c>
      <c r="Q154" s="84">
        <f t="shared" si="12"/>
        <v>0</v>
      </c>
      <c r="R154" s="40" t="str">
        <f t="shared" si="1"/>
        <v>Semana 1 — ver 🔄</v>
      </c>
      <c r="S154" t="str" cm="1">
        <f t="array" ref="S154">IF(D154="","",IFERROR(_xlfn.SWITCH(B154,"Semana 1",IFERROR(INDEX('🔄 Rotação Duplas'!$D$8:$D$17,MATCH(D154,'🔄 Rotação Duplas'!$C$8:$C$17,0)),INDEX('🔄 Rotação Duplas'!$C$8:$C$17,MATCH(D154,'🔄 Rotação Duplas'!$D$8:$D$17,0))),"Semana 2",IFERROR(INDEX('🔄 Rotação Duplas'!$D$22:$D$31,MATCH(D154,'🔄 Rotação Duplas'!$C$22:$C$31,0)),INDEX('🔄 Rotação Duplas'!$C$22:$C$31,MATCH(D154,'🔄 Rotação Duplas'!$D$22:$D$31,0))),"Semana 3",IFERROR(INDEX('🔄 Rotação Duplas'!$D$36:$D$45,MATCH(D154,'🔄 Rotação Duplas'!$C$36:$C$45,0)),INDEX('🔄 Rotação Duplas'!$C$36:$C$45,MATCH(D154,'🔄 Rotação Duplas'!$D$36:$D$45,0))),"Semana 4",IFERROR(INDEX('🔄 Rotação Duplas'!$D$50:$D$59,MATCH(D154,'🔄 Rotação Duplas'!$C$50:$C$59,0)),INDEX('🔄 Rotação Duplas'!$C$50:$C$59,MATCH(D154,'🔄 Rotação Duplas'!$D$50:$D$59,0))),"Semana 5",IFERROR(INDEX('🔄 Rotação Duplas'!$D$64:$D$73,MATCH(D154,'🔄 Rotação Duplas'!$C$64:$C$73,0)),INDEX('🔄 Rotação Duplas'!$C$64:$C$73,MATCH(D154,'🔄 Rotação Duplas'!$D$64:$D$73,0))),"Semana 6",IFERROR(INDEX('🔄 Rotação Duplas'!$D$78:$D$87,MATCH(D154,'🔄 Rotação Duplas'!$C$78:$C$87,0)),INDEX('🔄 Rotação Duplas'!$C$78:$C$87,MATCH(D154,'🔄 Rotação Duplas'!$D$78:$D$87,0))),"Semana 7",IFERROR(INDEX('🔄 Rotação Duplas'!$D$92:$D$101,MATCH(D154,'🔄 Rotação Duplas'!$C$92:$C$101,0)),INDEX('🔄 Rotação Duplas'!$C$92:$C$101,MATCH(D154,'🔄 Rotação Duplas'!$D$92:$D$101,0))),"Semana 8",IFERROR(INDEX('🔄 Rotação Duplas'!$D$106:$D$115,MATCH(D154,'🔄 Rotação Duplas'!$C$106:$C$115,0)),INDEX('🔄 Rotação Duplas'!$C$106:$C$115,MATCH(D154,'🔄 Rotação Duplas'!$D$106:$D$115,0)))),""))</f>
        <v/>
      </c>
      <c r="T154">
        <f t="shared" si="13"/>
        <v>0</v>
      </c>
    </row>
    <row r="155" spans="2:20" ht="18" customHeight="1" x14ac:dyDescent="0.2">
      <c r="B155" s="78" t="s">
        <v>60</v>
      </c>
      <c r="C155" s="79" t="str">
        <f t="shared" si="14"/>
        <v>Desafio 8</v>
      </c>
      <c r="D155" s="80" t="str">
        <f>'⚙️ Configuração'!C38</f>
        <v>Denise Filipe</v>
      </c>
      <c r="E155" s="50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81">
        <f>(E155*'⚙️ Configuração'!$C$6+F155*'⚙️ Configuração'!$C$7+G155*'⚙️ Configuração'!$C$8+H155*'⚙️ Configuração'!$C$9+I155*'⚙️ Configuração'!$C$10+J155*'⚙️ Configuração'!$C$11)*IF(N155="S",2,1)</f>
        <v>0</v>
      </c>
      <c r="L155" s="90" t="s">
        <v>167</v>
      </c>
      <c r="M155" s="82">
        <f>IF(L155="AT1",'⚙️ Configuração'!$C$14,IF(L155="AT2",'⚙️ Configuração'!$C$15,IF(L155="FI",'⚙️ Configuração'!$C$16,IF(L155="FJ",'⚙️ Configuração'!$C$17,0))))</f>
        <v>0</v>
      </c>
      <c r="N155" s="91" t="s">
        <v>167</v>
      </c>
      <c r="O155" s="92"/>
      <c r="P155" s="83">
        <f>IF(O155="1",'⚙️ Configuração'!$C$21,IF(O155="2",'⚙️ Configuração'!$C$22,IF(O155="3",'⚙️ Configuração'!$C$23,IF(O155="Outro",'⚙️ Configuração'!$C$24,0))))</f>
        <v>0</v>
      </c>
      <c r="Q155" s="84">
        <f t="shared" si="12"/>
        <v>0</v>
      </c>
      <c r="R155" s="40" t="str">
        <f t="shared" si="1"/>
        <v>Semana 1 — ver 🔄</v>
      </c>
      <c r="S155" t="str" cm="1">
        <f t="array" ref="S155">IF(D155="","",IFERROR(_xlfn.SWITCH(B155,"Semana 1",IFERROR(INDEX('🔄 Rotação Duplas'!$D$8:$D$17,MATCH(D155,'🔄 Rotação Duplas'!$C$8:$C$17,0)),INDEX('🔄 Rotação Duplas'!$C$8:$C$17,MATCH(D155,'🔄 Rotação Duplas'!$D$8:$D$17,0))),"Semana 2",IFERROR(INDEX('🔄 Rotação Duplas'!$D$22:$D$31,MATCH(D155,'🔄 Rotação Duplas'!$C$22:$C$31,0)),INDEX('🔄 Rotação Duplas'!$C$22:$C$31,MATCH(D155,'🔄 Rotação Duplas'!$D$22:$D$31,0))),"Semana 3",IFERROR(INDEX('🔄 Rotação Duplas'!$D$36:$D$45,MATCH(D155,'🔄 Rotação Duplas'!$C$36:$C$45,0)),INDEX('🔄 Rotação Duplas'!$C$36:$C$45,MATCH(D155,'🔄 Rotação Duplas'!$D$36:$D$45,0))),"Semana 4",IFERROR(INDEX('🔄 Rotação Duplas'!$D$50:$D$59,MATCH(D155,'🔄 Rotação Duplas'!$C$50:$C$59,0)),INDEX('🔄 Rotação Duplas'!$C$50:$C$59,MATCH(D155,'🔄 Rotação Duplas'!$D$50:$D$59,0))),"Semana 5",IFERROR(INDEX('🔄 Rotação Duplas'!$D$64:$D$73,MATCH(D155,'🔄 Rotação Duplas'!$C$64:$C$73,0)),INDEX('🔄 Rotação Duplas'!$C$64:$C$73,MATCH(D155,'🔄 Rotação Duplas'!$D$64:$D$73,0))),"Semana 6",IFERROR(INDEX('🔄 Rotação Duplas'!$D$78:$D$87,MATCH(D155,'🔄 Rotação Duplas'!$C$78:$C$87,0)),INDEX('🔄 Rotação Duplas'!$C$78:$C$87,MATCH(D155,'🔄 Rotação Duplas'!$D$78:$D$87,0))),"Semana 7",IFERROR(INDEX('🔄 Rotação Duplas'!$D$92:$D$101,MATCH(D155,'🔄 Rotação Duplas'!$C$92:$C$101,0)),INDEX('🔄 Rotação Duplas'!$C$92:$C$101,MATCH(D155,'🔄 Rotação Duplas'!$D$92:$D$101,0))),"Semana 8",IFERROR(INDEX('🔄 Rotação Duplas'!$D$106:$D$115,MATCH(D155,'🔄 Rotação Duplas'!$C$106:$C$115,0)),INDEX('🔄 Rotação Duplas'!$C$106:$C$115,MATCH(D155,'🔄 Rotação Duplas'!$D$106:$D$115,0)))),""))</f>
        <v/>
      </c>
      <c r="T155">
        <f t="shared" si="13"/>
        <v>0</v>
      </c>
    </row>
    <row r="156" spans="2:20" ht="18" customHeight="1" x14ac:dyDescent="0.2">
      <c r="B156" s="85" t="s">
        <v>60</v>
      </c>
      <c r="C156" s="86" t="str">
        <f t="shared" si="14"/>
        <v>Desafio 8</v>
      </c>
      <c r="D156" s="87" t="str">
        <f>'⚙️ Configuração'!C39</f>
        <v>Fátima Rodriguez</v>
      </c>
      <c r="E156" s="50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81">
        <f>(E156*'⚙️ Configuração'!$C$6+F156*'⚙️ Configuração'!$C$7+G156*'⚙️ Configuração'!$C$8+H156*'⚙️ Configuração'!$C$9+I156*'⚙️ Configuração'!$C$10+J156*'⚙️ Configuração'!$C$11)*IF(N156="S",2,1)</f>
        <v>0</v>
      </c>
      <c r="L156" s="90" t="s">
        <v>167</v>
      </c>
      <c r="M156" s="82">
        <f>IF(L156="AT1",'⚙️ Configuração'!$C$14,IF(L156="AT2",'⚙️ Configuração'!$C$15,IF(L156="FI",'⚙️ Configuração'!$C$16,IF(L156="FJ",'⚙️ Configuração'!$C$17,0))))</f>
        <v>0</v>
      </c>
      <c r="N156" s="91" t="s">
        <v>167</v>
      </c>
      <c r="O156" s="92"/>
      <c r="P156" s="83">
        <f>IF(O156="1",'⚙️ Configuração'!$C$21,IF(O156="2",'⚙️ Configuração'!$C$22,IF(O156="3",'⚙️ Configuração'!$C$23,IF(O156="Outro",'⚙️ Configuração'!$C$24,0))))</f>
        <v>0</v>
      </c>
      <c r="Q156" s="84">
        <f t="shared" si="12"/>
        <v>0</v>
      </c>
      <c r="R156" s="40" t="str">
        <f t="shared" si="1"/>
        <v>Semana 1 — ver 🔄</v>
      </c>
      <c r="S156" t="str" cm="1">
        <f t="array" ref="S156">IF(D156="","",IFERROR(_xlfn.SWITCH(B156,"Semana 1",IFERROR(INDEX('🔄 Rotação Duplas'!$D$8:$D$17,MATCH(D156,'🔄 Rotação Duplas'!$C$8:$C$17,0)),INDEX('🔄 Rotação Duplas'!$C$8:$C$17,MATCH(D156,'🔄 Rotação Duplas'!$D$8:$D$17,0))),"Semana 2",IFERROR(INDEX('🔄 Rotação Duplas'!$D$22:$D$31,MATCH(D156,'🔄 Rotação Duplas'!$C$22:$C$31,0)),INDEX('🔄 Rotação Duplas'!$C$22:$C$31,MATCH(D156,'🔄 Rotação Duplas'!$D$22:$D$31,0))),"Semana 3",IFERROR(INDEX('🔄 Rotação Duplas'!$D$36:$D$45,MATCH(D156,'🔄 Rotação Duplas'!$C$36:$C$45,0)),INDEX('🔄 Rotação Duplas'!$C$36:$C$45,MATCH(D156,'🔄 Rotação Duplas'!$D$36:$D$45,0))),"Semana 4",IFERROR(INDEX('🔄 Rotação Duplas'!$D$50:$D$59,MATCH(D156,'🔄 Rotação Duplas'!$C$50:$C$59,0)),INDEX('🔄 Rotação Duplas'!$C$50:$C$59,MATCH(D156,'🔄 Rotação Duplas'!$D$50:$D$59,0))),"Semana 5",IFERROR(INDEX('🔄 Rotação Duplas'!$D$64:$D$73,MATCH(D156,'🔄 Rotação Duplas'!$C$64:$C$73,0)),INDEX('🔄 Rotação Duplas'!$C$64:$C$73,MATCH(D156,'🔄 Rotação Duplas'!$D$64:$D$73,0))),"Semana 6",IFERROR(INDEX('🔄 Rotação Duplas'!$D$78:$D$87,MATCH(D156,'🔄 Rotação Duplas'!$C$78:$C$87,0)),INDEX('🔄 Rotação Duplas'!$C$78:$C$87,MATCH(D156,'🔄 Rotação Duplas'!$D$78:$D$87,0))),"Semana 7",IFERROR(INDEX('🔄 Rotação Duplas'!$D$92:$D$101,MATCH(D156,'🔄 Rotação Duplas'!$C$92:$C$101,0)),INDEX('🔄 Rotação Duplas'!$C$92:$C$101,MATCH(D156,'🔄 Rotação Duplas'!$D$92:$D$101,0))),"Semana 8",IFERROR(INDEX('🔄 Rotação Duplas'!$D$106:$D$115,MATCH(D156,'🔄 Rotação Duplas'!$C$106:$C$115,0)),INDEX('🔄 Rotação Duplas'!$C$106:$C$115,MATCH(D156,'🔄 Rotação Duplas'!$D$106:$D$115,0)))),""))</f>
        <v/>
      </c>
      <c r="T156">
        <f t="shared" si="13"/>
        <v>0</v>
      </c>
    </row>
    <row r="157" spans="2:20" ht="18" customHeight="1" x14ac:dyDescent="0.2">
      <c r="B157" s="78" t="s">
        <v>60</v>
      </c>
      <c r="C157" s="79" t="str">
        <f t="shared" si="14"/>
        <v>Desafio 8</v>
      </c>
      <c r="D157" s="80" t="str">
        <f>'⚙️ Configuração'!C40</f>
        <v>Maria João Travassos</v>
      </c>
      <c r="E157" s="50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81">
        <f>(E157*'⚙️ Configuração'!$C$6+F157*'⚙️ Configuração'!$C$7+G157*'⚙️ Configuração'!$C$8+H157*'⚙️ Configuração'!$C$9+I157*'⚙️ Configuração'!$C$10+J157*'⚙️ Configuração'!$C$11)*IF(N157="S",2,1)</f>
        <v>0</v>
      </c>
      <c r="L157" s="90" t="s">
        <v>167</v>
      </c>
      <c r="M157" s="82">
        <f>IF(L157="AT1",'⚙️ Configuração'!$C$14,IF(L157="AT2",'⚙️ Configuração'!$C$15,IF(L157="FI",'⚙️ Configuração'!$C$16,IF(L157="FJ",'⚙️ Configuração'!$C$17,0))))</f>
        <v>0</v>
      </c>
      <c r="N157" s="91" t="s">
        <v>167</v>
      </c>
      <c r="O157" s="92"/>
      <c r="P157" s="83">
        <f>IF(O157="1",'⚙️ Configuração'!$C$21,IF(O157="2",'⚙️ Configuração'!$C$22,IF(O157="3",'⚙️ Configuração'!$C$23,IF(O157="Outro",'⚙️ Configuração'!$C$24,0))))</f>
        <v>0</v>
      </c>
      <c r="Q157" s="84">
        <f t="shared" si="12"/>
        <v>0</v>
      </c>
      <c r="R157" s="40" t="str">
        <f t="shared" si="1"/>
        <v>Semana 1 — ver 🔄</v>
      </c>
      <c r="S157" t="str" cm="1">
        <f t="array" ref="S157">IF(D157="","",IFERROR(_xlfn.SWITCH(B157,"Semana 1",IFERROR(INDEX('🔄 Rotação Duplas'!$D$8:$D$17,MATCH(D157,'🔄 Rotação Duplas'!$C$8:$C$17,0)),INDEX('🔄 Rotação Duplas'!$C$8:$C$17,MATCH(D157,'🔄 Rotação Duplas'!$D$8:$D$17,0))),"Semana 2",IFERROR(INDEX('🔄 Rotação Duplas'!$D$22:$D$31,MATCH(D157,'🔄 Rotação Duplas'!$C$22:$C$31,0)),INDEX('🔄 Rotação Duplas'!$C$22:$C$31,MATCH(D157,'🔄 Rotação Duplas'!$D$22:$D$31,0))),"Semana 3",IFERROR(INDEX('🔄 Rotação Duplas'!$D$36:$D$45,MATCH(D157,'🔄 Rotação Duplas'!$C$36:$C$45,0)),INDEX('🔄 Rotação Duplas'!$C$36:$C$45,MATCH(D157,'🔄 Rotação Duplas'!$D$36:$D$45,0))),"Semana 4",IFERROR(INDEX('🔄 Rotação Duplas'!$D$50:$D$59,MATCH(D157,'🔄 Rotação Duplas'!$C$50:$C$59,0)),INDEX('🔄 Rotação Duplas'!$C$50:$C$59,MATCH(D157,'🔄 Rotação Duplas'!$D$50:$D$59,0))),"Semana 5",IFERROR(INDEX('🔄 Rotação Duplas'!$D$64:$D$73,MATCH(D157,'🔄 Rotação Duplas'!$C$64:$C$73,0)),INDEX('🔄 Rotação Duplas'!$C$64:$C$73,MATCH(D157,'🔄 Rotação Duplas'!$D$64:$D$73,0))),"Semana 6",IFERROR(INDEX('🔄 Rotação Duplas'!$D$78:$D$87,MATCH(D157,'🔄 Rotação Duplas'!$C$78:$C$87,0)),INDEX('🔄 Rotação Duplas'!$C$78:$C$87,MATCH(D157,'🔄 Rotação Duplas'!$D$78:$D$87,0))),"Semana 7",IFERROR(INDEX('🔄 Rotação Duplas'!$D$92:$D$101,MATCH(D157,'🔄 Rotação Duplas'!$C$92:$C$101,0)),INDEX('🔄 Rotação Duplas'!$C$92:$C$101,MATCH(D157,'🔄 Rotação Duplas'!$D$92:$D$101,0))),"Semana 8",IFERROR(INDEX('🔄 Rotação Duplas'!$D$106:$D$115,MATCH(D157,'🔄 Rotação Duplas'!$C$106:$C$115,0)),INDEX('🔄 Rotação Duplas'!$C$106:$C$115,MATCH(D157,'🔄 Rotação Duplas'!$D$106:$D$115,0)))),""))</f>
        <v/>
      </c>
      <c r="T157">
        <f t="shared" si="13"/>
        <v>0</v>
      </c>
    </row>
    <row r="158" spans="2:20" ht="18" customHeight="1" x14ac:dyDescent="0.2">
      <c r="B158" s="85" t="s">
        <v>60</v>
      </c>
      <c r="C158" s="86" t="str">
        <f t="shared" si="14"/>
        <v>Desafio 8</v>
      </c>
      <c r="D158" s="87" t="str">
        <f>'⚙️ Configuração'!C41</f>
        <v>Marta Torres</v>
      </c>
      <c r="E158" s="50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81">
        <f>(E158*'⚙️ Configuração'!$C$6+F158*'⚙️ Configuração'!$C$7+G158*'⚙️ Configuração'!$C$8+H158*'⚙️ Configuração'!$C$9+I158*'⚙️ Configuração'!$C$10+J158*'⚙️ Configuração'!$C$11)*IF(N158="S",2,1)</f>
        <v>0</v>
      </c>
      <c r="L158" s="90" t="s">
        <v>167</v>
      </c>
      <c r="M158" s="82">
        <f>IF(L158="AT1",'⚙️ Configuração'!$C$14,IF(L158="AT2",'⚙️ Configuração'!$C$15,IF(L158="FI",'⚙️ Configuração'!$C$16,IF(L158="FJ",'⚙️ Configuração'!$C$17,0))))</f>
        <v>0</v>
      </c>
      <c r="N158" s="91" t="s">
        <v>167</v>
      </c>
      <c r="O158" s="92"/>
      <c r="P158" s="83">
        <f>IF(O158="1",'⚙️ Configuração'!$C$21,IF(O158="2",'⚙️ Configuração'!$C$22,IF(O158="3",'⚙️ Configuração'!$C$23,IF(O158="Outro",'⚙️ Configuração'!$C$24,0))))</f>
        <v>0</v>
      </c>
      <c r="Q158" s="84">
        <f t="shared" si="12"/>
        <v>0</v>
      </c>
      <c r="R158" s="40" t="str">
        <f t="shared" si="1"/>
        <v>Semana 1 — ver 🔄</v>
      </c>
      <c r="S158" t="str" cm="1">
        <f t="array" ref="S158">IF(D158="","",IFERROR(_xlfn.SWITCH(B158,"Semana 1",IFERROR(INDEX('🔄 Rotação Duplas'!$D$8:$D$17,MATCH(D158,'🔄 Rotação Duplas'!$C$8:$C$17,0)),INDEX('🔄 Rotação Duplas'!$C$8:$C$17,MATCH(D158,'🔄 Rotação Duplas'!$D$8:$D$17,0))),"Semana 2",IFERROR(INDEX('🔄 Rotação Duplas'!$D$22:$D$31,MATCH(D158,'🔄 Rotação Duplas'!$C$22:$C$31,0)),INDEX('🔄 Rotação Duplas'!$C$22:$C$31,MATCH(D158,'🔄 Rotação Duplas'!$D$22:$D$31,0))),"Semana 3",IFERROR(INDEX('🔄 Rotação Duplas'!$D$36:$D$45,MATCH(D158,'🔄 Rotação Duplas'!$C$36:$C$45,0)),INDEX('🔄 Rotação Duplas'!$C$36:$C$45,MATCH(D158,'🔄 Rotação Duplas'!$D$36:$D$45,0))),"Semana 4",IFERROR(INDEX('🔄 Rotação Duplas'!$D$50:$D$59,MATCH(D158,'🔄 Rotação Duplas'!$C$50:$C$59,0)),INDEX('🔄 Rotação Duplas'!$C$50:$C$59,MATCH(D158,'🔄 Rotação Duplas'!$D$50:$D$59,0))),"Semana 5",IFERROR(INDEX('🔄 Rotação Duplas'!$D$64:$D$73,MATCH(D158,'🔄 Rotação Duplas'!$C$64:$C$73,0)),INDEX('🔄 Rotação Duplas'!$C$64:$C$73,MATCH(D158,'🔄 Rotação Duplas'!$D$64:$D$73,0))),"Semana 6",IFERROR(INDEX('🔄 Rotação Duplas'!$D$78:$D$87,MATCH(D158,'🔄 Rotação Duplas'!$C$78:$C$87,0)),INDEX('🔄 Rotação Duplas'!$C$78:$C$87,MATCH(D158,'🔄 Rotação Duplas'!$D$78:$D$87,0))),"Semana 7",IFERROR(INDEX('🔄 Rotação Duplas'!$D$92:$D$101,MATCH(D158,'🔄 Rotação Duplas'!$C$92:$C$101,0)),INDEX('🔄 Rotação Duplas'!$C$92:$C$101,MATCH(D158,'🔄 Rotação Duplas'!$D$92:$D$101,0))),"Semana 8",IFERROR(INDEX('🔄 Rotação Duplas'!$D$106:$D$115,MATCH(D158,'🔄 Rotação Duplas'!$C$106:$C$115,0)),INDEX('🔄 Rotação Duplas'!$C$106:$C$115,MATCH(D158,'🔄 Rotação Duplas'!$D$106:$D$115,0)))),""))</f>
        <v/>
      </c>
      <c r="T158">
        <f t="shared" si="13"/>
        <v>0</v>
      </c>
    </row>
    <row r="159" spans="2:20" ht="18" customHeight="1" x14ac:dyDescent="0.2">
      <c r="B159" s="78" t="s">
        <v>60</v>
      </c>
      <c r="C159" s="79" t="str">
        <f t="shared" si="14"/>
        <v>Desafio 8</v>
      </c>
      <c r="D159" s="80" t="str">
        <f>'⚙️ Configuração'!C42</f>
        <v>Patricia Isabel Silva</v>
      </c>
      <c r="E159" s="50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81">
        <f>(E159*'⚙️ Configuração'!$C$6+F159*'⚙️ Configuração'!$C$7+G159*'⚙️ Configuração'!$C$8+H159*'⚙️ Configuração'!$C$9+I159*'⚙️ Configuração'!$C$10+J159*'⚙️ Configuração'!$C$11)*IF(N159="S",2,1)</f>
        <v>0</v>
      </c>
      <c r="L159" s="90" t="s">
        <v>167</v>
      </c>
      <c r="M159" s="82">
        <f>IF(L159="AT1",'⚙️ Configuração'!$C$14,IF(L159="AT2",'⚙️ Configuração'!$C$15,IF(L159="FI",'⚙️ Configuração'!$C$16,IF(L159="FJ",'⚙️ Configuração'!$C$17,0))))</f>
        <v>0</v>
      </c>
      <c r="N159" s="91" t="s">
        <v>167</v>
      </c>
      <c r="O159" s="92"/>
      <c r="P159" s="83">
        <f>IF(O159="1",'⚙️ Configuração'!$C$21,IF(O159="2",'⚙️ Configuração'!$C$22,IF(O159="3",'⚙️ Configuração'!$C$23,IF(O159="Outro",'⚙️ Configuração'!$C$24,0))))</f>
        <v>0</v>
      </c>
      <c r="Q159" s="84">
        <f t="shared" si="12"/>
        <v>0</v>
      </c>
      <c r="R159" s="40" t="str">
        <f t="shared" si="1"/>
        <v>Semana 1 — ver 🔄</v>
      </c>
      <c r="S159" t="str" cm="1">
        <f t="array" ref="S159">IF(D159="","",IFERROR(_xlfn.SWITCH(B159,"Semana 1",IFERROR(INDEX('🔄 Rotação Duplas'!$D$8:$D$17,MATCH(D159,'🔄 Rotação Duplas'!$C$8:$C$17,0)),INDEX('🔄 Rotação Duplas'!$C$8:$C$17,MATCH(D159,'🔄 Rotação Duplas'!$D$8:$D$17,0))),"Semana 2",IFERROR(INDEX('🔄 Rotação Duplas'!$D$22:$D$31,MATCH(D159,'🔄 Rotação Duplas'!$C$22:$C$31,0)),INDEX('🔄 Rotação Duplas'!$C$22:$C$31,MATCH(D159,'🔄 Rotação Duplas'!$D$22:$D$31,0))),"Semana 3",IFERROR(INDEX('🔄 Rotação Duplas'!$D$36:$D$45,MATCH(D159,'🔄 Rotação Duplas'!$C$36:$C$45,0)),INDEX('🔄 Rotação Duplas'!$C$36:$C$45,MATCH(D159,'🔄 Rotação Duplas'!$D$36:$D$45,0))),"Semana 4",IFERROR(INDEX('🔄 Rotação Duplas'!$D$50:$D$59,MATCH(D159,'🔄 Rotação Duplas'!$C$50:$C$59,0)),INDEX('🔄 Rotação Duplas'!$C$50:$C$59,MATCH(D159,'🔄 Rotação Duplas'!$D$50:$D$59,0))),"Semana 5",IFERROR(INDEX('🔄 Rotação Duplas'!$D$64:$D$73,MATCH(D159,'🔄 Rotação Duplas'!$C$64:$C$73,0)),INDEX('🔄 Rotação Duplas'!$C$64:$C$73,MATCH(D159,'🔄 Rotação Duplas'!$D$64:$D$73,0))),"Semana 6",IFERROR(INDEX('🔄 Rotação Duplas'!$D$78:$D$87,MATCH(D159,'🔄 Rotação Duplas'!$C$78:$C$87,0)),INDEX('🔄 Rotação Duplas'!$C$78:$C$87,MATCH(D159,'🔄 Rotação Duplas'!$D$78:$D$87,0))),"Semana 7",IFERROR(INDEX('🔄 Rotação Duplas'!$D$92:$D$101,MATCH(D159,'🔄 Rotação Duplas'!$C$92:$C$101,0)),INDEX('🔄 Rotação Duplas'!$C$92:$C$101,MATCH(D159,'🔄 Rotação Duplas'!$D$92:$D$101,0))),"Semana 8",IFERROR(INDEX('🔄 Rotação Duplas'!$D$106:$D$115,MATCH(D159,'🔄 Rotação Duplas'!$C$106:$C$115,0)),INDEX('🔄 Rotação Duplas'!$C$106:$C$115,MATCH(D159,'🔄 Rotação Duplas'!$D$106:$D$115,0)))),""))</f>
        <v/>
      </c>
      <c r="T159">
        <f t="shared" si="13"/>
        <v>0</v>
      </c>
    </row>
    <row r="160" spans="2:20" ht="18" customHeight="1" x14ac:dyDescent="0.2">
      <c r="B160" s="85" t="s">
        <v>60</v>
      </c>
      <c r="C160" s="86" t="str">
        <f t="shared" si="14"/>
        <v>Desafio 8</v>
      </c>
      <c r="D160" s="87" t="str">
        <f>'⚙️ Configuração'!C43</f>
        <v>Paula Martins</v>
      </c>
      <c r="E160" s="50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81">
        <f>(E160*'⚙️ Configuração'!$C$6+F160*'⚙️ Configuração'!$C$7+G160*'⚙️ Configuração'!$C$8+H160*'⚙️ Configuração'!$C$9+I160*'⚙️ Configuração'!$C$10+J160*'⚙️ Configuração'!$C$11)*IF(N160="S",2,1)</f>
        <v>0</v>
      </c>
      <c r="L160" s="90" t="s">
        <v>167</v>
      </c>
      <c r="M160" s="82">
        <f>IF(L160="AT1",'⚙️ Configuração'!$C$14,IF(L160="AT2",'⚙️ Configuração'!$C$15,IF(L160="FI",'⚙️ Configuração'!$C$16,IF(L160="FJ",'⚙️ Configuração'!$C$17,0))))</f>
        <v>0</v>
      </c>
      <c r="N160" s="91" t="s">
        <v>167</v>
      </c>
      <c r="O160" s="92"/>
      <c r="P160" s="83">
        <f>IF(O160="1",'⚙️ Configuração'!$C$21,IF(O160="2",'⚙️ Configuração'!$C$22,IF(O160="3",'⚙️ Configuração'!$C$23,IF(O160="Outro",'⚙️ Configuração'!$C$24,0))))</f>
        <v>0</v>
      </c>
      <c r="Q160" s="84">
        <f t="shared" si="12"/>
        <v>0</v>
      </c>
      <c r="R160" s="40" t="str">
        <f t="shared" si="1"/>
        <v>Semana 1 — ver 🔄</v>
      </c>
      <c r="S160" t="str" cm="1">
        <f t="array" ref="S160">IF(D160="","",IFERROR(_xlfn.SWITCH(B160,"Semana 1",IFERROR(INDEX('🔄 Rotação Duplas'!$D$8:$D$17,MATCH(D160,'🔄 Rotação Duplas'!$C$8:$C$17,0)),INDEX('🔄 Rotação Duplas'!$C$8:$C$17,MATCH(D160,'🔄 Rotação Duplas'!$D$8:$D$17,0))),"Semana 2",IFERROR(INDEX('🔄 Rotação Duplas'!$D$22:$D$31,MATCH(D160,'🔄 Rotação Duplas'!$C$22:$C$31,0)),INDEX('🔄 Rotação Duplas'!$C$22:$C$31,MATCH(D160,'🔄 Rotação Duplas'!$D$22:$D$31,0))),"Semana 3",IFERROR(INDEX('🔄 Rotação Duplas'!$D$36:$D$45,MATCH(D160,'🔄 Rotação Duplas'!$C$36:$C$45,0)),INDEX('🔄 Rotação Duplas'!$C$36:$C$45,MATCH(D160,'🔄 Rotação Duplas'!$D$36:$D$45,0))),"Semana 4",IFERROR(INDEX('🔄 Rotação Duplas'!$D$50:$D$59,MATCH(D160,'🔄 Rotação Duplas'!$C$50:$C$59,0)),INDEX('🔄 Rotação Duplas'!$C$50:$C$59,MATCH(D160,'🔄 Rotação Duplas'!$D$50:$D$59,0))),"Semana 5",IFERROR(INDEX('🔄 Rotação Duplas'!$D$64:$D$73,MATCH(D160,'🔄 Rotação Duplas'!$C$64:$C$73,0)),INDEX('🔄 Rotação Duplas'!$C$64:$C$73,MATCH(D160,'🔄 Rotação Duplas'!$D$64:$D$73,0))),"Semana 6",IFERROR(INDEX('🔄 Rotação Duplas'!$D$78:$D$87,MATCH(D160,'🔄 Rotação Duplas'!$C$78:$C$87,0)),INDEX('🔄 Rotação Duplas'!$C$78:$C$87,MATCH(D160,'🔄 Rotação Duplas'!$D$78:$D$87,0))),"Semana 7",IFERROR(INDEX('🔄 Rotação Duplas'!$D$92:$D$101,MATCH(D160,'🔄 Rotação Duplas'!$C$92:$C$101,0)),INDEX('🔄 Rotação Duplas'!$C$92:$C$101,MATCH(D160,'🔄 Rotação Duplas'!$D$92:$D$101,0))),"Semana 8",IFERROR(INDEX('🔄 Rotação Duplas'!$D$106:$D$115,MATCH(D160,'🔄 Rotação Duplas'!$C$106:$C$115,0)),INDEX('🔄 Rotação Duplas'!$C$106:$C$115,MATCH(D160,'🔄 Rotação Duplas'!$D$106:$D$115,0)))),""))</f>
        <v/>
      </c>
      <c r="T160">
        <f t="shared" si="13"/>
        <v>0</v>
      </c>
    </row>
    <row r="161" spans="2:20" ht="18" customHeight="1" x14ac:dyDescent="0.2">
      <c r="B161" s="78" t="s">
        <v>60</v>
      </c>
      <c r="C161" s="79" t="str">
        <f t="shared" si="14"/>
        <v>Desafio 8</v>
      </c>
      <c r="D161" s="80" t="str">
        <f>'⚙️ Configuração'!C44</f>
        <v>Paula Miabara</v>
      </c>
      <c r="E161" s="50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81">
        <f>(E161*'⚙️ Configuração'!$C$6+F161*'⚙️ Configuração'!$C$7+G161*'⚙️ Configuração'!$C$8+H161*'⚙️ Configuração'!$C$9+I161*'⚙️ Configuração'!$C$10+J161*'⚙️ Configuração'!$C$11)*IF(N161="S",2,1)</f>
        <v>0</v>
      </c>
      <c r="L161" s="90" t="s">
        <v>167</v>
      </c>
      <c r="M161" s="82">
        <f>IF(L161="AT1",'⚙️ Configuração'!$C$14,IF(L161="AT2",'⚙️ Configuração'!$C$15,IF(L161="FI",'⚙️ Configuração'!$C$16,IF(L161="FJ",'⚙️ Configuração'!$C$17,0))))</f>
        <v>0</v>
      </c>
      <c r="N161" s="91" t="s">
        <v>167</v>
      </c>
      <c r="O161" s="92"/>
      <c r="P161" s="83">
        <f>IF(O161="1",'⚙️ Configuração'!$C$21,IF(O161="2",'⚙️ Configuração'!$C$22,IF(O161="3",'⚙️ Configuração'!$C$23,IF(O161="Outro",'⚙️ Configuração'!$C$24,0))))</f>
        <v>0</v>
      </c>
      <c r="Q161" s="84">
        <f t="shared" si="12"/>
        <v>0</v>
      </c>
      <c r="R161" s="40" t="str">
        <f t="shared" si="1"/>
        <v>Semana 1 — ver 🔄</v>
      </c>
      <c r="S161" t="str" cm="1">
        <f t="array" ref="S161">IF(D161="","",IFERROR(_xlfn.SWITCH(B161,"Semana 1",IFERROR(INDEX('🔄 Rotação Duplas'!$D$8:$D$17,MATCH(D161,'🔄 Rotação Duplas'!$C$8:$C$17,0)),INDEX('🔄 Rotação Duplas'!$C$8:$C$17,MATCH(D161,'🔄 Rotação Duplas'!$D$8:$D$17,0))),"Semana 2",IFERROR(INDEX('🔄 Rotação Duplas'!$D$22:$D$31,MATCH(D161,'🔄 Rotação Duplas'!$C$22:$C$31,0)),INDEX('🔄 Rotação Duplas'!$C$22:$C$31,MATCH(D161,'🔄 Rotação Duplas'!$D$22:$D$31,0))),"Semana 3",IFERROR(INDEX('🔄 Rotação Duplas'!$D$36:$D$45,MATCH(D161,'🔄 Rotação Duplas'!$C$36:$C$45,0)),INDEX('🔄 Rotação Duplas'!$C$36:$C$45,MATCH(D161,'🔄 Rotação Duplas'!$D$36:$D$45,0))),"Semana 4",IFERROR(INDEX('🔄 Rotação Duplas'!$D$50:$D$59,MATCH(D161,'🔄 Rotação Duplas'!$C$50:$C$59,0)),INDEX('🔄 Rotação Duplas'!$C$50:$C$59,MATCH(D161,'🔄 Rotação Duplas'!$D$50:$D$59,0))),"Semana 5",IFERROR(INDEX('🔄 Rotação Duplas'!$D$64:$D$73,MATCH(D161,'🔄 Rotação Duplas'!$C$64:$C$73,0)),INDEX('🔄 Rotação Duplas'!$C$64:$C$73,MATCH(D161,'🔄 Rotação Duplas'!$D$64:$D$73,0))),"Semana 6",IFERROR(INDEX('🔄 Rotação Duplas'!$D$78:$D$87,MATCH(D161,'🔄 Rotação Duplas'!$C$78:$C$87,0)),INDEX('🔄 Rotação Duplas'!$C$78:$C$87,MATCH(D161,'🔄 Rotação Duplas'!$D$78:$D$87,0))),"Semana 7",IFERROR(INDEX('🔄 Rotação Duplas'!$D$92:$D$101,MATCH(D161,'🔄 Rotação Duplas'!$C$92:$C$101,0)),INDEX('🔄 Rotação Duplas'!$C$92:$C$101,MATCH(D161,'🔄 Rotação Duplas'!$D$92:$D$101,0))),"Semana 8",IFERROR(INDEX('🔄 Rotação Duplas'!$D$106:$D$115,MATCH(D161,'🔄 Rotação Duplas'!$C$106:$C$115,0)),INDEX('🔄 Rotação Duplas'!$C$106:$C$115,MATCH(D161,'🔄 Rotação Duplas'!$D$106:$D$115,0)))),""))</f>
        <v/>
      </c>
      <c r="T161">
        <f t="shared" si="13"/>
        <v>0</v>
      </c>
    </row>
    <row r="162" spans="2:20" ht="18" customHeight="1" x14ac:dyDescent="0.2">
      <c r="B162" s="85" t="s">
        <v>60</v>
      </c>
      <c r="C162" s="86" t="str">
        <f t="shared" si="14"/>
        <v>Desafio 8</v>
      </c>
      <c r="D162" s="87" t="str">
        <f>'⚙️ Configuração'!C45</f>
        <v>Rita Carmo</v>
      </c>
      <c r="E162" s="50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81">
        <f>(E162*'⚙️ Configuração'!$C$6+F162*'⚙️ Configuração'!$C$7+G162*'⚙️ Configuração'!$C$8+H162*'⚙️ Configuração'!$C$9+I162*'⚙️ Configuração'!$C$10+J162*'⚙️ Configuração'!$C$11)*IF(N162="S",2,1)</f>
        <v>0</v>
      </c>
      <c r="L162" s="90" t="s">
        <v>167</v>
      </c>
      <c r="M162" s="82">
        <f>IF(L162="AT1",'⚙️ Configuração'!$C$14,IF(L162="AT2",'⚙️ Configuração'!$C$15,IF(L162="FI",'⚙️ Configuração'!$C$16,IF(L162="FJ",'⚙️ Configuração'!$C$17,0))))</f>
        <v>0</v>
      </c>
      <c r="N162" s="91" t="s">
        <v>167</v>
      </c>
      <c r="O162" s="92"/>
      <c r="P162" s="83">
        <f>IF(O162="1",'⚙️ Configuração'!$C$21,IF(O162="2",'⚙️ Configuração'!$C$22,IF(O162="3",'⚙️ Configuração'!$C$23,IF(O162="Outro",'⚙️ Configuração'!$C$24,0))))</f>
        <v>0</v>
      </c>
      <c r="Q162" s="84">
        <f t="shared" si="12"/>
        <v>0</v>
      </c>
      <c r="R162" s="40" t="str">
        <f t="shared" si="1"/>
        <v>Semana 1 — ver 🔄</v>
      </c>
      <c r="S162" t="str" cm="1">
        <f t="array" ref="S162">IF(D162="","",IFERROR(_xlfn.SWITCH(B162,"Semana 1",IFERROR(INDEX('🔄 Rotação Duplas'!$D$8:$D$17,MATCH(D162,'🔄 Rotação Duplas'!$C$8:$C$17,0)),INDEX('🔄 Rotação Duplas'!$C$8:$C$17,MATCH(D162,'🔄 Rotação Duplas'!$D$8:$D$17,0))),"Semana 2",IFERROR(INDEX('🔄 Rotação Duplas'!$D$22:$D$31,MATCH(D162,'🔄 Rotação Duplas'!$C$22:$C$31,0)),INDEX('🔄 Rotação Duplas'!$C$22:$C$31,MATCH(D162,'🔄 Rotação Duplas'!$D$22:$D$31,0))),"Semana 3",IFERROR(INDEX('🔄 Rotação Duplas'!$D$36:$D$45,MATCH(D162,'🔄 Rotação Duplas'!$C$36:$C$45,0)),INDEX('🔄 Rotação Duplas'!$C$36:$C$45,MATCH(D162,'🔄 Rotação Duplas'!$D$36:$D$45,0))),"Semana 4",IFERROR(INDEX('🔄 Rotação Duplas'!$D$50:$D$59,MATCH(D162,'🔄 Rotação Duplas'!$C$50:$C$59,0)),INDEX('🔄 Rotação Duplas'!$C$50:$C$59,MATCH(D162,'🔄 Rotação Duplas'!$D$50:$D$59,0))),"Semana 5",IFERROR(INDEX('🔄 Rotação Duplas'!$D$64:$D$73,MATCH(D162,'🔄 Rotação Duplas'!$C$64:$C$73,0)),INDEX('🔄 Rotação Duplas'!$C$64:$C$73,MATCH(D162,'🔄 Rotação Duplas'!$D$64:$D$73,0))),"Semana 6",IFERROR(INDEX('🔄 Rotação Duplas'!$D$78:$D$87,MATCH(D162,'🔄 Rotação Duplas'!$C$78:$C$87,0)),INDEX('🔄 Rotação Duplas'!$C$78:$C$87,MATCH(D162,'🔄 Rotação Duplas'!$D$78:$D$87,0))),"Semana 7",IFERROR(INDEX('🔄 Rotação Duplas'!$D$92:$D$101,MATCH(D162,'🔄 Rotação Duplas'!$C$92:$C$101,0)),INDEX('🔄 Rotação Duplas'!$C$92:$C$101,MATCH(D162,'🔄 Rotação Duplas'!$D$92:$D$101,0))),"Semana 8",IFERROR(INDEX('🔄 Rotação Duplas'!$D$106:$D$115,MATCH(D162,'🔄 Rotação Duplas'!$C$106:$C$115,0)),INDEX('🔄 Rotação Duplas'!$C$106:$C$115,MATCH(D162,'🔄 Rotação Duplas'!$D$106:$D$115,0)))),""))</f>
        <v/>
      </c>
      <c r="T162">
        <f t="shared" si="13"/>
        <v>0</v>
      </c>
    </row>
    <row r="163" spans="2:20" ht="18" customHeight="1" x14ac:dyDescent="0.2">
      <c r="B163" s="78" t="s">
        <v>60</v>
      </c>
      <c r="C163" s="79" t="str">
        <f t="shared" si="14"/>
        <v>Desafio 8</v>
      </c>
      <c r="D163" s="80" t="str">
        <f>'⚙️ Configuração'!C46</f>
        <v>William Fernandes</v>
      </c>
      <c r="E163" s="50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81">
        <f>(E163*'⚙️ Configuração'!$C$6+F163*'⚙️ Configuração'!$C$7+G163*'⚙️ Configuração'!$C$8+H163*'⚙️ Configuração'!$C$9+I163*'⚙️ Configuração'!$C$10+J163*'⚙️ Configuração'!$C$11)*IF(N163="S",2,1)</f>
        <v>0</v>
      </c>
      <c r="L163" s="90" t="s">
        <v>167</v>
      </c>
      <c r="M163" s="82">
        <f>IF(L163="AT1",'⚙️ Configuração'!$C$14,IF(L163="AT2",'⚙️ Configuração'!$C$15,IF(L163="FI",'⚙️ Configuração'!$C$16,IF(L163="FJ",'⚙️ Configuração'!$C$17,0))))</f>
        <v>0</v>
      </c>
      <c r="N163" s="91" t="s">
        <v>167</v>
      </c>
      <c r="O163" s="92"/>
      <c r="P163" s="83">
        <f>IF(O163="1",'⚙️ Configuração'!$C$21,IF(O163="2",'⚙️ Configuração'!$C$22,IF(O163="3",'⚙️ Configuração'!$C$23,IF(O163="Outro",'⚙️ Configuração'!$C$24,0))))</f>
        <v>0</v>
      </c>
      <c r="Q163" s="84">
        <f t="shared" si="12"/>
        <v>0</v>
      </c>
      <c r="R163" s="40" t="str">
        <f t="shared" si="1"/>
        <v>Semana 1 — ver 🔄</v>
      </c>
      <c r="S163" t="str" cm="1">
        <f t="array" ref="S163">IF(D163="","",IFERROR(_xlfn.SWITCH(B163,"Semana 1",IFERROR(INDEX('🔄 Rotação Duplas'!$D$8:$D$17,MATCH(D163,'🔄 Rotação Duplas'!$C$8:$C$17,0)),INDEX('🔄 Rotação Duplas'!$C$8:$C$17,MATCH(D163,'🔄 Rotação Duplas'!$D$8:$D$17,0))),"Semana 2",IFERROR(INDEX('🔄 Rotação Duplas'!$D$22:$D$31,MATCH(D163,'🔄 Rotação Duplas'!$C$22:$C$31,0)),INDEX('🔄 Rotação Duplas'!$C$22:$C$31,MATCH(D163,'🔄 Rotação Duplas'!$D$22:$D$31,0))),"Semana 3",IFERROR(INDEX('🔄 Rotação Duplas'!$D$36:$D$45,MATCH(D163,'🔄 Rotação Duplas'!$C$36:$C$45,0)),INDEX('🔄 Rotação Duplas'!$C$36:$C$45,MATCH(D163,'🔄 Rotação Duplas'!$D$36:$D$45,0))),"Semana 4",IFERROR(INDEX('🔄 Rotação Duplas'!$D$50:$D$59,MATCH(D163,'🔄 Rotação Duplas'!$C$50:$C$59,0)),INDEX('🔄 Rotação Duplas'!$C$50:$C$59,MATCH(D163,'🔄 Rotação Duplas'!$D$50:$D$59,0))),"Semana 5",IFERROR(INDEX('🔄 Rotação Duplas'!$D$64:$D$73,MATCH(D163,'🔄 Rotação Duplas'!$C$64:$C$73,0)),INDEX('🔄 Rotação Duplas'!$C$64:$C$73,MATCH(D163,'🔄 Rotação Duplas'!$D$64:$D$73,0))),"Semana 6",IFERROR(INDEX('🔄 Rotação Duplas'!$D$78:$D$87,MATCH(D163,'🔄 Rotação Duplas'!$C$78:$C$87,0)),INDEX('🔄 Rotação Duplas'!$C$78:$C$87,MATCH(D163,'🔄 Rotação Duplas'!$D$78:$D$87,0))),"Semana 7",IFERROR(INDEX('🔄 Rotação Duplas'!$D$92:$D$101,MATCH(D163,'🔄 Rotação Duplas'!$C$92:$C$101,0)),INDEX('🔄 Rotação Duplas'!$C$92:$C$101,MATCH(D163,'🔄 Rotação Duplas'!$D$92:$D$101,0))),"Semana 8",IFERROR(INDEX('🔄 Rotação Duplas'!$D$106:$D$115,MATCH(D163,'🔄 Rotação Duplas'!$C$106:$C$115,0)),INDEX('🔄 Rotação Duplas'!$C$106:$C$115,MATCH(D163,'🔄 Rotação Duplas'!$D$106:$D$115,0)))),""))</f>
        <v/>
      </c>
      <c r="T163">
        <f t="shared" si="13"/>
        <v>0</v>
      </c>
    </row>
    <row r="164" spans="2:20" ht="18" customHeight="1" x14ac:dyDescent="0.2">
      <c r="B164" s="85" t="s">
        <v>60</v>
      </c>
      <c r="C164" s="86" t="str">
        <f t="shared" si="14"/>
        <v>Desafio 8</v>
      </c>
      <c r="D164" s="87" t="str">
        <f>'⚙️ Configuração'!C47</f>
        <v>-</v>
      </c>
      <c r="E164" s="50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81">
        <f>(E164*'⚙️ Configuração'!$C$6+F164*'⚙️ Configuração'!$C$7+G164*'⚙️ Configuração'!$C$8+H164*'⚙️ Configuração'!$C$9+I164*'⚙️ Configuração'!$C$10+J164*'⚙️ Configuração'!$C$11)*IF(N164="S",2,1)</f>
        <v>0</v>
      </c>
      <c r="L164" s="90" t="s">
        <v>167</v>
      </c>
      <c r="M164" s="82">
        <f>IF(L164="AT1",'⚙️ Configuração'!$C$14,IF(L164="AT2",'⚙️ Configuração'!$C$15,IF(L164="FI",'⚙️ Configuração'!$C$16,IF(L164="FJ",'⚙️ Configuração'!$C$17,0))))</f>
        <v>0</v>
      </c>
      <c r="N164" s="91" t="s">
        <v>167</v>
      </c>
      <c r="O164" s="92"/>
      <c r="P164" s="83">
        <f>IF(O164="1",'⚙️ Configuração'!$C$21,IF(O164="2",'⚙️ Configuração'!$C$22,IF(O164="3",'⚙️ Configuração'!$C$23,IF(O164="Outro",'⚙️ Configuração'!$C$24,0))))</f>
        <v>0</v>
      </c>
      <c r="Q164" s="84">
        <f t="shared" si="12"/>
        <v>0</v>
      </c>
      <c r="R164" s="40" t="str">
        <f t="shared" si="1"/>
        <v>Semana 1 — ver 🔄</v>
      </c>
      <c r="S164" t="str" cm="1">
        <f t="array" ref="S164">IF(D164="","",IFERROR(_xlfn.SWITCH(B164,"Semana 1",IFERROR(INDEX('🔄 Rotação Duplas'!$D$8:$D$17,MATCH(D164,'🔄 Rotação Duplas'!$C$8:$C$17,0)),INDEX('🔄 Rotação Duplas'!$C$8:$C$17,MATCH(D164,'🔄 Rotação Duplas'!$D$8:$D$17,0))),"Semana 2",IFERROR(INDEX('🔄 Rotação Duplas'!$D$22:$D$31,MATCH(D164,'🔄 Rotação Duplas'!$C$22:$C$31,0)),INDEX('🔄 Rotação Duplas'!$C$22:$C$31,MATCH(D164,'🔄 Rotação Duplas'!$D$22:$D$31,0))),"Semana 3",IFERROR(INDEX('🔄 Rotação Duplas'!$D$36:$D$45,MATCH(D164,'🔄 Rotação Duplas'!$C$36:$C$45,0)),INDEX('🔄 Rotação Duplas'!$C$36:$C$45,MATCH(D164,'🔄 Rotação Duplas'!$D$36:$D$45,0))),"Semana 4",IFERROR(INDEX('🔄 Rotação Duplas'!$D$50:$D$59,MATCH(D164,'🔄 Rotação Duplas'!$C$50:$C$59,0)),INDEX('🔄 Rotação Duplas'!$C$50:$C$59,MATCH(D164,'🔄 Rotação Duplas'!$D$50:$D$59,0))),"Semana 5",IFERROR(INDEX('🔄 Rotação Duplas'!$D$64:$D$73,MATCH(D164,'🔄 Rotação Duplas'!$C$64:$C$73,0)),INDEX('🔄 Rotação Duplas'!$C$64:$C$73,MATCH(D164,'🔄 Rotação Duplas'!$D$64:$D$73,0))),"Semana 6",IFERROR(INDEX('🔄 Rotação Duplas'!$D$78:$D$87,MATCH(D164,'🔄 Rotação Duplas'!$C$78:$C$87,0)),INDEX('🔄 Rotação Duplas'!$C$78:$C$87,MATCH(D164,'🔄 Rotação Duplas'!$D$78:$D$87,0))),"Semana 7",IFERROR(INDEX('🔄 Rotação Duplas'!$D$92:$D$101,MATCH(D164,'🔄 Rotação Duplas'!$C$92:$C$101,0)),INDEX('🔄 Rotação Duplas'!$C$92:$C$101,MATCH(D164,'🔄 Rotação Duplas'!$D$92:$D$101,0))),"Semana 8",IFERROR(INDEX('🔄 Rotação Duplas'!$D$106:$D$115,MATCH(D164,'🔄 Rotação Duplas'!$C$106:$C$115,0)),INDEX('🔄 Rotação Duplas'!$C$106:$C$115,MATCH(D164,'🔄 Rotação Duplas'!$D$106:$D$115,0)))),""))</f>
        <v/>
      </c>
      <c r="T164">
        <f t="shared" si="13"/>
        <v>0</v>
      </c>
    </row>
    <row r="165" spans="2:20" ht="18" customHeight="1" x14ac:dyDescent="0.2">
      <c r="B165" s="78" t="s">
        <v>60</v>
      </c>
      <c r="C165" s="79" t="str">
        <f t="shared" si="14"/>
        <v>Desafio 8</v>
      </c>
      <c r="D165" s="80" t="str">
        <f>'⚙️ Configuração'!C48</f>
        <v>-</v>
      </c>
      <c r="E165" s="50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81">
        <f>(E165*'⚙️ Configuração'!$C$6+F165*'⚙️ Configuração'!$C$7+G165*'⚙️ Configuração'!$C$8+H165*'⚙️ Configuração'!$C$9+I165*'⚙️ Configuração'!$C$10+J165*'⚙️ Configuração'!$C$11)*IF(N165="S",2,1)</f>
        <v>0</v>
      </c>
      <c r="L165" s="90" t="s">
        <v>167</v>
      </c>
      <c r="M165" s="82">
        <f>IF(L165="AT1",'⚙️ Configuração'!$C$14,IF(L165="AT2",'⚙️ Configuração'!$C$15,IF(L165="FI",'⚙️ Configuração'!$C$16,IF(L165="FJ",'⚙️ Configuração'!$C$17,0))))</f>
        <v>0</v>
      </c>
      <c r="N165" s="91" t="s">
        <v>167</v>
      </c>
      <c r="O165" s="92"/>
      <c r="P165" s="83">
        <f>IF(O165="1",'⚙️ Configuração'!$C$21,IF(O165="2",'⚙️ Configuração'!$C$22,IF(O165="3",'⚙️ Configuração'!$C$23,IF(O165="Outro",'⚙️ Configuração'!$C$24,0))))</f>
        <v>0</v>
      </c>
      <c r="Q165" s="84">
        <f t="shared" si="12"/>
        <v>0</v>
      </c>
      <c r="R165" s="40" t="str">
        <f t="shared" si="1"/>
        <v>Semana 1 — ver 🔄</v>
      </c>
      <c r="S165" t="str" cm="1">
        <f t="array" ref="S165">IF(D165="","",IFERROR(_xlfn.SWITCH(B165,"Semana 1",IFERROR(INDEX('🔄 Rotação Duplas'!$D$8:$D$17,MATCH(D165,'🔄 Rotação Duplas'!$C$8:$C$17,0)),INDEX('🔄 Rotação Duplas'!$C$8:$C$17,MATCH(D165,'🔄 Rotação Duplas'!$D$8:$D$17,0))),"Semana 2",IFERROR(INDEX('🔄 Rotação Duplas'!$D$22:$D$31,MATCH(D165,'🔄 Rotação Duplas'!$C$22:$C$31,0)),INDEX('🔄 Rotação Duplas'!$C$22:$C$31,MATCH(D165,'🔄 Rotação Duplas'!$D$22:$D$31,0))),"Semana 3",IFERROR(INDEX('🔄 Rotação Duplas'!$D$36:$D$45,MATCH(D165,'🔄 Rotação Duplas'!$C$36:$C$45,0)),INDEX('🔄 Rotação Duplas'!$C$36:$C$45,MATCH(D165,'🔄 Rotação Duplas'!$D$36:$D$45,0))),"Semana 4",IFERROR(INDEX('🔄 Rotação Duplas'!$D$50:$D$59,MATCH(D165,'🔄 Rotação Duplas'!$C$50:$C$59,0)),INDEX('🔄 Rotação Duplas'!$C$50:$C$59,MATCH(D165,'🔄 Rotação Duplas'!$D$50:$D$59,0))),"Semana 5",IFERROR(INDEX('🔄 Rotação Duplas'!$D$64:$D$73,MATCH(D165,'🔄 Rotação Duplas'!$C$64:$C$73,0)),INDEX('🔄 Rotação Duplas'!$C$64:$C$73,MATCH(D165,'🔄 Rotação Duplas'!$D$64:$D$73,0))),"Semana 6",IFERROR(INDEX('🔄 Rotação Duplas'!$D$78:$D$87,MATCH(D165,'🔄 Rotação Duplas'!$C$78:$C$87,0)),INDEX('🔄 Rotação Duplas'!$C$78:$C$87,MATCH(D165,'🔄 Rotação Duplas'!$D$78:$D$87,0))),"Semana 7",IFERROR(INDEX('🔄 Rotação Duplas'!$D$92:$D$101,MATCH(D165,'🔄 Rotação Duplas'!$C$92:$C$101,0)),INDEX('🔄 Rotação Duplas'!$C$92:$C$101,MATCH(D165,'🔄 Rotação Duplas'!$D$92:$D$101,0))),"Semana 8",IFERROR(INDEX('🔄 Rotação Duplas'!$D$106:$D$115,MATCH(D165,'🔄 Rotação Duplas'!$C$106:$C$115,0)),INDEX('🔄 Rotação Duplas'!$C$106:$C$115,MATCH(D165,'🔄 Rotação Duplas'!$D$106:$D$115,0)))),""))</f>
        <v/>
      </c>
      <c r="T165">
        <f t="shared" si="13"/>
        <v>0</v>
      </c>
    </row>
    <row r="166" spans="2:20" ht="18" customHeight="1" x14ac:dyDescent="0.2">
      <c r="B166" s="85" t="s">
        <v>60</v>
      </c>
      <c r="C166" s="86" t="str">
        <f t="shared" si="14"/>
        <v>Desafio 8</v>
      </c>
      <c r="D166" s="87" t="str">
        <f>'⚙️ Configuração'!C49</f>
        <v>-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81">
        <f>(E166*'⚙️ Configuração'!$C$6+F166*'⚙️ Configuração'!$C$7+G166*'⚙️ Configuração'!$C$8+H166*'⚙️ Configuração'!$C$9+I166*'⚙️ Configuração'!$C$10+J166*'⚙️ Configuração'!$C$11)*IF(N166="S",2,1)</f>
        <v>0</v>
      </c>
      <c r="L166" s="90" t="s">
        <v>167</v>
      </c>
      <c r="M166" s="82">
        <f>IF(L166="AT1",'⚙️ Configuração'!$C$14,IF(L166="AT2",'⚙️ Configuração'!$C$15,IF(L166="FI",'⚙️ Configuração'!$C$16,IF(L166="FJ",'⚙️ Configuração'!$C$17,0))))</f>
        <v>0</v>
      </c>
      <c r="N166" s="91" t="s">
        <v>167</v>
      </c>
      <c r="O166" s="92"/>
      <c r="P166" s="83">
        <f>IF(O166="1",'⚙️ Configuração'!$C$21,IF(O166="2",'⚙️ Configuração'!$C$22,IF(O166="3",'⚙️ Configuração'!$C$23,IF(O166="Outro",'⚙️ Configuração'!$C$24,0))))</f>
        <v>0</v>
      </c>
      <c r="Q166" s="84">
        <f t="shared" si="12"/>
        <v>0</v>
      </c>
      <c r="R166" s="40" t="str">
        <f t="shared" si="1"/>
        <v>Semana 1 — ver 🔄</v>
      </c>
      <c r="S166" t="str" cm="1">
        <f t="array" ref="S166">IF(D166="","",IFERROR(_xlfn.SWITCH(B166,"Semana 1",IFERROR(INDEX('🔄 Rotação Duplas'!$D$8:$D$17,MATCH(D166,'🔄 Rotação Duplas'!$C$8:$C$17,0)),INDEX('🔄 Rotação Duplas'!$C$8:$C$17,MATCH(D166,'🔄 Rotação Duplas'!$D$8:$D$17,0))),"Semana 2",IFERROR(INDEX('🔄 Rotação Duplas'!$D$22:$D$31,MATCH(D166,'🔄 Rotação Duplas'!$C$22:$C$31,0)),INDEX('🔄 Rotação Duplas'!$C$22:$C$31,MATCH(D166,'🔄 Rotação Duplas'!$D$22:$D$31,0))),"Semana 3",IFERROR(INDEX('🔄 Rotação Duplas'!$D$36:$D$45,MATCH(D166,'🔄 Rotação Duplas'!$C$36:$C$45,0)),INDEX('🔄 Rotação Duplas'!$C$36:$C$45,MATCH(D166,'🔄 Rotação Duplas'!$D$36:$D$45,0))),"Semana 4",IFERROR(INDEX('🔄 Rotação Duplas'!$D$50:$D$59,MATCH(D166,'🔄 Rotação Duplas'!$C$50:$C$59,0)),INDEX('🔄 Rotação Duplas'!$C$50:$C$59,MATCH(D166,'🔄 Rotação Duplas'!$D$50:$D$59,0))),"Semana 5",IFERROR(INDEX('🔄 Rotação Duplas'!$D$64:$D$73,MATCH(D166,'🔄 Rotação Duplas'!$C$64:$C$73,0)),INDEX('🔄 Rotação Duplas'!$C$64:$C$73,MATCH(D166,'🔄 Rotação Duplas'!$D$64:$D$73,0))),"Semana 6",IFERROR(INDEX('🔄 Rotação Duplas'!$D$78:$D$87,MATCH(D166,'🔄 Rotação Duplas'!$C$78:$C$87,0)),INDEX('🔄 Rotação Duplas'!$C$78:$C$87,MATCH(D166,'🔄 Rotação Duplas'!$D$78:$D$87,0))),"Semana 7",IFERROR(INDEX('🔄 Rotação Duplas'!$D$92:$D$101,MATCH(D166,'🔄 Rotação Duplas'!$C$92:$C$101,0)),INDEX('🔄 Rotação Duplas'!$C$92:$C$101,MATCH(D166,'🔄 Rotação Duplas'!$D$92:$D$101,0))),"Semana 8",IFERROR(INDEX('🔄 Rotação Duplas'!$D$106:$D$115,MATCH(D166,'🔄 Rotação Duplas'!$C$106:$C$115,0)),INDEX('🔄 Rotação Duplas'!$C$106:$C$115,MATCH(D166,'🔄 Rotação Duplas'!$D$106:$D$115,0)))),""))</f>
        <v/>
      </c>
      <c r="T166">
        <f t="shared" si="13"/>
        <v>0</v>
      </c>
    </row>
    <row r="167" spans="2:20" ht="18" customHeight="1" x14ac:dyDescent="0.2">
      <c r="B167" s="78" t="s">
        <v>73</v>
      </c>
      <c r="C167" s="79" t="str">
        <f t="shared" ref="C167:C186" si="15">"Desafio 9"</f>
        <v>Desafio 9</v>
      </c>
      <c r="D167" s="80" t="str">
        <f>'⚙️ Configuração'!C30</f>
        <v>Carla Cantante</v>
      </c>
      <c r="E167" s="50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81">
        <f>(E167*'⚙️ Configuração'!$C$6+F167*'⚙️ Configuração'!$C$7+G167*'⚙️ Configuração'!$C$8+H167*'⚙️ Configuração'!$C$9+I167*'⚙️ Configuração'!$C$10+J167*'⚙️ Configuração'!$C$11)*IF(N167="S",2,1)</f>
        <v>0</v>
      </c>
      <c r="L167" s="90" t="s">
        <v>167</v>
      </c>
      <c r="M167" s="82">
        <f>IF(L167="AT1",'⚙️ Configuração'!$C$14,IF(L167="AT2",'⚙️ Configuração'!$C$15,IF(L167="FI",'⚙️ Configuração'!$C$16,IF(L167="FJ",'⚙️ Configuração'!$C$17,0))))</f>
        <v>0</v>
      </c>
      <c r="N167" s="91" t="s">
        <v>167</v>
      </c>
      <c r="O167" s="92"/>
      <c r="P167" s="83">
        <f>IF(O167="1",'⚙️ Configuração'!$C$21,IF(O167="2",'⚙️ Configuração'!$C$22,IF(O167="3",'⚙️ Configuração'!$C$23,IF(O167="Outro",'⚙️ Configuração'!$C$24,0))))</f>
        <v>0</v>
      </c>
      <c r="Q167" s="84">
        <f t="shared" si="12"/>
        <v>0</v>
      </c>
      <c r="R167" s="40" t="str">
        <f t="shared" si="1"/>
        <v>Semana 1 — ver 🔄</v>
      </c>
      <c r="S167" t="str" cm="1">
        <f t="array" ref="S167">IF(D167="","",IFERROR(_xlfn.SWITCH(B167,"Semana 1",IFERROR(INDEX('🔄 Rotação Duplas'!$D$8:$D$17,MATCH(D167,'🔄 Rotação Duplas'!$C$8:$C$17,0)),INDEX('🔄 Rotação Duplas'!$C$8:$C$17,MATCH(D167,'🔄 Rotação Duplas'!$D$8:$D$17,0))),"Semana 2",IFERROR(INDEX('🔄 Rotação Duplas'!$D$22:$D$31,MATCH(D167,'🔄 Rotação Duplas'!$C$22:$C$31,0)),INDEX('🔄 Rotação Duplas'!$C$22:$C$31,MATCH(D167,'🔄 Rotação Duplas'!$D$22:$D$31,0))),"Semana 3",IFERROR(INDEX('🔄 Rotação Duplas'!$D$36:$D$45,MATCH(D167,'🔄 Rotação Duplas'!$C$36:$C$45,0)),INDEX('🔄 Rotação Duplas'!$C$36:$C$45,MATCH(D167,'🔄 Rotação Duplas'!$D$36:$D$45,0))),"Semana 4",IFERROR(INDEX('🔄 Rotação Duplas'!$D$50:$D$59,MATCH(D167,'🔄 Rotação Duplas'!$C$50:$C$59,0)),INDEX('🔄 Rotação Duplas'!$C$50:$C$59,MATCH(D167,'🔄 Rotação Duplas'!$D$50:$D$59,0))),"Semana 5",IFERROR(INDEX('🔄 Rotação Duplas'!$D$64:$D$73,MATCH(D167,'🔄 Rotação Duplas'!$C$64:$C$73,0)),INDEX('🔄 Rotação Duplas'!$C$64:$C$73,MATCH(D167,'🔄 Rotação Duplas'!$D$64:$D$73,0))),"Semana 6",IFERROR(INDEX('🔄 Rotação Duplas'!$D$78:$D$87,MATCH(D167,'🔄 Rotação Duplas'!$C$78:$C$87,0)),INDEX('🔄 Rotação Duplas'!$C$78:$C$87,MATCH(D167,'🔄 Rotação Duplas'!$D$78:$D$87,0))),"Semana 7",IFERROR(INDEX('🔄 Rotação Duplas'!$D$92:$D$101,MATCH(D167,'🔄 Rotação Duplas'!$C$92:$C$101,0)),INDEX('🔄 Rotação Duplas'!$C$92:$C$101,MATCH(D167,'🔄 Rotação Duplas'!$D$92:$D$101,0))),"Semana 8",IFERROR(INDEX('🔄 Rotação Duplas'!$D$106:$D$115,MATCH(D167,'🔄 Rotação Duplas'!$C$106:$C$115,0)),INDEX('🔄 Rotação Duplas'!$C$106:$C$115,MATCH(D167,'🔄 Rotação Duplas'!$D$106:$D$115,0)))),""))</f>
        <v/>
      </c>
      <c r="T167">
        <f t="shared" si="13"/>
        <v>0</v>
      </c>
    </row>
    <row r="168" spans="2:20" ht="18" customHeight="1" x14ac:dyDescent="0.2">
      <c r="B168" s="85" t="s">
        <v>73</v>
      </c>
      <c r="C168" s="86" t="str">
        <f t="shared" si="15"/>
        <v>Desafio 9</v>
      </c>
      <c r="D168" s="87" t="str">
        <f>'⚙️ Configuração'!C31</f>
        <v>Elisabete Mendes</v>
      </c>
      <c r="E168" s="50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81">
        <f>(E168*'⚙️ Configuração'!$C$6+F168*'⚙️ Configuração'!$C$7+G168*'⚙️ Configuração'!$C$8+H168*'⚙️ Configuração'!$C$9+I168*'⚙️ Configuração'!$C$10+J168*'⚙️ Configuração'!$C$11)*IF(N168="S",2,1)</f>
        <v>0</v>
      </c>
      <c r="L168" s="90" t="s">
        <v>167</v>
      </c>
      <c r="M168" s="82">
        <f>IF(L168="AT1",'⚙️ Configuração'!$C$14,IF(L168="AT2",'⚙️ Configuração'!$C$15,IF(L168="FI",'⚙️ Configuração'!$C$16,IF(L168="FJ",'⚙️ Configuração'!$C$17,0))))</f>
        <v>0</v>
      </c>
      <c r="N168" s="91" t="s">
        <v>167</v>
      </c>
      <c r="O168" s="92"/>
      <c r="P168" s="83">
        <f>IF(O168="1",'⚙️ Configuração'!$C$21,IF(O168="2",'⚙️ Configuração'!$C$22,IF(O168="3",'⚙️ Configuração'!$C$23,IF(O168="Outro",'⚙️ Configuração'!$C$24,0))))</f>
        <v>0</v>
      </c>
      <c r="Q168" s="84">
        <f t="shared" si="12"/>
        <v>0</v>
      </c>
      <c r="R168" s="40" t="str">
        <f t="shared" si="1"/>
        <v>Semana 1 — ver 🔄</v>
      </c>
      <c r="S168" t="str" cm="1">
        <f t="array" ref="S168">IF(D168="","",IFERROR(_xlfn.SWITCH(B168,"Semana 1",IFERROR(INDEX('🔄 Rotação Duplas'!$D$8:$D$17,MATCH(D168,'🔄 Rotação Duplas'!$C$8:$C$17,0)),INDEX('🔄 Rotação Duplas'!$C$8:$C$17,MATCH(D168,'🔄 Rotação Duplas'!$D$8:$D$17,0))),"Semana 2",IFERROR(INDEX('🔄 Rotação Duplas'!$D$22:$D$31,MATCH(D168,'🔄 Rotação Duplas'!$C$22:$C$31,0)),INDEX('🔄 Rotação Duplas'!$C$22:$C$31,MATCH(D168,'🔄 Rotação Duplas'!$D$22:$D$31,0))),"Semana 3",IFERROR(INDEX('🔄 Rotação Duplas'!$D$36:$D$45,MATCH(D168,'🔄 Rotação Duplas'!$C$36:$C$45,0)),INDEX('🔄 Rotação Duplas'!$C$36:$C$45,MATCH(D168,'🔄 Rotação Duplas'!$D$36:$D$45,0))),"Semana 4",IFERROR(INDEX('🔄 Rotação Duplas'!$D$50:$D$59,MATCH(D168,'🔄 Rotação Duplas'!$C$50:$C$59,0)),INDEX('🔄 Rotação Duplas'!$C$50:$C$59,MATCH(D168,'🔄 Rotação Duplas'!$D$50:$D$59,0))),"Semana 5",IFERROR(INDEX('🔄 Rotação Duplas'!$D$64:$D$73,MATCH(D168,'🔄 Rotação Duplas'!$C$64:$C$73,0)),INDEX('🔄 Rotação Duplas'!$C$64:$C$73,MATCH(D168,'🔄 Rotação Duplas'!$D$64:$D$73,0))),"Semana 6",IFERROR(INDEX('🔄 Rotação Duplas'!$D$78:$D$87,MATCH(D168,'🔄 Rotação Duplas'!$C$78:$C$87,0)),INDEX('🔄 Rotação Duplas'!$C$78:$C$87,MATCH(D168,'🔄 Rotação Duplas'!$D$78:$D$87,0))),"Semana 7",IFERROR(INDEX('🔄 Rotação Duplas'!$D$92:$D$101,MATCH(D168,'🔄 Rotação Duplas'!$C$92:$C$101,0)),INDEX('🔄 Rotação Duplas'!$C$92:$C$101,MATCH(D168,'🔄 Rotação Duplas'!$D$92:$D$101,0))),"Semana 8",IFERROR(INDEX('🔄 Rotação Duplas'!$D$106:$D$115,MATCH(D168,'🔄 Rotação Duplas'!$C$106:$C$115,0)),INDEX('🔄 Rotação Duplas'!$C$106:$C$115,MATCH(D168,'🔄 Rotação Duplas'!$D$106:$D$115,0)))),""))</f>
        <v/>
      </c>
      <c r="T168">
        <f t="shared" si="13"/>
        <v>0</v>
      </c>
    </row>
    <row r="169" spans="2:20" ht="18" customHeight="1" x14ac:dyDescent="0.2">
      <c r="B169" s="78" t="s">
        <v>73</v>
      </c>
      <c r="C169" s="79" t="str">
        <f t="shared" si="15"/>
        <v>Desafio 9</v>
      </c>
      <c r="D169" s="80" t="str">
        <f>'⚙️ Configuração'!C32</f>
        <v>Filipa Cunha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81">
        <f>(E169*'⚙️ Configuração'!$C$6+F169*'⚙️ Configuração'!$C$7+G169*'⚙️ Configuração'!$C$8+H169*'⚙️ Configuração'!$C$9+I169*'⚙️ Configuração'!$C$10+J169*'⚙️ Configuração'!$C$11)*IF(N169="S",2,1)</f>
        <v>0</v>
      </c>
      <c r="L169" s="90" t="s">
        <v>167</v>
      </c>
      <c r="M169" s="82">
        <f>IF(L169="AT1",'⚙️ Configuração'!$C$14,IF(L169="AT2",'⚙️ Configuração'!$C$15,IF(L169="FI",'⚙️ Configuração'!$C$16,IF(L169="FJ",'⚙️ Configuração'!$C$17,0))))</f>
        <v>0</v>
      </c>
      <c r="N169" s="91" t="s">
        <v>167</v>
      </c>
      <c r="O169" s="92"/>
      <c r="P169" s="83">
        <f>IF(O169="1",'⚙️ Configuração'!$C$21,IF(O169="2",'⚙️ Configuração'!$C$22,IF(O169="3",'⚙️ Configuração'!$C$23,IF(O169="Outro",'⚙️ Configuração'!$C$24,0))))</f>
        <v>0</v>
      </c>
      <c r="Q169" s="84">
        <f t="shared" si="12"/>
        <v>0</v>
      </c>
      <c r="R169" s="40" t="str">
        <f t="shared" si="1"/>
        <v>Semana 1 — ver 🔄</v>
      </c>
      <c r="S169" t="str" cm="1">
        <f t="array" ref="S169">IF(D169="","",IFERROR(_xlfn.SWITCH(B169,"Semana 1",IFERROR(INDEX('🔄 Rotação Duplas'!$D$8:$D$17,MATCH(D169,'🔄 Rotação Duplas'!$C$8:$C$17,0)),INDEX('🔄 Rotação Duplas'!$C$8:$C$17,MATCH(D169,'🔄 Rotação Duplas'!$D$8:$D$17,0))),"Semana 2",IFERROR(INDEX('🔄 Rotação Duplas'!$D$22:$D$31,MATCH(D169,'🔄 Rotação Duplas'!$C$22:$C$31,0)),INDEX('🔄 Rotação Duplas'!$C$22:$C$31,MATCH(D169,'🔄 Rotação Duplas'!$D$22:$D$31,0))),"Semana 3",IFERROR(INDEX('🔄 Rotação Duplas'!$D$36:$D$45,MATCH(D169,'🔄 Rotação Duplas'!$C$36:$C$45,0)),INDEX('🔄 Rotação Duplas'!$C$36:$C$45,MATCH(D169,'🔄 Rotação Duplas'!$D$36:$D$45,0))),"Semana 4",IFERROR(INDEX('🔄 Rotação Duplas'!$D$50:$D$59,MATCH(D169,'🔄 Rotação Duplas'!$C$50:$C$59,0)),INDEX('🔄 Rotação Duplas'!$C$50:$C$59,MATCH(D169,'🔄 Rotação Duplas'!$D$50:$D$59,0))),"Semana 5",IFERROR(INDEX('🔄 Rotação Duplas'!$D$64:$D$73,MATCH(D169,'🔄 Rotação Duplas'!$C$64:$C$73,0)),INDEX('🔄 Rotação Duplas'!$C$64:$C$73,MATCH(D169,'🔄 Rotação Duplas'!$D$64:$D$73,0))),"Semana 6",IFERROR(INDEX('🔄 Rotação Duplas'!$D$78:$D$87,MATCH(D169,'🔄 Rotação Duplas'!$C$78:$C$87,0)),INDEX('🔄 Rotação Duplas'!$C$78:$C$87,MATCH(D169,'🔄 Rotação Duplas'!$D$78:$D$87,0))),"Semana 7",IFERROR(INDEX('🔄 Rotação Duplas'!$D$92:$D$101,MATCH(D169,'🔄 Rotação Duplas'!$C$92:$C$101,0)),INDEX('🔄 Rotação Duplas'!$C$92:$C$101,MATCH(D169,'🔄 Rotação Duplas'!$D$92:$D$101,0))),"Semana 8",IFERROR(INDEX('🔄 Rotação Duplas'!$D$106:$D$115,MATCH(D169,'🔄 Rotação Duplas'!$C$106:$C$115,0)),INDEX('🔄 Rotação Duplas'!$C$106:$C$115,MATCH(D169,'🔄 Rotação Duplas'!$D$106:$D$115,0)))),""))</f>
        <v/>
      </c>
      <c r="T169">
        <f t="shared" si="13"/>
        <v>0</v>
      </c>
    </row>
    <row r="170" spans="2:20" ht="18" customHeight="1" x14ac:dyDescent="0.2">
      <c r="B170" s="85" t="s">
        <v>73</v>
      </c>
      <c r="C170" s="86" t="str">
        <f t="shared" si="15"/>
        <v>Desafio 9</v>
      </c>
      <c r="D170" s="87" t="str">
        <f>'⚙️ Configuração'!C33</f>
        <v>Helena Rocha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81">
        <f>(E170*'⚙️ Configuração'!$C$6+F170*'⚙️ Configuração'!$C$7+G170*'⚙️ Configuração'!$C$8+H170*'⚙️ Configuração'!$C$9+I170*'⚙️ Configuração'!$C$10+J170*'⚙️ Configuração'!$C$11)*IF(N170="S",2,1)</f>
        <v>0</v>
      </c>
      <c r="L170" s="90" t="s">
        <v>167</v>
      </c>
      <c r="M170" s="82">
        <f>IF(L170="AT1",'⚙️ Configuração'!$C$14,IF(L170="AT2",'⚙️ Configuração'!$C$15,IF(L170="FI",'⚙️ Configuração'!$C$16,IF(L170="FJ",'⚙️ Configuração'!$C$17,0))))</f>
        <v>0</v>
      </c>
      <c r="N170" s="91" t="s">
        <v>167</v>
      </c>
      <c r="O170" s="92"/>
      <c r="P170" s="83">
        <f>IF(O170="1",'⚙️ Configuração'!$C$21,IF(O170="2",'⚙️ Configuração'!$C$22,IF(O170="3",'⚙️ Configuração'!$C$23,IF(O170="Outro",'⚙️ Configuração'!$C$24,0))))</f>
        <v>0</v>
      </c>
      <c r="Q170" s="84">
        <f t="shared" si="12"/>
        <v>0</v>
      </c>
      <c r="R170" s="40" t="str">
        <f t="shared" si="1"/>
        <v>Semana 1 — ver 🔄</v>
      </c>
      <c r="S170" t="str" cm="1">
        <f t="array" ref="S170">IF(D170="","",IFERROR(_xlfn.SWITCH(B170,"Semana 1",IFERROR(INDEX('🔄 Rotação Duplas'!$D$8:$D$17,MATCH(D170,'🔄 Rotação Duplas'!$C$8:$C$17,0)),INDEX('🔄 Rotação Duplas'!$C$8:$C$17,MATCH(D170,'🔄 Rotação Duplas'!$D$8:$D$17,0))),"Semana 2",IFERROR(INDEX('🔄 Rotação Duplas'!$D$22:$D$31,MATCH(D170,'🔄 Rotação Duplas'!$C$22:$C$31,0)),INDEX('🔄 Rotação Duplas'!$C$22:$C$31,MATCH(D170,'🔄 Rotação Duplas'!$D$22:$D$31,0))),"Semana 3",IFERROR(INDEX('🔄 Rotação Duplas'!$D$36:$D$45,MATCH(D170,'🔄 Rotação Duplas'!$C$36:$C$45,0)),INDEX('🔄 Rotação Duplas'!$C$36:$C$45,MATCH(D170,'🔄 Rotação Duplas'!$D$36:$D$45,0))),"Semana 4",IFERROR(INDEX('🔄 Rotação Duplas'!$D$50:$D$59,MATCH(D170,'🔄 Rotação Duplas'!$C$50:$C$59,0)),INDEX('🔄 Rotação Duplas'!$C$50:$C$59,MATCH(D170,'🔄 Rotação Duplas'!$D$50:$D$59,0))),"Semana 5",IFERROR(INDEX('🔄 Rotação Duplas'!$D$64:$D$73,MATCH(D170,'🔄 Rotação Duplas'!$C$64:$C$73,0)),INDEX('🔄 Rotação Duplas'!$C$64:$C$73,MATCH(D170,'🔄 Rotação Duplas'!$D$64:$D$73,0))),"Semana 6",IFERROR(INDEX('🔄 Rotação Duplas'!$D$78:$D$87,MATCH(D170,'🔄 Rotação Duplas'!$C$78:$C$87,0)),INDEX('🔄 Rotação Duplas'!$C$78:$C$87,MATCH(D170,'🔄 Rotação Duplas'!$D$78:$D$87,0))),"Semana 7",IFERROR(INDEX('🔄 Rotação Duplas'!$D$92:$D$101,MATCH(D170,'🔄 Rotação Duplas'!$C$92:$C$101,0)),INDEX('🔄 Rotação Duplas'!$C$92:$C$101,MATCH(D170,'🔄 Rotação Duplas'!$D$92:$D$101,0))),"Semana 8",IFERROR(INDEX('🔄 Rotação Duplas'!$D$106:$D$115,MATCH(D170,'🔄 Rotação Duplas'!$C$106:$C$115,0)),INDEX('🔄 Rotação Duplas'!$C$106:$C$115,MATCH(D170,'🔄 Rotação Duplas'!$D$106:$D$115,0)))),""))</f>
        <v/>
      </c>
      <c r="T170">
        <f t="shared" si="13"/>
        <v>0</v>
      </c>
    </row>
    <row r="171" spans="2:20" ht="18" customHeight="1" x14ac:dyDescent="0.2">
      <c r="B171" s="78" t="s">
        <v>73</v>
      </c>
      <c r="C171" s="79" t="str">
        <f t="shared" si="15"/>
        <v>Desafio 9</v>
      </c>
      <c r="D171" s="80" t="str">
        <f>'⚙️ Configuração'!C34</f>
        <v>João Xavier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81">
        <f>(E171*'⚙️ Configuração'!$C$6+F171*'⚙️ Configuração'!$C$7+G171*'⚙️ Configuração'!$C$8+H171*'⚙️ Configuração'!$C$9+I171*'⚙️ Configuração'!$C$10+J171*'⚙️ Configuração'!$C$11)*IF(N171="S",2,1)</f>
        <v>0</v>
      </c>
      <c r="L171" s="90" t="s">
        <v>167</v>
      </c>
      <c r="M171" s="82">
        <f>IF(L171="AT1",'⚙️ Configuração'!$C$14,IF(L171="AT2",'⚙️ Configuração'!$C$15,IF(L171="FI",'⚙️ Configuração'!$C$16,IF(L171="FJ",'⚙️ Configuração'!$C$17,0))))</f>
        <v>0</v>
      </c>
      <c r="N171" s="91" t="s">
        <v>167</v>
      </c>
      <c r="O171" s="92"/>
      <c r="P171" s="83">
        <f>IF(O171="1",'⚙️ Configuração'!$C$21,IF(O171="2",'⚙️ Configuração'!$C$22,IF(O171="3",'⚙️ Configuração'!$C$23,IF(O171="Outro",'⚙️ Configuração'!$C$24,0))))</f>
        <v>0</v>
      </c>
      <c r="Q171" s="84">
        <f t="shared" si="12"/>
        <v>0</v>
      </c>
      <c r="R171" s="40" t="str">
        <f t="shared" si="1"/>
        <v>Semana 1 — ver 🔄</v>
      </c>
      <c r="S171" t="str" cm="1">
        <f t="array" ref="S171">IF(D171="","",IFERROR(_xlfn.SWITCH(B171,"Semana 1",IFERROR(INDEX('🔄 Rotação Duplas'!$D$8:$D$17,MATCH(D171,'🔄 Rotação Duplas'!$C$8:$C$17,0)),INDEX('🔄 Rotação Duplas'!$C$8:$C$17,MATCH(D171,'🔄 Rotação Duplas'!$D$8:$D$17,0))),"Semana 2",IFERROR(INDEX('🔄 Rotação Duplas'!$D$22:$D$31,MATCH(D171,'🔄 Rotação Duplas'!$C$22:$C$31,0)),INDEX('🔄 Rotação Duplas'!$C$22:$C$31,MATCH(D171,'🔄 Rotação Duplas'!$D$22:$D$31,0))),"Semana 3",IFERROR(INDEX('🔄 Rotação Duplas'!$D$36:$D$45,MATCH(D171,'🔄 Rotação Duplas'!$C$36:$C$45,0)),INDEX('🔄 Rotação Duplas'!$C$36:$C$45,MATCH(D171,'🔄 Rotação Duplas'!$D$36:$D$45,0))),"Semana 4",IFERROR(INDEX('🔄 Rotação Duplas'!$D$50:$D$59,MATCH(D171,'🔄 Rotação Duplas'!$C$50:$C$59,0)),INDEX('🔄 Rotação Duplas'!$C$50:$C$59,MATCH(D171,'🔄 Rotação Duplas'!$D$50:$D$59,0))),"Semana 5",IFERROR(INDEX('🔄 Rotação Duplas'!$D$64:$D$73,MATCH(D171,'🔄 Rotação Duplas'!$C$64:$C$73,0)),INDEX('🔄 Rotação Duplas'!$C$64:$C$73,MATCH(D171,'🔄 Rotação Duplas'!$D$64:$D$73,0))),"Semana 6",IFERROR(INDEX('🔄 Rotação Duplas'!$D$78:$D$87,MATCH(D171,'🔄 Rotação Duplas'!$C$78:$C$87,0)),INDEX('🔄 Rotação Duplas'!$C$78:$C$87,MATCH(D171,'🔄 Rotação Duplas'!$D$78:$D$87,0))),"Semana 7",IFERROR(INDEX('🔄 Rotação Duplas'!$D$92:$D$101,MATCH(D171,'🔄 Rotação Duplas'!$C$92:$C$101,0)),INDEX('🔄 Rotação Duplas'!$C$92:$C$101,MATCH(D171,'🔄 Rotação Duplas'!$D$92:$D$101,0))),"Semana 8",IFERROR(INDEX('🔄 Rotação Duplas'!$D$106:$D$115,MATCH(D171,'🔄 Rotação Duplas'!$C$106:$C$115,0)),INDEX('🔄 Rotação Duplas'!$C$106:$C$115,MATCH(D171,'🔄 Rotação Duplas'!$D$106:$D$115,0)))),""))</f>
        <v/>
      </c>
      <c r="T171">
        <f t="shared" si="13"/>
        <v>0</v>
      </c>
    </row>
    <row r="172" spans="2:20" ht="18" customHeight="1" x14ac:dyDescent="0.2">
      <c r="B172" s="85" t="s">
        <v>73</v>
      </c>
      <c r="C172" s="86" t="str">
        <f t="shared" si="15"/>
        <v>Desafio 9</v>
      </c>
      <c r="D172" s="87" t="str">
        <f>'⚙️ Configuração'!C35</f>
        <v>Tomás Carlos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81">
        <f>(E172*'⚙️ Configuração'!$C$6+F172*'⚙️ Configuração'!$C$7+G172*'⚙️ Configuração'!$C$8+H172*'⚙️ Configuração'!$C$9+I172*'⚙️ Configuração'!$C$10+J172*'⚙️ Configuração'!$C$11)*IF(N172="S",2,1)</f>
        <v>0</v>
      </c>
      <c r="L172" s="90" t="s">
        <v>167</v>
      </c>
      <c r="M172" s="82">
        <f>IF(L172="AT1",'⚙️ Configuração'!$C$14,IF(L172="AT2",'⚙️ Configuração'!$C$15,IF(L172="FI",'⚙️ Configuração'!$C$16,IF(L172="FJ",'⚙️ Configuração'!$C$17,0))))</f>
        <v>0</v>
      </c>
      <c r="N172" s="91" t="s">
        <v>167</v>
      </c>
      <c r="O172" s="92"/>
      <c r="P172" s="83">
        <f>IF(O172="1",'⚙️ Configuração'!$C$21,IF(O172="2",'⚙️ Configuração'!$C$22,IF(O172="3",'⚙️ Configuração'!$C$23,IF(O172="Outro",'⚙️ Configuração'!$C$24,0))))</f>
        <v>0</v>
      </c>
      <c r="Q172" s="84">
        <f t="shared" si="12"/>
        <v>0</v>
      </c>
      <c r="R172" s="40" t="str">
        <f t="shared" si="1"/>
        <v>Semana 1 — ver 🔄</v>
      </c>
      <c r="S172" t="str" cm="1">
        <f t="array" ref="S172">IF(D172="","",IFERROR(_xlfn.SWITCH(B172,"Semana 1",IFERROR(INDEX('🔄 Rotação Duplas'!$D$8:$D$17,MATCH(D172,'🔄 Rotação Duplas'!$C$8:$C$17,0)),INDEX('🔄 Rotação Duplas'!$C$8:$C$17,MATCH(D172,'🔄 Rotação Duplas'!$D$8:$D$17,0))),"Semana 2",IFERROR(INDEX('🔄 Rotação Duplas'!$D$22:$D$31,MATCH(D172,'🔄 Rotação Duplas'!$C$22:$C$31,0)),INDEX('🔄 Rotação Duplas'!$C$22:$C$31,MATCH(D172,'🔄 Rotação Duplas'!$D$22:$D$31,0))),"Semana 3",IFERROR(INDEX('🔄 Rotação Duplas'!$D$36:$D$45,MATCH(D172,'🔄 Rotação Duplas'!$C$36:$C$45,0)),INDEX('🔄 Rotação Duplas'!$C$36:$C$45,MATCH(D172,'🔄 Rotação Duplas'!$D$36:$D$45,0))),"Semana 4",IFERROR(INDEX('🔄 Rotação Duplas'!$D$50:$D$59,MATCH(D172,'🔄 Rotação Duplas'!$C$50:$C$59,0)),INDEX('🔄 Rotação Duplas'!$C$50:$C$59,MATCH(D172,'🔄 Rotação Duplas'!$D$50:$D$59,0))),"Semana 5",IFERROR(INDEX('🔄 Rotação Duplas'!$D$64:$D$73,MATCH(D172,'🔄 Rotação Duplas'!$C$64:$C$73,0)),INDEX('🔄 Rotação Duplas'!$C$64:$C$73,MATCH(D172,'🔄 Rotação Duplas'!$D$64:$D$73,0))),"Semana 6",IFERROR(INDEX('🔄 Rotação Duplas'!$D$78:$D$87,MATCH(D172,'🔄 Rotação Duplas'!$C$78:$C$87,0)),INDEX('🔄 Rotação Duplas'!$C$78:$C$87,MATCH(D172,'🔄 Rotação Duplas'!$D$78:$D$87,0))),"Semana 7",IFERROR(INDEX('🔄 Rotação Duplas'!$D$92:$D$101,MATCH(D172,'🔄 Rotação Duplas'!$C$92:$C$101,0)),INDEX('🔄 Rotação Duplas'!$C$92:$C$101,MATCH(D172,'🔄 Rotação Duplas'!$D$92:$D$101,0))),"Semana 8",IFERROR(INDEX('🔄 Rotação Duplas'!$D$106:$D$115,MATCH(D172,'🔄 Rotação Duplas'!$C$106:$C$115,0)),INDEX('🔄 Rotação Duplas'!$C$106:$C$115,MATCH(D172,'🔄 Rotação Duplas'!$D$106:$D$115,0)))),""))</f>
        <v/>
      </c>
      <c r="T172">
        <f t="shared" si="13"/>
        <v>0</v>
      </c>
    </row>
    <row r="173" spans="2:20" ht="18" customHeight="1" x14ac:dyDescent="0.2">
      <c r="B173" s="78" t="s">
        <v>73</v>
      </c>
      <c r="C173" s="79" t="str">
        <f t="shared" si="15"/>
        <v>Desafio 9</v>
      </c>
      <c r="D173" s="80" t="str">
        <f>'⚙️ Configuração'!C36</f>
        <v>Alexandra Correia</v>
      </c>
      <c r="E173" s="50">
        <v>0</v>
      </c>
      <c r="F173" s="50">
        <v>0</v>
      </c>
      <c r="G173" s="50">
        <v>0</v>
      </c>
      <c r="H173" s="50">
        <v>0</v>
      </c>
      <c r="I173" s="50">
        <v>0</v>
      </c>
      <c r="J173" s="50">
        <v>0</v>
      </c>
      <c r="K173" s="81">
        <f>(E173*'⚙️ Configuração'!$C$6+F173*'⚙️ Configuração'!$C$7+G173*'⚙️ Configuração'!$C$8+H173*'⚙️ Configuração'!$C$9+I173*'⚙️ Configuração'!$C$10+J173*'⚙️ Configuração'!$C$11)*IF(N173="S",2,1)</f>
        <v>0</v>
      </c>
      <c r="L173" s="90" t="s">
        <v>167</v>
      </c>
      <c r="M173" s="82">
        <f>IF(L173="AT1",'⚙️ Configuração'!$C$14,IF(L173="AT2",'⚙️ Configuração'!$C$15,IF(L173="FI",'⚙️ Configuração'!$C$16,IF(L173="FJ",'⚙️ Configuração'!$C$17,0))))</f>
        <v>0</v>
      </c>
      <c r="N173" s="91" t="s">
        <v>167</v>
      </c>
      <c r="O173" s="92"/>
      <c r="P173" s="83">
        <f>IF(O173="1",'⚙️ Configuração'!$C$21,IF(O173="2",'⚙️ Configuração'!$C$22,IF(O173="3",'⚙️ Configuração'!$C$23,IF(O173="Outro",'⚙️ Configuração'!$C$24,0))))</f>
        <v>0</v>
      </c>
      <c r="Q173" s="84">
        <f t="shared" si="12"/>
        <v>0</v>
      </c>
      <c r="R173" s="40" t="str">
        <f t="shared" si="1"/>
        <v>Semana 1 — ver 🔄</v>
      </c>
      <c r="S173" t="str" cm="1">
        <f t="array" ref="S173">IF(D173="","",IFERROR(_xlfn.SWITCH(B173,"Semana 1",IFERROR(INDEX('🔄 Rotação Duplas'!$D$8:$D$17,MATCH(D173,'🔄 Rotação Duplas'!$C$8:$C$17,0)),INDEX('🔄 Rotação Duplas'!$C$8:$C$17,MATCH(D173,'🔄 Rotação Duplas'!$D$8:$D$17,0))),"Semana 2",IFERROR(INDEX('🔄 Rotação Duplas'!$D$22:$D$31,MATCH(D173,'🔄 Rotação Duplas'!$C$22:$C$31,0)),INDEX('🔄 Rotação Duplas'!$C$22:$C$31,MATCH(D173,'🔄 Rotação Duplas'!$D$22:$D$31,0))),"Semana 3",IFERROR(INDEX('🔄 Rotação Duplas'!$D$36:$D$45,MATCH(D173,'🔄 Rotação Duplas'!$C$36:$C$45,0)),INDEX('🔄 Rotação Duplas'!$C$36:$C$45,MATCH(D173,'🔄 Rotação Duplas'!$D$36:$D$45,0))),"Semana 4",IFERROR(INDEX('🔄 Rotação Duplas'!$D$50:$D$59,MATCH(D173,'🔄 Rotação Duplas'!$C$50:$C$59,0)),INDEX('🔄 Rotação Duplas'!$C$50:$C$59,MATCH(D173,'🔄 Rotação Duplas'!$D$50:$D$59,0))),"Semana 5",IFERROR(INDEX('🔄 Rotação Duplas'!$D$64:$D$73,MATCH(D173,'🔄 Rotação Duplas'!$C$64:$C$73,0)),INDEX('🔄 Rotação Duplas'!$C$64:$C$73,MATCH(D173,'🔄 Rotação Duplas'!$D$64:$D$73,0))),"Semana 6",IFERROR(INDEX('🔄 Rotação Duplas'!$D$78:$D$87,MATCH(D173,'🔄 Rotação Duplas'!$C$78:$C$87,0)),INDEX('🔄 Rotação Duplas'!$C$78:$C$87,MATCH(D173,'🔄 Rotação Duplas'!$D$78:$D$87,0))),"Semana 7",IFERROR(INDEX('🔄 Rotação Duplas'!$D$92:$D$101,MATCH(D173,'🔄 Rotação Duplas'!$C$92:$C$101,0)),INDEX('🔄 Rotação Duplas'!$C$92:$C$101,MATCH(D173,'🔄 Rotação Duplas'!$D$92:$D$101,0))),"Semana 8",IFERROR(INDEX('🔄 Rotação Duplas'!$D$106:$D$115,MATCH(D173,'🔄 Rotação Duplas'!$C$106:$C$115,0)),INDEX('🔄 Rotação Duplas'!$C$106:$C$115,MATCH(D173,'🔄 Rotação Duplas'!$D$106:$D$115,0)))),""))</f>
        <v/>
      </c>
      <c r="T173">
        <f t="shared" si="13"/>
        <v>0</v>
      </c>
    </row>
    <row r="174" spans="2:20" ht="18" customHeight="1" x14ac:dyDescent="0.2">
      <c r="B174" s="85" t="s">
        <v>73</v>
      </c>
      <c r="C174" s="86" t="str">
        <f t="shared" si="15"/>
        <v>Desafio 9</v>
      </c>
      <c r="D174" s="87" t="str">
        <f>'⚙️ Configuração'!C37</f>
        <v>Carla Barata</v>
      </c>
      <c r="E174" s="50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81">
        <f>(E174*'⚙️ Configuração'!$C$6+F174*'⚙️ Configuração'!$C$7+G174*'⚙️ Configuração'!$C$8+H174*'⚙️ Configuração'!$C$9+I174*'⚙️ Configuração'!$C$10+J174*'⚙️ Configuração'!$C$11)*IF(N174="S",2,1)</f>
        <v>0</v>
      </c>
      <c r="L174" s="90" t="s">
        <v>167</v>
      </c>
      <c r="M174" s="82">
        <f>IF(L174="AT1",'⚙️ Configuração'!$C$14,IF(L174="AT2",'⚙️ Configuração'!$C$15,IF(L174="FI",'⚙️ Configuração'!$C$16,IF(L174="FJ",'⚙️ Configuração'!$C$17,0))))</f>
        <v>0</v>
      </c>
      <c r="N174" s="91" t="s">
        <v>167</v>
      </c>
      <c r="O174" s="92"/>
      <c r="P174" s="83">
        <f>IF(O174="1",'⚙️ Configuração'!$C$21,IF(O174="2",'⚙️ Configuração'!$C$22,IF(O174="3",'⚙️ Configuração'!$C$23,IF(O174="Outro",'⚙️ Configuração'!$C$24,0))))</f>
        <v>0</v>
      </c>
      <c r="Q174" s="84">
        <f t="shared" si="12"/>
        <v>0</v>
      </c>
      <c r="R174" s="40" t="str">
        <f t="shared" si="1"/>
        <v>Semana 1 — ver 🔄</v>
      </c>
      <c r="S174" t="str" cm="1">
        <f t="array" ref="S174">IF(D174="","",IFERROR(_xlfn.SWITCH(B174,"Semana 1",IFERROR(INDEX('🔄 Rotação Duplas'!$D$8:$D$17,MATCH(D174,'🔄 Rotação Duplas'!$C$8:$C$17,0)),INDEX('🔄 Rotação Duplas'!$C$8:$C$17,MATCH(D174,'🔄 Rotação Duplas'!$D$8:$D$17,0))),"Semana 2",IFERROR(INDEX('🔄 Rotação Duplas'!$D$22:$D$31,MATCH(D174,'🔄 Rotação Duplas'!$C$22:$C$31,0)),INDEX('🔄 Rotação Duplas'!$C$22:$C$31,MATCH(D174,'🔄 Rotação Duplas'!$D$22:$D$31,0))),"Semana 3",IFERROR(INDEX('🔄 Rotação Duplas'!$D$36:$D$45,MATCH(D174,'🔄 Rotação Duplas'!$C$36:$C$45,0)),INDEX('🔄 Rotação Duplas'!$C$36:$C$45,MATCH(D174,'🔄 Rotação Duplas'!$D$36:$D$45,0))),"Semana 4",IFERROR(INDEX('🔄 Rotação Duplas'!$D$50:$D$59,MATCH(D174,'🔄 Rotação Duplas'!$C$50:$C$59,0)),INDEX('🔄 Rotação Duplas'!$C$50:$C$59,MATCH(D174,'🔄 Rotação Duplas'!$D$50:$D$59,0))),"Semana 5",IFERROR(INDEX('🔄 Rotação Duplas'!$D$64:$D$73,MATCH(D174,'🔄 Rotação Duplas'!$C$64:$C$73,0)),INDEX('🔄 Rotação Duplas'!$C$64:$C$73,MATCH(D174,'🔄 Rotação Duplas'!$D$64:$D$73,0))),"Semana 6",IFERROR(INDEX('🔄 Rotação Duplas'!$D$78:$D$87,MATCH(D174,'🔄 Rotação Duplas'!$C$78:$C$87,0)),INDEX('🔄 Rotação Duplas'!$C$78:$C$87,MATCH(D174,'🔄 Rotação Duplas'!$D$78:$D$87,0))),"Semana 7",IFERROR(INDEX('🔄 Rotação Duplas'!$D$92:$D$101,MATCH(D174,'🔄 Rotação Duplas'!$C$92:$C$101,0)),INDEX('🔄 Rotação Duplas'!$C$92:$C$101,MATCH(D174,'🔄 Rotação Duplas'!$D$92:$D$101,0))),"Semana 8",IFERROR(INDEX('🔄 Rotação Duplas'!$D$106:$D$115,MATCH(D174,'🔄 Rotação Duplas'!$C$106:$C$115,0)),INDEX('🔄 Rotação Duplas'!$C$106:$C$115,MATCH(D174,'🔄 Rotação Duplas'!$D$106:$D$115,0)))),""))</f>
        <v/>
      </c>
      <c r="T174">
        <f t="shared" si="13"/>
        <v>0</v>
      </c>
    </row>
    <row r="175" spans="2:20" ht="18" customHeight="1" x14ac:dyDescent="0.2">
      <c r="B175" s="78" t="s">
        <v>73</v>
      </c>
      <c r="C175" s="79" t="str">
        <f t="shared" si="15"/>
        <v>Desafio 9</v>
      </c>
      <c r="D175" s="80" t="str">
        <f>'⚙️ Configuração'!C38</f>
        <v>Denise Filipe</v>
      </c>
      <c r="E175" s="50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81">
        <f>(E175*'⚙️ Configuração'!$C$6+F175*'⚙️ Configuração'!$C$7+G175*'⚙️ Configuração'!$C$8+H175*'⚙️ Configuração'!$C$9+I175*'⚙️ Configuração'!$C$10+J175*'⚙️ Configuração'!$C$11)*IF(N175="S",2,1)</f>
        <v>0</v>
      </c>
      <c r="L175" s="90" t="s">
        <v>167</v>
      </c>
      <c r="M175" s="82">
        <f>IF(L175="AT1",'⚙️ Configuração'!$C$14,IF(L175="AT2",'⚙️ Configuração'!$C$15,IF(L175="FI",'⚙️ Configuração'!$C$16,IF(L175="FJ",'⚙️ Configuração'!$C$17,0))))</f>
        <v>0</v>
      </c>
      <c r="N175" s="91" t="s">
        <v>167</v>
      </c>
      <c r="O175" s="92"/>
      <c r="P175" s="83">
        <f>IF(O175="1",'⚙️ Configuração'!$C$21,IF(O175="2",'⚙️ Configuração'!$C$22,IF(O175="3",'⚙️ Configuração'!$C$23,IF(O175="Outro",'⚙️ Configuração'!$C$24,0))))</f>
        <v>0</v>
      </c>
      <c r="Q175" s="84">
        <f t="shared" si="12"/>
        <v>0</v>
      </c>
      <c r="R175" s="40" t="str">
        <f t="shared" si="1"/>
        <v>Semana 1 — ver 🔄</v>
      </c>
      <c r="S175" t="str" cm="1">
        <f t="array" ref="S175">IF(D175="","",IFERROR(_xlfn.SWITCH(B175,"Semana 1",IFERROR(INDEX('🔄 Rotação Duplas'!$D$8:$D$17,MATCH(D175,'🔄 Rotação Duplas'!$C$8:$C$17,0)),INDEX('🔄 Rotação Duplas'!$C$8:$C$17,MATCH(D175,'🔄 Rotação Duplas'!$D$8:$D$17,0))),"Semana 2",IFERROR(INDEX('🔄 Rotação Duplas'!$D$22:$D$31,MATCH(D175,'🔄 Rotação Duplas'!$C$22:$C$31,0)),INDEX('🔄 Rotação Duplas'!$C$22:$C$31,MATCH(D175,'🔄 Rotação Duplas'!$D$22:$D$31,0))),"Semana 3",IFERROR(INDEX('🔄 Rotação Duplas'!$D$36:$D$45,MATCH(D175,'🔄 Rotação Duplas'!$C$36:$C$45,0)),INDEX('🔄 Rotação Duplas'!$C$36:$C$45,MATCH(D175,'🔄 Rotação Duplas'!$D$36:$D$45,0))),"Semana 4",IFERROR(INDEX('🔄 Rotação Duplas'!$D$50:$D$59,MATCH(D175,'🔄 Rotação Duplas'!$C$50:$C$59,0)),INDEX('🔄 Rotação Duplas'!$C$50:$C$59,MATCH(D175,'🔄 Rotação Duplas'!$D$50:$D$59,0))),"Semana 5",IFERROR(INDEX('🔄 Rotação Duplas'!$D$64:$D$73,MATCH(D175,'🔄 Rotação Duplas'!$C$64:$C$73,0)),INDEX('🔄 Rotação Duplas'!$C$64:$C$73,MATCH(D175,'🔄 Rotação Duplas'!$D$64:$D$73,0))),"Semana 6",IFERROR(INDEX('🔄 Rotação Duplas'!$D$78:$D$87,MATCH(D175,'🔄 Rotação Duplas'!$C$78:$C$87,0)),INDEX('🔄 Rotação Duplas'!$C$78:$C$87,MATCH(D175,'🔄 Rotação Duplas'!$D$78:$D$87,0))),"Semana 7",IFERROR(INDEX('🔄 Rotação Duplas'!$D$92:$D$101,MATCH(D175,'🔄 Rotação Duplas'!$C$92:$C$101,0)),INDEX('🔄 Rotação Duplas'!$C$92:$C$101,MATCH(D175,'🔄 Rotação Duplas'!$D$92:$D$101,0))),"Semana 8",IFERROR(INDEX('🔄 Rotação Duplas'!$D$106:$D$115,MATCH(D175,'🔄 Rotação Duplas'!$C$106:$C$115,0)),INDEX('🔄 Rotação Duplas'!$C$106:$C$115,MATCH(D175,'🔄 Rotação Duplas'!$D$106:$D$115,0)))),""))</f>
        <v/>
      </c>
      <c r="T175">
        <f t="shared" si="13"/>
        <v>0</v>
      </c>
    </row>
    <row r="176" spans="2:20" ht="18" customHeight="1" x14ac:dyDescent="0.2">
      <c r="B176" s="85" t="s">
        <v>73</v>
      </c>
      <c r="C176" s="86" t="str">
        <f t="shared" si="15"/>
        <v>Desafio 9</v>
      </c>
      <c r="D176" s="87" t="str">
        <f>'⚙️ Configuração'!C39</f>
        <v>Fátima Rodriguez</v>
      </c>
      <c r="E176" s="50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81">
        <f>(E176*'⚙️ Configuração'!$C$6+F176*'⚙️ Configuração'!$C$7+G176*'⚙️ Configuração'!$C$8+H176*'⚙️ Configuração'!$C$9+I176*'⚙️ Configuração'!$C$10+J176*'⚙️ Configuração'!$C$11)*IF(N176="S",2,1)</f>
        <v>0</v>
      </c>
      <c r="L176" s="90" t="s">
        <v>167</v>
      </c>
      <c r="M176" s="82">
        <f>IF(L176="AT1",'⚙️ Configuração'!$C$14,IF(L176="AT2",'⚙️ Configuração'!$C$15,IF(L176="FI",'⚙️ Configuração'!$C$16,IF(L176="FJ",'⚙️ Configuração'!$C$17,0))))</f>
        <v>0</v>
      </c>
      <c r="N176" s="91" t="s">
        <v>167</v>
      </c>
      <c r="O176" s="92"/>
      <c r="P176" s="83">
        <f>IF(O176="1",'⚙️ Configuração'!$C$21,IF(O176="2",'⚙️ Configuração'!$C$22,IF(O176="3",'⚙️ Configuração'!$C$23,IF(O176="Outro",'⚙️ Configuração'!$C$24,0))))</f>
        <v>0</v>
      </c>
      <c r="Q176" s="84">
        <f t="shared" si="12"/>
        <v>0</v>
      </c>
      <c r="R176" s="40" t="str">
        <f t="shared" si="1"/>
        <v>Semana 1 — ver 🔄</v>
      </c>
      <c r="S176" t="str" cm="1">
        <f t="array" ref="S176">IF(D176="","",IFERROR(_xlfn.SWITCH(B176,"Semana 1",IFERROR(INDEX('🔄 Rotação Duplas'!$D$8:$D$17,MATCH(D176,'🔄 Rotação Duplas'!$C$8:$C$17,0)),INDEX('🔄 Rotação Duplas'!$C$8:$C$17,MATCH(D176,'🔄 Rotação Duplas'!$D$8:$D$17,0))),"Semana 2",IFERROR(INDEX('🔄 Rotação Duplas'!$D$22:$D$31,MATCH(D176,'🔄 Rotação Duplas'!$C$22:$C$31,0)),INDEX('🔄 Rotação Duplas'!$C$22:$C$31,MATCH(D176,'🔄 Rotação Duplas'!$D$22:$D$31,0))),"Semana 3",IFERROR(INDEX('🔄 Rotação Duplas'!$D$36:$D$45,MATCH(D176,'🔄 Rotação Duplas'!$C$36:$C$45,0)),INDEX('🔄 Rotação Duplas'!$C$36:$C$45,MATCH(D176,'🔄 Rotação Duplas'!$D$36:$D$45,0))),"Semana 4",IFERROR(INDEX('🔄 Rotação Duplas'!$D$50:$D$59,MATCH(D176,'🔄 Rotação Duplas'!$C$50:$C$59,0)),INDEX('🔄 Rotação Duplas'!$C$50:$C$59,MATCH(D176,'🔄 Rotação Duplas'!$D$50:$D$59,0))),"Semana 5",IFERROR(INDEX('🔄 Rotação Duplas'!$D$64:$D$73,MATCH(D176,'🔄 Rotação Duplas'!$C$64:$C$73,0)),INDEX('🔄 Rotação Duplas'!$C$64:$C$73,MATCH(D176,'🔄 Rotação Duplas'!$D$64:$D$73,0))),"Semana 6",IFERROR(INDEX('🔄 Rotação Duplas'!$D$78:$D$87,MATCH(D176,'🔄 Rotação Duplas'!$C$78:$C$87,0)),INDEX('🔄 Rotação Duplas'!$C$78:$C$87,MATCH(D176,'🔄 Rotação Duplas'!$D$78:$D$87,0))),"Semana 7",IFERROR(INDEX('🔄 Rotação Duplas'!$D$92:$D$101,MATCH(D176,'🔄 Rotação Duplas'!$C$92:$C$101,0)),INDEX('🔄 Rotação Duplas'!$C$92:$C$101,MATCH(D176,'🔄 Rotação Duplas'!$D$92:$D$101,0))),"Semana 8",IFERROR(INDEX('🔄 Rotação Duplas'!$D$106:$D$115,MATCH(D176,'🔄 Rotação Duplas'!$C$106:$C$115,0)),INDEX('🔄 Rotação Duplas'!$C$106:$C$115,MATCH(D176,'🔄 Rotação Duplas'!$D$106:$D$115,0)))),""))</f>
        <v/>
      </c>
      <c r="T176">
        <f t="shared" si="13"/>
        <v>0</v>
      </c>
    </row>
    <row r="177" spans="2:20" ht="18" customHeight="1" x14ac:dyDescent="0.2">
      <c r="B177" s="78" t="s">
        <v>73</v>
      </c>
      <c r="C177" s="79" t="str">
        <f t="shared" si="15"/>
        <v>Desafio 9</v>
      </c>
      <c r="D177" s="80" t="str">
        <f>'⚙️ Configuração'!C40</f>
        <v>Maria João Travassos</v>
      </c>
      <c r="E177" s="50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81">
        <f>(E177*'⚙️ Configuração'!$C$6+F177*'⚙️ Configuração'!$C$7+G177*'⚙️ Configuração'!$C$8+H177*'⚙️ Configuração'!$C$9+I177*'⚙️ Configuração'!$C$10+J177*'⚙️ Configuração'!$C$11)*IF(N177="S",2,1)</f>
        <v>0</v>
      </c>
      <c r="L177" s="90" t="s">
        <v>167</v>
      </c>
      <c r="M177" s="82">
        <f>IF(L177="AT1",'⚙️ Configuração'!$C$14,IF(L177="AT2",'⚙️ Configuração'!$C$15,IF(L177="FI",'⚙️ Configuração'!$C$16,IF(L177="FJ",'⚙️ Configuração'!$C$17,0))))</f>
        <v>0</v>
      </c>
      <c r="N177" s="91" t="s">
        <v>167</v>
      </c>
      <c r="O177" s="92"/>
      <c r="P177" s="83">
        <f>IF(O177="1",'⚙️ Configuração'!$C$21,IF(O177="2",'⚙️ Configuração'!$C$22,IF(O177="3",'⚙️ Configuração'!$C$23,IF(O177="Outro",'⚙️ Configuração'!$C$24,0))))</f>
        <v>0</v>
      </c>
      <c r="Q177" s="84">
        <f t="shared" si="12"/>
        <v>0</v>
      </c>
      <c r="R177" s="40" t="str">
        <f t="shared" si="1"/>
        <v>Semana 1 — ver 🔄</v>
      </c>
      <c r="S177" t="str" cm="1">
        <f t="array" ref="S177">IF(D177="","",IFERROR(_xlfn.SWITCH(B177,"Semana 1",IFERROR(INDEX('🔄 Rotação Duplas'!$D$8:$D$17,MATCH(D177,'🔄 Rotação Duplas'!$C$8:$C$17,0)),INDEX('🔄 Rotação Duplas'!$C$8:$C$17,MATCH(D177,'🔄 Rotação Duplas'!$D$8:$D$17,0))),"Semana 2",IFERROR(INDEX('🔄 Rotação Duplas'!$D$22:$D$31,MATCH(D177,'🔄 Rotação Duplas'!$C$22:$C$31,0)),INDEX('🔄 Rotação Duplas'!$C$22:$C$31,MATCH(D177,'🔄 Rotação Duplas'!$D$22:$D$31,0))),"Semana 3",IFERROR(INDEX('🔄 Rotação Duplas'!$D$36:$D$45,MATCH(D177,'🔄 Rotação Duplas'!$C$36:$C$45,0)),INDEX('🔄 Rotação Duplas'!$C$36:$C$45,MATCH(D177,'🔄 Rotação Duplas'!$D$36:$D$45,0))),"Semana 4",IFERROR(INDEX('🔄 Rotação Duplas'!$D$50:$D$59,MATCH(D177,'🔄 Rotação Duplas'!$C$50:$C$59,0)),INDEX('🔄 Rotação Duplas'!$C$50:$C$59,MATCH(D177,'🔄 Rotação Duplas'!$D$50:$D$59,0))),"Semana 5",IFERROR(INDEX('🔄 Rotação Duplas'!$D$64:$D$73,MATCH(D177,'🔄 Rotação Duplas'!$C$64:$C$73,0)),INDEX('🔄 Rotação Duplas'!$C$64:$C$73,MATCH(D177,'🔄 Rotação Duplas'!$D$64:$D$73,0))),"Semana 6",IFERROR(INDEX('🔄 Rotação Duplas'!$D$78:$D$87,MATCH(D177,'🔄 Rotação Duplas'!$C$78:$C$87,0)),INDEX('🔄 Rotação Duplas'!$C$78:$C$87,MATCH(D177,'🔄 Rotação Duplas'!$D$78:$D$87,0))),"Semana 7",IFERROR(INDEX('🔄 Rotação Duplas'!$D$92:$D$101,MATCH(D177,'🔄 Rotação Duplas'!$C$92:$C$101,0)),INDEX('🔄 Rotação Duplas'!$C$92:$C$101,MATCH(D177,'🔄 Rotação Duplas'!$D$92:$D$101,0))),"Semana 8",IFERROR(INDEX('🔄 Rotação Duplas'!$D$106:$D$115,MATCH(D177,'🔄 Rotação Duplas'!$C$106:$C$115,0)),INDEX('🔄 Rotação Duplas'!$C$106:$C$115,MATCH(D177,'🔄 Rotação Duplas'!$D$106:$D$115,0)))),""))</f>
        <v/>
      </c>
      <c r="T177">
        <f t="shared" si="13"/>
        <v>0</v>
      </c>
    </row>
    <row r="178" spans="2:20" ht="18" customHeight="1" x14ac:dyDescent="0.2">
      <c r="B178" s="85" t="s">
        <v>73</v>
      </c>
      <c r="C178" s="86" t="str">
        <f t="shared" si="15"/>
        <v>Desafio 9</v>
      </c>
      <c r="D178" s="87" t="str">
        <f>'⚙️ Configuração'!C41</f>
        <v>Marta Torres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81">
        <f>(E178*'⚙️ Configuração'!$C$6+F178*'⚙️ Configuração'!$C$7+G178*'⚙️ Configuração'!$C$8+H178*'⚙️ Configuração'!$C$9+I178*'⚙️ Configuração'!$C$10+J178*'⚙️ Configuração'!$C$11)*IF(N178="S",2,1)</f>
        <v>0</v>
      </c>
      <c r="L178" s="90" t="s">
        <v>167</v>
      </c>
      <c r="M178" s="82">
        <f>IF(L178="AT1",'⚙️ Configuração'!$C$14,IF(L178="AT2",'⚙️ Configuração'!$C$15,IF(L178="FI",'⚙️ Configuração'!$C$16,IF(L178="FJ",'⚙️ Configuração'!$C$17,0))))</f>
        <v>0</v>
      </c>
      <c r="N178" s="91" t="s">
        <v>167</v>
      </c>
      <c r="O178" s="92"/>
      <c r="P178" s="83">
        <f>IF(O178="1",'⚙️ Configuração'!$C$21,IF(O178="2",'⚙️ Configuração'!$C$22,IF(O178="3",'⚙️ Configuração'!$C$23,IF(O178="Outro",'⚙️ Configuração'!$C$24,0))))</f>
        <v>0</v>
      </c>
      <c r="Q178" s="84">
        <f t="shared" si="12"/>
        <v>0</v>
      </c>
      <c r="R178" s="40" t="str">
        <f t="shared" si="1"/>
        <v>Semana 1 — ver 🔄</v>
      </c>
      <c r="S178" t="str" cm="1">
        <f t="array" ref="S178">IF(D178="","",IFERROR(_xlfn.SWITCH(B178,"Semana 1",IFERROR(INDEX('🔄 Rotação Duplas'!$D$8:$D$17,MATCH(D178,'🔄 Rotação Duplas'!$C$8:$C$17,0)),INDEX('🔄 Rotação Duplas'!$C$8:$C$17,MATCH(D178,'🔄 Rotação Duplas'!$D$8:$D$17,0))),"Semana 2",IFERROR(INDEX('🔄 Rotação Duplas'!$D$22:$D$31,MATCH(D178,'🔄 Rotação Duplas'!$C$22:$C$31,0)),INDEX('🔄 Rotação Duplas'!$C$22:$C$31,MATCH(D178,'🔄 Rotação Duplas'!$D$22:$D$31,0))),"Semana 3",IFERROR(INDEX('🔄 Rotação Duplas'!$D$36:$D$45,MATCH(D178,'🔄 Rotação Duplas'!$C$36:$C$45,0)),INDEX('🔄 Rotação Duplas'!$C$36:$C$45,MATCH(D178,'🔄 Rotação Duplas'!$D$36:$D$45,0))),"Semana 4",IFERROR(INDEX('🔄 Rotação Duplas'!$D$50:$D$59,MATCH(D178,'🔄 Rotação Duplas'!$C$50:$C$59,0)),INDEX('🔄 Rotação Duplas'!$C$50:$C$59,MATCH(D178,'🔄 Rotação Duplas'!$D$50:$D$59,0))),"Semana 5",IFERROR(INDEX('🔄 Rotação Duplas'!$D$64:$D$73,MATCH(D178,'🔄 Rotação Duplas'!$C$64:$C$73,0)),INDEX('🔄 Rotação Duplas'!$C$64:$C$73,MATCH(D178,'🔄 Rotação Duplas'!$D$64:$D$73,0))),"Semana 6",IFERROR(INDEX('🔄 Rotação Duplas'!$D$78:$D$87,MATCH(D178,'🔄 Rotação Duplas'!$C$78:$C$87,0)),INDEX('🔄 Rotação Duplas'!$C$78:$C$87,MATCH(D178,'🔄 Rotação Duplas'!$D$78:$D$87,0))),"Semana 7",IFERROR(INDEX('🔄 Rotação Duplas'!$D$92:$D$101,MATCH(D178,'🔄 Rotação Duplas'!$C$92:$C$101,0)),INDEX('🔄 Rotação Duplas'!$C$92:$C$101,MATCH(D178,'🔄 Rotação Duplas'!$D$92:$D$101,0))),"Semana 8",IFERROR(INDEX('🔄 Rotação Duplas'!$D$106:$D$115,MATCH(D178,'🔄 Rotação Duplas'!$C$106:$C$115,0)),INDEX('🔄 Rotação Duplas'!$C$106:$C$115,MATCH(D178,'🔄 Rotação Duplas'!$D$106:$D$115,0)))),""))</f>
        <v/>
      </c>
      <c r="T178">
        <f t="shared" si="13"/>
        <v>0</v>
      </c>
    </row>
    <row r="179" spans="2:20" ht="18" customHeight="1" x14ac:dyDescent="0.2">
      <c r="B179" s="78" t="s">
        <v>73</v>
      </c>
      <c r="C179" s="79" t="str">
        <f t="shared" si="15"/>
        <v>Desafio 9</v>
      </c>
      <c r="D179" s="80" t="str">
        <f>'⚙️ Configuração'!C42</f>
        <v>Patricia Isabel Silva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81">
        <f>(E179*'⚙️ Configuração'!$C$6+F179*'⚙️ Configuração'!$C$7+G179*'⚙️ Configuração'!$C$8+H179*'⚙️ Configuração'!$C$9+I179*'⚙️ Configuração'!$C$10+J179*'⚙️ Configuração'!$C$11)*IF(N179="S",2,1)</f>
        <v>0</v>
      </c>
      <c r="L179" s="90" t="s">
        <v>167</v>
      </c>
      <c r="M179" s="82">
        <f>IF(L179="AT1",'⚙️ Configuração'!$C$14,IF(L179="AT2",'⚙️ Configuração'!$C$15,IF(L179="FI",'⚙️ Configuração'!$C$16,IF(L179="FJ",'⚙️ Configuração'!$C$17,0))))</f>
        <v>0</v>
      </c>
      <c r="N179" s="91" t="s">
        <v>167</v>
      </c>
      <c r="O179" s="92"/>
      <c r="P179" s="83">
        <f>IF(O179="1",'⚙️ Configuração'!$C$21,IF(O179="2",'⚙️ Configuração'!$C$22,IF(O179="3",'⚙️ Configuração'!$C$23,IF(O179="Outro",'⚙️ Configuração'!$C$24,0))))</f>
        <v>0</v>
      </c>
      <c r="Q179" s="84">
        <f t="shared" si="12"/>
        <v>0</v>
      </c>
      <c r="R179" s="40" t="str">
        <f t="shared" si="1"/>
        <v>Semana 1 — ver 🔄</v>
      </c>
      <c r="S179" t="str" cm="1">
        <f t="array" ref="S179">IF(D179="","",IFERROR(_xlfn.SWITCH(B179,"Semana 1",IFERROR(INDEX('🔄 Rotação Duplas'!$D$8:$D$17,MATCH(D179,'🔄 Rotação Duplas'!$C$8:$C$17,0)),INDEX('🔄 Rotação Duplas'!$C$8:$C$17,MATCH(D179,'🔄 Rotação Duplas'!$D$8:$D$17,0))),"Semana 2",IFERROR(INDEX('🔄 Rotação Duplas'!$D$22:$D$31,MATCH(D179,'🔄 Rotação Duplas'!$C$22:$C$31,0)),INDEX('🔄 Rotação Duplas'!$C$22:$C$31,MATCH(D179,'🔄 Rotação Duplas'!$D$22:$D$31,0))),"Semana 3",IFERROR(INDEX('🔄 Rotação Duplas'!$D$36:$D$45,MATCH(D179,'🔄 Rotação Duplas'!$C$36:$C$45,0)),INDEX('🔄 Rotação Duplas'!$C$36:$C$45,MATCH(D179,'🔄 Rotação Duplas'!$D$36:$D$45,0))),"Semana 4",IFERROR(INDEX('🔄 Rotação Duplas'!$D$50:$D$59,MATCH(D179,'🔄 Rotação Duplas'!$C$50:$C$59,0)),INDEX('🔄 Rotação Duplas'!$C$50:$C$59,MATCH(D179,'🔄 Rotação Duplas'!$D$50:$D$59,0))),"Semana 5",IFERROR(INDEX('🔄 Rotação Duplas'!$D$64:$D$73,MATCH(D179,'🔄 Rotação Duplas'!$C$64:$C$73,0)),INDEX('🔄 Rotação Duplas'!$C$64:$C$73,MATCH(D179,'🔄 Rotação Duplas'!$D$64:$D$73,0))),"Semana 6",IFERROR(INDEX('🔄 Rotação Duplas'!$D$78:$D$87,MATCH(D179,'🔄 Rotação Duplas'!$C$78:$C$87,0)),INDEX('🔄 Rotação Duplas'!$C$78:$C$87,MATCH(D179,'🔄 Rotação Duplas'!$D$78:$D$87,0))),"Semana 7",IFERROR(INDEX('🔄 Rotação Duplas'!$D$92:$D$101,MATCH(D179,'🔄 Rotação Duplas'!$C$92:$C$101,0)),INDEX('🔄 Rotação Duplas'!$C$92:$C$101,MATCH(D179,'🔄 Rotação Duplas'!$D$92:$D$101,0))),"Semana 8",IFERROR(INDEX('🔄 Rotação Duplas'!$D$106:$D$115,MATCH(D179,'🔄 Rotação Duplas'!$C$106:$C$115,0)),INDEX('🔄 Rotação Duplas'!$C$106:$C$115,MATCH(D179,'🔄 Rotação Duplas'!$D$106:$D$115,0)))),""))</f>
        <v/>
      </c>
      <c r="T179">
        <f t="shared" si="13"/>
        <v>0</v>
      </c>
    </row>
    <row r="180" spans="2:20" ht="18" customHeight="1" x14ac:dyDescent="0.2">
      <c r="B180" s="85" t="s">
        <v>73</v>
      </c>
      <c r="C180" s="86" t="str">
        <f t="shared" si="15"/>
        <v>Desafio 9</v>
      </c>
      <c r="D180" s="87" t="str">
        <f>'⚙️ Configuração'!C43</f>
        <v>Paula Martins</v>
      </c>
      <c r="E180" s="50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81">
        <f>(E180*'⚙️ Configuração'!$C$6+F180*'⚙️ Configuração'!$C$7+G180*'⚙️ Configuração'!$C$8+H180*'⚙️ Configuração'!$C$9+I180*'⚙️ Configuração'!$C$10+J180*'⚙️ Configuração'!$C$11)*IF(N180="S",2,1)</f>
        <v>0</v>
      </c>
      <c r="L180" s="90" t="s">
        <v>167</v>
      </c>
      <c r="M180" s="82">
        <f>IF(L180="AT1",'⚙️ Configuração'!$C$14,IF(L180="AT2",'⚙️ Configuração'!$C$15,IF(L180="FI",'⚙️ Configuração'!$C$16,IF(L180="FJ",'⚙️ Configuração'!$C$17,0))))</f>
        <v>0</v>
      </c>
      <c r="N180" s="91" t="s">
        <v>167</v>
      </c>
      <c r="O180" s="92"/>
      <c r="P180" s="83">
        <f>IF(O180="1",'⚙️ Configuração'!$C$21,IF(O180="2",'⚙️ Configuração'!$C$22,IF(O180="3",'⚙️ Configuração'!$C$23,IF(O180="Outro",'⚙️ Configuração'!$C$24,0))))</f>
        <v>0</v>
      </c>
      <c r="Q180" s="84">
        <f t="shared" si="12"/>
        <v>0</v>
      </c>
      <c r="R180" s="40" t="str">
        <f t="shared" si="1"/>
        <v>Semana 1 — ver 🔄</v>
      </c>
      <c r="S180" t="str" cm="1">
        <f t="array" ref="S180">IF(D180="","",IFERROR(_xlfn.SWITCH(B180,"Semana 1",IFERROR(INDEX('🔄 Rotação Duplas'!$D$8:$D$17,MATCH(D180,'🔄 Rotação Duplas'!$C$8:$C$17,0)),INDEX('🔄 Rotação Duplas'!$C$8:$C$17,MATCH(D180,'🔄 Rotação Duplas'!$D$8:$D$17,0))),"Semana 2",IFERROR(INDEX('🔄 Rotação Duplas'!$D$22:$D$31,MATCH(D180,'🔄 Rotação Duplas'!$C$22:$C$31,0)),INDEX('🔄 Rotação Duplas'!$C$22:$C$31,MATCH(D180,'🔄 Rotação Duplas'!$D$22:$D$31,0))),"Semana 3",IFERROR(INDEX('🔄 Rotação Duplas'!$D$36:$D$45,MATCH(D180,'🔄 Rotação Duplas'!$C$36:$C$45,0)),INDEX('🔄 Rotação Duplas'!$C$36:$C$45,MATCH(D180,'🔄 Rotação Duplas'!$D$36:$D$45,0))),"Semana 4",IFERROR(INDEX('🔄 Rotação Duplas'!$D$50:$D$59,MATCH(D180,'🔄 Rotação Duplas'!$C$50:$C$59,0)),INDEX('🔄 Rotação Duplas'!$C$50:$C$59,MATCH(D180,'🔄 Rotação Duplas'!$D$50:$D$59,0))),"Semana 5",IFERROR(INDEX('🔄 Rotação Duplas'!$D$64:$D$73,MATCH(D180,'🔄 Rotação Duplas'!$C$64:$C$73,0)),INDEX('🔄 Rotação Duplas'!$C$64:$C$73,MATCH(D180,'🔄 Rotação Duplas'!$D$64:$D$73,0))),"Semana 6",IFERROR(INDEX('🔄 Rotação Duplas'!$D$78:$D$87,MATCH(D180,'🔄 Rotação Duplas'!$C$78:$C$87,0)),INDEX('🔄 Rotação Duplas'!$C$78:$C$87,MATCH(D180,'🔄 Rotação Duplas'!$D$78:$D$87,0))),"Semana 7",IFERROR(INDEX('🔄 Rotação Duplas'!$D$92:$D$101,MATCH(D180,'🔄 Rotação Duplas'!$C$92:$C$101,0)),INDEX('🔄 Rotação Duplas'!$C$92:$C$101,MATCH(D180,'🔄 Rotação Duplas'!$D$92:$D$101,0))),"Semana 8",IFERROR(INDEX('🔄 Rotação Duplas'!$D$106:$D$115,MATCH(D180,'🔄 Rotação Duplas'!$C$106:$C$115,0)),INDEX('🔄 Rotação Duplas'!$C$106:$C$115,MATCH(D180,'🔄 Rotação Duplas'!$D$106:$D$115,0)))),""))</f>
        <v/>
      </c>
      <c r="T180">
        <f t="shared" si="13"/>
        <v>0</v>
      </c>
    </row>
    <row r="181" spans="2:20" ht="18" customHeight="1" x14ac:dyDescent="0.2">
      <c r="B181" s="78" t="s">
        <v>73</v>
      </c>
      <c r="C181" s="79" t="str">
        <f t="shared" si="15"/>
        <v>Desafio 9</v>
      </c>
      <c r="D181" s="80" t="str">
        <f>'⚙️ Configuração'!C44</f>
        <v>Paula Miabara</v>
      </c>
      <c r="E181" s="50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81">
        <f>(E181*'⚙️ Configuração'!$C$6+F181*'⚙️ Configuração'!$C$7+G181*'⚙️ Configuração'!$C$8+H181*'⚙️ Configuração'!$C$9+I181*'⚙️ Configuração'!$C$10+J181*'⚙️ Configuração'!$C$11)*IF(N181="S",2,1)</f>
        <v>0</v>
      </c>
      <c r="L181" s="90" t="s">
        <v>167</v>
      </c>
      <c r="M181" s="82">
        <f>IF(L181="AT1",'⚙️ Configuração'!$C$14,IF(L181="AT2",'⚙️ Configuração'!$C$15,IF(L181="FI",'⚙️ Configuração'!$C$16,IF(L181="FJ",'⚙️ Configuração'!$C$17,0))))</f>
        <v>0</v>
      </c>
      <c r="N181" s="91" t="s">
        <v>167</v>
      </c>
      <c r="O181" s="92"/>
      <c r="P181" s="83">
        <f>IF(O181="1",'⚙️ Configuração'!$C$21,IF(O181="2",'⚙️ Configuração'!$C$22,IF(O181="3",'⚙️ Configuração'!$C$23,IF(O181="Outro",'⚙️ Configuração'!$C$24,0))))</f>
        <v>0</v>
      </c>
      <c r="Q181" s="84">
        <f t="shared" si="12"/>
        <v>0</v>
      </c>
      <c r="R181" s="40" t="str">
        <f t="shared" si="1"/>
        <v>Semana 1 — ver 🔄</v>
      </c>
      <c r="S181" t="str" cm="1">
        <f t="array" ref="S181">IF(D181="","",IFERROR(_xlfn.SWITCH(B181,"Semana 1",IFERROR(INDEX('🔄 Rotação Duplas'!$D$8:$D$17,MATCH(D181,'🔄 Rotação Duplas'!$C$8:$C$17,0)),INDEX('🔄 Rotação Duplas'!$C$8:$C$17,MATCH(D181,'🔄 Rotação Duplas'!$D$8:$D$17,0))),"Semana 2",IFERROR(INDEX('🔄 Rotação Duplas'!$D$22:$D$31,MATCH(D181,'🔄 Rotação Duplas'!$C$22:$C$31,0)),INDEX('🔄 Rotação Duplas'!$C$22:$C$31,MATCH(D181,'🔄 Rotação Duplas'!$D$22:$D$31,0))),"Semana 3",IFERROR(INDEX('🔄 Rotação Duplas'!$D$36:$D$45,MATCH(D181,'🔄 Rotação Duplas'!$C$36:$C$45,0)),INDEX('🔄 Rotação Duplas'!$C$36:$C$45,MATCH(D181,'🔄 Rotação Duplas'!$D$36:$D$45,0))),"Semana 4",IFERROR(INDEX('🔄 Rotação Duplas'!$D$50:$D$59,MATCH(D181,'🔄 Rotação Duplas'!$C$50:$C$59,0)),INDEX('🔄 Rotação Duplas'!$C$50:$C$59,MATCH(D181,'🔄 Rotação Duplas'!$D$50:$D$59,0))),"Semana 5",IFERROR(INDEX('🔄 Rotação Duplas'!$D$64:$D$73,MATCH(D181,'🔄 Rotação Duplas'!$C$64:$C$73,0)),INDEX('🔄 Rotação Duplas'!$C$64:$C$73,MATCH(D181,'🔄 Rotação Duplas'!$D$64:$D$73,0))),"Semana 6",IFERROR(INDEX('🔄 Rotação Duplas'!$D$78:$D$87,MATCH(D181,'🔄 Rotação Duplas'!$C$78:$C$87,0)),INDEX('🔄 Rotação Duplas'!$C$78:$C$87,MATCH(D181,'🔄 Rotação Duplas'!$D$78:$D$87,0))),"Semana 7",IFERROR(INDEX('🔄 Rotação Duplas'!$D$92:$D$101,MATCH(D181,'🔄 Rotação Duplas'!$C$92:$C$101,0)),INDEX('🔄 Rotação Duplas'!$C$92:$C$101,MATCH(D181,'🔄 Rotação Duplas'!$D$92:$D$101,0))),"Semana 8",IFERROR(INDEX('🔄 Rotação Duplas'!$D$106:$D$115,MATCH(D181,'🔄 Rotação Duplas'!$C$106:$C$115,0)),INDEX('🔄 Rotação Duplas'!$C$106:$C$115,MATCH(D181,'🔄 Rotação Duplas'!$D$106:$D$115,0)))),""))</f>
        <v/>
      </c>
      <c r="T181">
        <f t="shared" si="13"/>
        <v>0</v>
      </c>
    </row>
    <row r="182" spans="2:20" ht="18" customHeight="1" x14ac:dyDescent="0.2">
      <c r="B182" s="85" t="s">
        <v>73</v>
      </c>
      <c r="C182" s="86" t="str">
        <f t="shared" si="15"/>
        <v>Desafio 9</v>
      </c>
      <c r="D182" s="87" t="str">
        <f>'⚙️ Configuração'!C45</f>
        <v>Rita Carmo</v>
      </c>
      <c r="E182" s="50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81">
        <f>(E182*'⚙️ Configuração'!$C$6+F182*'⚙️ Configuração'!$C$7+G182*'⚙️ Configuração'!$C$8+H182*'⚙️ Configuração'!$C$9+I182*'⚙️ Configuração'!$C$10+J182*'⚙️ Configuração'!$C$11)*IF(N182="S",2,1)</f>
        <v>0</v>
      </c>
      <c r="L182" s="90" t="s">
        <v>167</v>
      </c>
      <c r="M182" s="82">
        <f>IF(L182="AT1",'⚙️ Configuração'!$C$14,IF(L182="AT2",'⚙️ Configuração'!$C$15,IF(L182="FI",'⚙️ Configuração'!$C$16,IF(L182="FJ",'⚙️ Configuração'!$C$17,0))))</f>
        <v>0</v>
      </c>
      <c r="N182" s="91" t="s">
        <v>167</v>
      </c>
      <c r="O182" s="92"/>
      <c r="P182" s="83">
        <f>IF(O182="1",'⚙️ Configuração'!$C$21,IF(O182="2",'⚙️ Configuração'!$C$22,IF(O182="3",'⚙️ Configuração'!$C$23,IF(O182="Outro",'⚙️ Configuração'!$C$24,0))))</f>
        <v>0</v>
      </c>
      <c r="Q182" s="84">
        <f t="shared" si="12"/>
        <v>0</v>
      </c>
      <c r="R182" s="40" t="str">
        <f t="shared" si="1"/>
        <v>Semana 1 — ver 🔄</v>
      </c>
      <c r="S182" t="str" cm="1">
        <f t="array" ref="S182">IF(D182="","",IFERROR(_xlfn.SWITCH(B182,"Semana 1",IFERROR(INDEX('🔄 Rotação Duplas'!$D$8:$D$17,MATCH(D182,'🔄 Rotação Duplas'!$C$8:$C$17,0)),INDEX('🔄 Rotação Duplas'!$C$8:$C$17,MATCH(D182,'🔄 Rotação Duplas'!$D$8:$D$17,0))),"Semana 2",IFERROR(INDEX('🔄 Rotação Duplas'!$D$22:$D$31,MATCH(D182,'🔄 Rotação Duplas'!$C$22:$C$31,0)),INDEX('🔄 Rotação Duplas'!$C$22:$C$31,MATCH(D182,'🔄 Rotação Duplas'!$D$22:$D$31,0))),"Semana 3",IFERROR(INDEX('🔄 Rotação Duplas'!$D$36:$D$45,MATCH(D182,'🔄 Rotação Duplas'!$C$36:$C$45,0)),INDEX('🔄 Rotação Duplas'!$C$36:$C$45,MATCH(D182,'🔄 Rotação Duplas'!$D$36:$D$45,0))),"Semana 4",IFERROR(INDEX('🔄 Rotação Duplas'!$D$50:$D$59,MATCH(D182,'🔄 Rotação Duplas'!$C$50:$C$59,0)),INDEX('🔄 Rotação Duplas'!$C$50:$C$59,MATCH(D182,'🔄 Rotação Duplas'!$D$50:$D$59,0))),"Semana 5",IFERROR(INDEX('🔄 Rotação Duplas'!$D$64:$D$73,MATCH(D182,'🔄 Rotação Duplas'!$C$64:$C$73,0)),INDEX('🔄 Rotação Duplas'!$C$64:$C$73,MATCH(D182,'🔄 Rotação Duplas'!$D$64:$D$73,0))),"Semana 6",IFERROR(INDEX('🔄 Rotação Duplas'!$D$78:$D$87,MATCH(D182,'🔄 Rotação Duplas'!$C$78:$C$87,0)),INDEX('🔄 Rotação Duplas'!$C$78:$C$87,MATCH(D182,'🔄 Rotação Duplas'!$D$78:$D$87,0))),"Semana 7",IFERROR(INDEX('🔄 Rotação Duplas'!$D$92:$D$101,MATCH(D182,'🔄 Rotação Duplas'!$C$92:$C$101,0)),INDEX('🔄 Rotação Duplas'!$C$92:$C$101,MATCH(D182,'🔄 Rotação Duplas'!$D$92:$D$101,0))),"Semana 8",IFERROR(INDEX('🔄 Rotação Duplas'!$D$106:$D$115,MATCH(D182,'🔄 Rotação Duplas'!$C$106:$C$115,0)),INDEX('🔄 Rotação Duplas'!$C$106:$C$115,MATCH(D182,'🔄 Rotação Duplas'!$D$106:$D$115,0)))),""))</f>
        <v/>
      </c>
      <c r="T182">
        <f t="shared" si="13"/>
        <v>0</v>
      </c>
    </row>
    <row r="183" spans="2:20" ht="18" customHeight="1" x14ac:dyDescent="0.2">
      <c r="B183" s="78" t="s">
        <v>73</v>
      </c>
      <c r="C183" s="79" t="str">
        <f t="shared" si="15"/>
        <v>Desafio 9</v>
      </c>
      <c r="D183" s="80" t="str">
        <f>'⚙️ Configuração'!C46</f>
        <v>William Fernandes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81">
        <f>(E183*'⚙️ Configuração'!$C$6+F183*'⚙️ Configuração'!$C$7+G183*'⚙️ Configuração'!$C$8+H183*'⚙️ Configuração'!$C$9+I183*'⚙️ Configuração'!$C$10+J183*'⚙️ Configuração'!$C$11)*IF(N183="S",2,1)</f>
        <v>0</v>
      </c>
      <c r="L183" s="90" t="s">
        <v>167</v>
      </c>
      <c r="M183" s="82">
        <f>IF(L183="AT1",'⚙️ Configuração'!$C$14,IF(L183="AT2",'⚙️ Configuração'!$C$15,IF(L183="FI",'⚙️ Configuração'!$C$16,IF(L183="FJ",'⚙️ Configuração'!$C$17,0))))</f>
        <v>0</v>
      </c>
      <c r="N183" s="91" t="s">
        <v>167</v>
      </c>
      <c r="O183" s="92"/>
      <c r="P183" s="83">
        <f>IF(O183="1",'⚙️ Configuração'!$C$21,IF(O183="2",'⚙️ Configuração'!$C$22,IF(O183="3",'⚙️ Configuração'!$C$23,IF(O183="Outro",'⚙️ Configuração'!$C$24,0))))</f>
        <v>0</v>
      </c>
      <c r="Q183" s="84">
        <f t="shared" si="12"/>
        <v>0</v>
      </c>
      <c r="R183" s="40" t="str">
        <f t="shared" si="1"/>
        <v>Semana 1 — ver 🔄</v>
      </c>
      <c r="S183" t="str" cm="1">
        <f t="array" ref="S183">IF(D183="","",IFERROR(_xlfn.SWITCH(B183,"Semana 1",IFERROR(INDEX('🔄 Rotação Duplas'!$D$8:$D$17,MATCH(D183,'🔄 Rotação Duplas'!$C$8:$C$17,0)),INDEX('🔄 Rotação Duplas'!$C$8:$C$17,MATCH(D183,'🔄 Rotação Duplas'!$D$8:$D$17,0))),"Semana 2",IFERROR(INDEX('🔄 Rotação Duplas'!$D$22:$D$31,MATCH(D183,'🔄 Rotação Duplas'!$C$22:$C$31,0)),INDEX('🔄 Rotação Duplas'!$C$22:$C$31,MATCH(D183,'🔄 Rotação Duplas'!$D$22:$D$31,0))),"Semana 3",IFERROR(INDEX('🔄 Rotação Duplas'!$D$36:$D$45,MATCH(D183,'🔄 Rotação Duplas'!$C$36:$C$45,0)),INDEX('🔄 Rotação Duplas'!$C$36:$C$45,MATCH(D183,'🔄 Rotação Duplas'!$D$36:$D$45,0))),"Semana 4",IFERROR(INDEX('🔄 Rotação Duplas'!$D$50:$D$59,MATCH(D183,'🔄 Rotação Duplas'!$C$50:$C$59,0)),INDEX('🔄 Rotação Duplas'!$C$50:$C$59,MATCH(D183,'🔄 Rotação Duplas'!$D$50:$D$59,0))),"Semana 5",IFERROR(INDEX('🔄 Rotação Duplas'!$D$64:$D$73,MATCH(D183,'🔄 Rotação Duplas'!$C$64:$C$73,0)),INDEX('🔄 Rotação Duplas'!$C$64:$C$73,MATCH(D183,'🔄 Rotação Duplas'!$D$64:$D$73,0))),"Semana 6",IFERROR(INDEX('🔄 Rotação Duplas'!$D$78:$D$87,MATCH(D183,'🔄 Rotação Duplas'!$C$78:$C$87,0)),INDEX('🔄 Rotação Duplas'!$C$78:$C$87,MATCH(D183,'🔄 Rotação Duplas'!$D$78:$D$87,0))),"Semana 7",IFERROR(INDEX('🔄 Rotação Duplas'!$D$92:$D$101,MATCH(D183,'🔄 Rotação Duplas'!$C$92:$C$101,0)),INDEX('🔄 Rotação Duplas'!$C$92:$C$101,MATCH(D183,'🔄 Rotação Duplas'!$D$92:$D$101,0))),"Semana 8",IFERROR(INDEX('🔄 Rotação Duplas'!$D$106:$D$115,MATCH(D183,'🔄 Rotação Duplas'!$C$106:$C$115,0)),INDEX('🔄 Rotação Duplas'!$C$106:$C$115,MATCH(D183,'🔄 Rotação Duplas'!$D$106:$D$115,0)))),""))</f>
        <v/>
      </c>
      <c r="T183">
        <f t="shared" si="13"/>
        <v>0</v>
      </c>
    </row>
    <row r="184" spans="2:20" ht="18" customHeight="1" x14ac:dyDescent="0.2">
      <c r="B184" s="85" t="s">
        <v>73</v>
      </c>
      <c r="C184" s="86" t="str">
        <f t="shared" si="15"/>
        <v>Desafio 9</v>
      </c>
      <c r="D184" s="87" t="str">
        <f>'⚙️ Configuração'!C47</f>
        <v>-</v>
      </c>
      <c r="E184" s="50">
        <v>0</v>
      </c>
      <c r="F184" s="50">
        <v>0</v>
      </c>
      <c r="G184" s="50">
        <v>0</v>
      </c>
      <c r="H184" s="50">
        <v>0</v>
      </c>
      <c r="I184" s="50">
        <v>0</v>
      </c>
      <c r="J184" s="50">
        <v>0</v>
      </c>
      <c r="K184" s="81">
        <f>(E184*'⚙️ Configuração'!$C$6+F184*'⚙️ Configuração'!$C$7+G184*'⚙️ Configuração'!$C$8+H184*'⚙️ Configuração'!$C$9+I184*'⚙️ Configuração'!$C$10+J184*'⚙️ Configuração'!$C$11)*IF(N184="S",2,1)</f>
        <v>0</v>
      </c>
      <c r="L184" s="90" t="s">
        <v>167</v>
      </c>
      <c r="M184" s="82">
        <f>IF(L184="AT1",'⚙️ Configuração'!$C$14,IF(L184="AT2",'⚙️ Configuração'!$C$15,IF(L184="FI",'⚙️ Configuração'!$C$16,IF(L184="FJ",'⚙️ Configuração'!$C$17,0))))</f>
        <v>0</v>
      </c>
      <c r="N184" s="91" t="s">
        <v>167</v>
      </c>
      <c r="O184" s="92"/>
      <c r="P184" s="83">
        <f>IF(O184="1",'⚙️ Configuração'!$C$21,IF(O184="2",'⚙️ Configuração'!$C$22,IF(O184="3",'⚙️ Configuração'!$C$23,IF(O184="Outro",'⚙️ Configuração'!$C$24,0))))</f>
        <v>0</v>
      </c>
      <c r="Q184" s="84">
        <f t="shared" si="12"/>
        <v>0</v>
      </c>
      <c r="R184" s="40" t="str">
        <f t="shared" si="1"/>
        <v>Semana 1 — ver 🔄</v>
      </c>
      <c r="S184" t="str" cm="1">
        <f t="array" ref="S184">IF(D184="","",IFERROR(_xlfn.SWITCH(B184,"Semana 1",IFERROR(INDEX('🔄 Rotação Duplas'!$D$8:$D$17,MATCH(D184,'🔄 Rotação Duplas'!$C$8:$C$17,0)),INDEX('🔄 Rotação Duplas'!$C$8:$C$17,MATCH(D184,'🔄 Rotação Duplas'!$D$8:$D$17,0))),"Semana 2",IFERROR(INDEX('🔄 Rotação Duplas'!$D$22:$D$31,MATCH(D184,'🔄 Rotação Duplas'!$C$22:$C$31,0)),INDEX('🔄 Rotação Duplas'!$C$22:$C$31,MATCH(D184,'🔄 Rotação Duplas'!$D$22:$D$31,0))),"Semana 3",IFERROR(INDEX('🔄 Rotação Duplas'!$D$36:$D$45,MATCH(D184,'🔄 Rotação Duplas'!$C$36:$C$45,0)),INDEX('🔄 Rotação Duplas'!$C$36:$C$45,MATCH(D184,'🔄 Rotação Duplas'!$D$36:$D$45,0))),"Semana 4",IFERROR(INDEX('🔄 Rotação Duplas'!$D$50:$D$59,MATCH(D184,'🔄 Rotação Duplas'!$C$50:$C$59,0)),INDEX('🔄 Rotação Duplas'!$C$50:$C$59,MATCH(D184,'🔄 Rotação Duplas'!$D$50:$D$59,0))),"Semana 5",IFERROR(INDEX('🔄 Rotação Duplas'!$D$64:$D$73,MATCH(D184,'🔄 Rotação Duplas'!$C$64:$C$73,0)),INDEX('🔄 Rotação Duplas'!$C$64:$C$73,MATCH(D184,'🔄 Rotação Duplas'!$D$64:$D$73,0))),"Semana 6",IFERROR(INDEX('🔄 Rotação Duplas'!$D$78:$D$87,MATCH(D184,'🔄 Rotação Duplas'!$C$78:$C$87,0)),INDEX('🔄 Rotação Duplas'!$C$78:$C$87,MATCH(D184,'🔄 Rotação Duplas'!$D$78:$D$87,0))),"Semana 7",IFERROR(INDEX('🔄 Rotação Duplas'!$D$92:$D$101,MATCH(D184,'🔄 Rotação Duplas'!$C$92:$C$101,0)),INDEX('🔄 Rotação Duplas'!$C$92:$C$101,MATCH(D184,'🔄 Rotação Duplas'!$D$92:$D$101,0))),"Semana 8",IFERROR(INDEX('🔄 Rotação Duplas'!$D$106:$D$115,MATCH(D184,'🔄 Rotação Duplas'!$C$106:$C$115,0)),INDEX('🔄 Rotação Duplas'!$C$106:$C$115,MATCH(D184,'🔄 Rotação Duplas'!$D$106:$D$115,0)))),""))</f>
        <v/>
      </c>
      <c r="T184">
        <f t="shared" si="13"/>
        <v>0</v>
      </c>
    </row>
    <row r="185" spans="2:20" ht="18" customHeight="1" x14ac:dyDescent="0.2">
      <c r="B185" s="78" t="s">
        <v>73</v>
      </c>
      <c r="C185" s="79" t="str">
        <f t="shared" si="15"/>
        <v>Desafio 9</v>
      </c>
      <c r="D185" s="80" t="str">
        <f>'⚙️ Configuração'!C48</f>
        <v>-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81">
        <f>(E185*'⚙️ Configuração'!$C$6+F185*'⚙️ Configuração'!$C$7+G185*'⚙️ Configuração'!$C$8+H185*'⚙️ Configuração'!$C$9+I185*'⚙️ Configuração'!$C$10+J185*'⚙️ Configuração'!$C$11)*IF(N185="S",2,1)</f>
        <v>0</v>
      </c>
      <c r="L185" s="90" t="s">
        <v>167</v>
      </c>
      <c r="M185" s="82">
        <f>IF(L185="AT1",'⚙️ Configuração'!$C$14,IF(L185="AT2",'⚙️ Configuração'!$C$15,IF(L185="FI",'⚙️ Configuração'!$C$16,IF(L185="FJ",'⚙️ Configuração'!$C$17,0))))</f>
        <v>0</v>
      </c>
      <c r="N185" s="91" t="s">
        <v>167</v>
      </c>
      <c r="O185" s="92"/>
      <c r="P185" s="83">
        <f>IF(O185="1",'⚙️ Configuração'!$C$21,IF(O185="2",'⚙️ Configuração'!$C$22,IF(O185="3",'⚙️ Configuração'!$C$23,IF(O185="Outro",'⚙️ Configuração'!$C$24,0))))</f>
        <v>0</v>
      </c>
      <c r="Q185" s="84">
        <f t="shared" si="12"/>
        <v>0</v>
      </c>
      <c r="R185" s="40" t="str">
        <f t="shared" si="1"/>
        <v>Semana 1 — ver 🔄</v>
      </c>
      <c r="S185" t="str" cm="1">
        <f t="array" ref="S185">IF(D185="","",IFERROR(_xlfn.SWITCH(B185,"Semana 1",IFERROR(INDEX('🔄 Rotação Duplas'!$D$8:$D$17,MATCH(D185,'🔄 Rotação Duplas'!$C$8:$C$17,0)),INDEX('🔄 Rotação Duplas'!$C$8:$C$17,MATCH(D185,'🔄 Rotação Duplas'!$D$8:$D$17,0))),"Semana 2",IFERROR(INDEX('🔄 Rotação Duplas'!$D$22:$D$31,MATCH(D185,'🔄 Rotação Duplas'!$C$22:$C$31,0)),INDEX('🔄 Rotação Duplas'!$C$22:$C$31,MATCH(D185,'🔄 Rotação Duplas'!$D$22:$D$31,0))),"Semana 3",IFERROR(INDEX('🔄 Rotação Duplas'!$D$36:$D$45,MATCH(D185,'🔄 Rotação Duplas'!$C$36:$C$45,0)),INDEX('🔄 Rotação Duplas'!$C$36:$C$45,MATCH(D185,'🔄 Rotação Duplas'!$D$36:$D$45,0))),"Semana 4",IFERROR(INDEX('🔄 Rotação Duplas'!$D$50:$D$59,MATCH(D185,'🔄 Rotação Duplas'!$C$50:$C$59,0)),INDEX('🔄 Rotação Duplas'!$C$50:$C$59,MATCH(D185,'🔄 Rotação Duplas'!$D$50:$D$59,0))),"Semana 5",IFERROR(INDEX('🔄 Rotação Duplas'!$D$64:$D$73,MATCH(D185,'🔄 Rotação Duplas'!$C$64:$C$73,0)),INDEX('🔄 Rotação Duplas'!$C$64:$C$73,MATCH(D185,'🔄 Rotação Duplas'!$D$64:$D$73,0))),"Semana 6",IFERROR(INDEX('🔄 Rotação Duplas'!$D$78:$D$87,MATCH(D185,'🔄 Rotação Duplas'!$C$78:$C$87,0)),INDEX('🔄 Rotação Duplas'!$C$78:$C$87,MATCH(D185,'🔄 Rotação Duplas'!$D$78:$D$87,0))),"Semana 7",IFERROR(INDEX('🔄 Rotação Duplas'!$D$92:$D$101,MATCH(D185,'🔄 Rotação Duplas'!$C$92:$C$101,0)),INDEX('🔄 Rotação Duplas'!$C$92:$C$101,MATCH(D185,'🔄 Rotação Duplas'!$D$92:$D$101,0))),"Semana 8",IFERROR(INDEX('🔄 Rotação Duplas'!$D$106:$D$115,MATCH(D185,'🔄 Rotação Duplas'!$C$106:$C$115,0)),INDEX('🔄 Rotação Duplas'!$C$106:$C$115,MATCH(D185,'🔄 Rotação Duplas'!$D$106:$D$115,0)))),""))</f>
        <v/>
      </c>
      <c r="T185">
        <f t="shared" si="13"/>
        <v>0</v>
      </c>
    </row>
    <row r="186" spans="2:20" ht="18" customHeight="1" x14ac:dyDescent="0.2">
      <c r="B186" s="85" t="s">
        <v>73</v>
      </c>
      <c r="C186" s="86" t="str">
        <f t="shared" si="15"/>
        <v>Desafio 9</v>
      </c>
      <c r="D186" s="87" t="str">
        <f>'⚙️ Configuração'!C49</f>
        <v>-</v>
      </c>
      <c r="E186" s="50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81">
        <f>(E186*'⚙️ Configuração'!$C$6+F186*'⚙️ Configuração'!$C$7+G186*'⚙️ Configuração'!$C$8+H186*'⚙️ Configuração'!$C$9+I186*'⚙️ Configuração'!$C$10+J186*'⚙️ Configuração'!$C$11)*IF(N186="S",2,1)</f>
        <v>0</v>
      </c>
      <c r="L186" s="90" t="s">
        <v>167</v>
      </c>
      <c r="M186" s="82">
        <f>IF(L186="AT1",'⚙️ Configuração'!$C$14,IF(L186="AT2",'⚙️ Configuração'!$C$15,IF(L186="FI",'⚙️ Configuração'!$C$16,IF(L186="FJ",'⚙️ Configuração'!$C$17,0))))</f>
        <v>0</v>
      </c>
      <c r="N186" s="91" t="s">
        <v>167</v>
      </c>
      <c r="O186" s="92"/>
      <c r="P186" s="83">
        <f>IF(O186="1",'⚙️ Configuração'!$C$21,IF(O186="2",'⚙️ Configuração'!$C$22,IF(O186="3",'⚙️ Configuração'!$C$23,IF(O186="Outro",'⚙️ Configuração'!$C$24,0))))</f>
        <v>0</v>
      </c>
      <c r="Q186" s="84">
        <f t="shared" si="12"/>
        <v>0</v>
      </c>
      <c r="R186" s="40" t="str">
        <f t="shared" si="1"/>
        <v>Semana 1 — ver 🔄</v>
      </c>
      <c r="S186" t="str" cm="1">
        <f t="array" ref="S186">IF(D186="","",IFERROR(_xlfn.SWITCH(B186,"Semana 1",IFERROR(INDEX('🔄 Rotação Duplas'!$D$8:$D$17,MATCH(D186,'🔄 Rotação Duplas'!$C$8:$C$17,0)),INDEX('🔄 Rotação Duplas'!$C$8:$C$17,MATCH(D186,'🔄 Rotação Duplas'!$D$8:$D$17,0))),"Semana 2",IFERROR(INDEX('🔄 Rotação Duplas'!$D$22:$D$31,MATCH(D186,'🔄 Rotação Duplas'!$C$22:$C$31,0)),INDEX('🔄 Rotação Duplas'!$C$22:$C$31,MATCH(D186,'🔄 Rotação Duplas'!$D$22:$D$31,0))),"Semana 3",IFERROR(INDEX('🔄 Rotação Duplas'!$D$36:$D$45,MATCH(D186,'🔄 Rotação Duplas'!$C$36:$C$45,0)),INDEX('🔄 Rotação Duplas'!$C$36:$C$45,MATCH(D186,'🔄 Rotação Duplas'!$D$36:$D$45,0))),"Semana 4",IFERROR(INDEX('🔄 Rotação Duplas'!$D$50:$D$59,MATCH(D186,'🔄 Rotação Duplas'!$C$50:$C$59,0)),INDEX('🔄 Rotação Duplas'!$C$50:$C$59,MATCH(D186,'🔄 Rotação Duplas'!$D$50:$D$59,0))),"Semana 5",IFERROR(INDEX('🔄 Rotação Duplas'!$D$64:$D$73,MATCH(D186,'🔄 Rotação Duplas'!$C$64:$C$73,0)),INDEX('🔄 Rotação Duplas'!$C$64:$C$73,MATCH(D186,'🔄 Rotação Duplas'!$D$64:$D$73,0))),"Semana 6",IFERROR(INDEX('🔄 Rotação Duplas'!$D$78:$D$87,MATCH(D186,'🔄 Rotação Duplas'!$C$78:$C$87,0)),INDEX('🔄 Rotação Duplas'!$C$78:$C$87,MATCH(D186,'🔄 Rotação Duplas'!$D$78:$D$87,0))),"Semana 7",IFERROR(INDEX('🔄 Rotação Duplas'!$D$92:$D$101,MATCH(D186,'🔄 Rotação Duplas'!$C$92:$C$101,0)),INDEX('🔄 Rotação Duplas'!$C$92:$C$101,MATCH(D186,'🔄 Rotação Duplas'!$D$92:$D$101,0))),"Semana 8",IFERROR(INDEX('🔄 Rotação Duplas'!$D$106:$D$115,MATCH(D186,'🔄 Rotação Duplas'!$C$106:$C$115,0)),INDEX('🔄 Rotação Duplas'!$C$106:$C$115,MATCH(D186,'🔄 Rotação Duplas'!$D$106:$D$115,0)))),""))</f>
        <v/>
      </c>
      <c r="T186">
        <f t="shared" si="13"/>
        <v>0</v>
      </c>
    </row>
    <row r="187" spans="2:20" ht="18" customHeight="1" x14ac:dyDescent="0.2">
      <c r="B187" s="78" t="s">
        <v>73</v>
      </c>
      <c r="C187" s="79" t="str">
        <f t="shared" ref="C187:C206" si="16">"Desafio 10"</f>
        <v>Desafio 10</v>
      </c>
      <c r="D187" s="80" t="str">
        <f>'⚙️ Configuração'!C30</f>
        <v>Carla Cantante</v>
      </c>
      <c r="E187" s="50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81">
        <f>(E187*'⚙️ Configuração'!$C$6+F187*'⚙️ Configuração'!$C$7+G187*'⚙️ Configuração'!$C$8+H187*'⚙️ Configuração'!$C$9+I187*'⚙️ Configuração'!$C$10+J187*'⚙️ Configuração'!$C$11)*IF(N187="S",2,1)</f>
        <v>0</v>
      </c>
      <c r="L187" s="90" t="s">
        <v>167</v>
      </c>
      <c r="M187" s="82">
        <f>IF(L187="AT1",'⚙️ Configuração'!$C$14,IF(L187="AT2",'⚙️ Configuração'!$C$15,IF(L187="FI",'⚙️ Configuração'!$C$16,IF(L187="FJ",'⚙️ Configuração'!$C$17,0))))</f>
        <v>0</v>
      </c>
      <c r="N187" s="91" t="s">
        <v>167</v>
      </c>
      <c r="O187" s="92"/>
      <c r="P187" s="83">
        <f>IF(O187="1",'⚙️ Configuração'!$C$21,IF(O187="2",'⚙️ Configuração'!$C$22,IF(O187="3",'⚙️ Configuração'!$C$23,IF(O187="Outro",'⚙️ Configuração'!$C$24,0))))</f>
        <v>0</v>
      </c>
      <c r="Q187" s="84">
        <f t="shared" si="12"/>
        <v>0</v>
      </c>
      <c r="R187" s="40" t="str">
        <f t="shared" si="1"/>
        <v>Semana 1 — ver 🔄</v>
      </c>
      <c r="S187" t="str" cm="1">
        <f t="array" ref="S187">IF(D187="","",IFERROR(_xlfn.SWITCH(B187,"Semana 1",IFERROR(INDEX('🔄 Rotação Duplas'!$D$8:$D$17,MATCH(D187,'🔄 Rotação Duplas'!$C$8:$C$17,0)),INDEX('🔄 Rotação Duplas'!$C$8:$C$17,MATCH(D187,'🔄 Rotação Duplas'!$D$8:$D$17,0))),"Semana 2",IFERROR(INDEX('🔄 Rotação Duplas'!$D$22:$D$31,MATCH(D187,'🔄 Rotação Duplas'!$C$22:$C$31,0)),INDEX('🔄 Rotação Duplas'!$C$22:$C$31,MATCH(D187,'🔄 Rotação Duplas'!$D$22:$D$31,0))),"Semana 3",IFERROR(INDEX('🔄 Rotação Duplas'!$D$36:$D$45,MATCH(D187,'🔄 Rotação Duplas'!$C$36:$C$45,0)),INDEX('🔄 Rotação Duplas'!$C$36:$C$45,MATCH(D187,'🔄 Rotação Duplas'!$D$36:$D$45,0))),"Semana 4",IFERROR(INDEX('🔄 Rotação Duplas'!$D$50:$D$59,MATCH(D187,'🔄 Rotação Duplas'!$C$50:$C$59,0)),INDEX('🔄 Rotação Duplas'!$C$50:$C$59,MATCH(D187,'🔄 Rotação Duplas'!$D$50:$D$59,0))),"Semana 5",IFERROR(INDEX('🔄 Rotação Duplas'!$D$64:$D$73,MATCH(D187,'🔄 Rotação Duplas'!$C$64:$C$73,0)),INDEX('🔄 Rotação Duplas'!$C$64:$C$73,MATCH(D187,'🔄 Rotação Duplas'!$D$64:$D$73,0))),"Semana 6",IFERROR(INDEX('🔄 Rotação Duplas'!$D$78:$D$87,MATCH(D187,'🔄 Rotação Duplas'!$C$78:$C$87,0)),INDEX('🔄 Rotação Duplas'!$C$78:$C$87,MATCH(D187,'🔄 Rotação Duplas'!$D$78:$D$87,0))),"Semana 7",IFERROR(INDEX('🔄 Rotação Duplas'!$D$92:$D$101,MATCH(D187,'🔄 Rotação Duplas'!$C$92:$C$101,0)),INDEX('🔄 Rotação Duplas'!$C$92:$C$101,MATCH(D187,'🔄 Rotação Duplas'!$D$92:$D$101,0))),"Semana 8",IFERROR(INDEX('🔄 Rotação Duplas'!$D$106:$D$115,MATCH(D187,'🔄 Rotação Duplas'!$C$106:$C$115,0)),INDEX('🔄 Rotação Duplas'!$C$106:$C$115,MATCH(D187,'🔄 Rotação Duplas'!$D$106:$D$115,0)))),""))</f>
        <v/>
      </c>
      <c r="T187">
        <f t="shared" si="13"/>
        <v>0</v>
      </c>
    </row>
    <row r="188" spans="2:20" ht="18" customHeight="1" x14ac:dyDescent="0.2">
      <c r="B188" s="85" t="s">
        <v>73</v>
      </c>
      <c r="C188" s="86" t="str">
        <f t="shared" si="16"/>
        <v>Desafio 10</v>
      </c>
      <c r="D188" s="87" t="str">
        <f>'⚙️ Configuração'!C31</f>
        <v>Elisabete Mendes</v>
      </c>
      <c r="E188" s="50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81">
        <f>(E188*'⚙️ Configuração'!$C$6+F188*'⚙️ Configuração'!$C$7+G188*'⚙️ Configuração'!$C$8+H188*'⚙️ Configuração'!$C$9+I188*'⚙️ Configuração'!$C$10+J188*'⚙️ Configuração'!$C$11)*IF(N188="S",2,1)</f>
        <v>0</v>
      </c>
      <c r="L188" s="90" t="s">
        <v>167</v>
      </c>
      <c r="M188" s="82">
        <f>IF(L188="AT1",'⚙️ Configuração'!$C$14,IF(L188="AT2",'⚙️ Configuração'!$C$15,IF(L188="FI",'⚙️ Configuração'!$C$16,IF(L188="FJ",'⚙️ Configuração'!$C$17,0))))</f>
        <v>0</v>
      </c>
      <c r="N188" s="91" t="s">
        <v>167</v>
      </c>
      <c r="O188" s="92"/>
      <c r="P188" s="83">
        <f>IF(O188="1",'⚙️ Configuração'!$C$21,IF(O188="2",'⚙️ Configuração'!$C$22,IF(O188="3",'⚙️ Configuração'!$C$23,IF(O188="Outro",'⚙️ Configuração'!$C$24,0))))</f>
        <v>0</v>
      </c>
      <c r="Q188" s="84">
        <f t="shared" si="12"/>
        <v>0</v>
      </c>
      <c r="R188" s="40" t="str">
        <f t="shared" si="1"/>
        <v>Semana 1 — ver 🔄</v>
      </c>
      <c r="S188" t="str" cm="1">
        <f t="array" ref="S188">IF(D188="","",IFERROR(_xlfn.SWITCH(B188,"Semana 1",IFERROR(INDEX('🔄 Rotação Duplas'!$D$8:$D$17,MATCH(D188,'🔄 Rotação Duplas'!$C$8:$C$17,0)),INDEX('🔄 Rotação Duplas'!$C$8:$C$17,MATCH(D188,'🔄 Rotação Duplas'!$D$8:$D$17,0))),"Semana 2",IFERROR(INDEX('🔄 Rotação Duplas'!$D$22:$D$31,MATCH(D188,'🔄 Rotação Duplas'!$C$22:$C$31,0)),INDEX('🔄 Rotação Duplas'!$C$22:$C$31,MATCH(D188,'🔄 Rotação Duplas'!$D$22:$D$31,0))),"Semana 3",IFERROR(INDEX('🔄 Rotação Duplas'!$D$36:$D$45,MATCH(D188,'🔄 Rotação Duplas'!$C$36:$C$45,0)),INDEX('🔄 Rotação Duplas'!$C$36:$C$45,MATCH(D188,'🔄 Rotação Duplas'!$D$36:$D$45,0))),"Semana 4",IFERROR(INDEX('🔄 Rotação Duplas'!$D$50:$D$59,MATCH(D188,'🔄 Rotação Duplas'!$C$50:$C$59,0)),INDEX('🔄 Rotação Duplas'!$C$50:$C$59,MATCH(D188,'🔄 Rotação Duplas'!$D$50:$D$59,0))),"Semana 5",IFERROR(INDEX('🔄 Rotação Duplas'!$D$64:$D$73,MATCH(D188,'🔄 Rotação Duplas'!$C$64:$C$73,0)),INDEX('🔄 Rotação Duplas'!$C$64:$C$73,MATCH(D188,'🔄 Rotação Duplas'!$D$64:$D$73,0))),"Semana 6",IFERROR(INDEX('🔄 Rotação Duplas'!$D$78:$D$87,MATCH(D188,'🔄 Rotação Duplas'!$C$78:$C$87,0)),INDEX('🔄 Rotação Duplas'!$C$78:$C$87,MATCH(D188,'🔄 Rotação Duplas'!$D$78:$D$87,0))),"Semana 7",IFERROR(INDEX('🔄 Rotação Duplas'!$D$92:$D$101,MATCH(D188,'🔄 Rotação Duplas'!$C$92:$C$101,0)),INDEX('🔄 Rotação Duplas'!$C$92:$C$101,MATCH(D188,'🔄 Rotação Duplas'!$D$92:$D$101,0))),"Semana 8",IFERROR(INDEX('🔄 Rotação Duplas'!$D$106:$D$115,MATCH(D188,'🔄 Rotação Duplas'!$C$106:$C$115,0)),INDEX('🔄 Rotação Duplas'!$C$106:$C$115,MATCH(D188,'🔄 Rotação Duplas'!$D$106:$D$115,0)))),""))</f>
        <v/>
      </c>
      <c r="T188">
        <f t="shared" si="13"/>
        <v>0</v>
      </c>
    </row>
    <row r="189" spans="2:20" ht="18" customHeight="1" x14ac:dyDescent="0.2">
      <c r="B189" s="78" t="s">
        <v>73</v>
      </c>
      <c r="C189" s="79" t="str">
        <f t="shared" si="16"/>
        <v>Desafio 10</v>
      </c>
      <c r="D189" s="80" t="str">
        <f>'⚙️ Configuração'!C32</f>
        <v>Filipa Cunha</v>
      </c>
      <c r="E189" s="50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81">
        <f>(E189*'⚙️ Configuração'!$C$6+F189*'⚙️ Configuração'!$C$7+G189*'⚙️ Configuração'!$C$8+H189*'⚙️ Configuração'!$C$9+I189*'⚙️ Configuração'!$C$10+J189*'⚙️ Configuração'!$C$11)*IF(N189="S",2,1)</f>
        <v>0</v>
      </c>
      <c r="L189" s="90" t="s">
        <v>167</v>
      </c>
      <c r="M189" s="82">
        <f>IF(L189="AT1",'⚙️ Configuração'!$C$14,IF(L189="AT2",'⚙️ Configuração'!$C$15,IF(L189="FI",'⚙️ Configuração'!$C$16,IF(L189="FJ",'⚙️ Configuração'!$C$17,0))))</f>
        <v>0</v>
      </c>
      <c r="N189" s="91" t="s">
        <v>167</v>
      </c>
      <c r="O189" s="92"/>
      <c r="P189" s="83">
        <f>IF(O189="1",'⚙️ Configuração'!$C$21,IF(O189="2",'⚙️ Configuração'!$C$22,IF(O189="3",'⚙️ Configuração'!$C$23,IF(O189="Outro",'⚙️ Configuração'!$C$24,0))))</f>
        <v>0</v>
      </c>
      <c r="Q189" s="84">
        <f t="shared" si="12"/>
        <v>0</v>
      </c>
      <c r="R189" s="40" t="str">
        <f t="shared" si="1"/>
        <v>Semana 1 — ver 🔄</v>
      </c>
      <c r="S189" t="str" cm="1">
        <f t="array" ref="S189">IF(D189="","",IFERROR(_xlfn.SWITCH(B189,"Semana 1",IFERROR(INDEX('🔄 Rotação Duplas'!$D$8:$D$17,MATCH(D189,'🔄 Rotação Duplas'!$C$8:$C$17,0)),INDEX('🔄 Rotação Duplas'!$C$8:$C$17,MATCH(D189,'🔄 Rotação Duplas'!$D$8:$D$17,0))),"Semana 2",IFERROR(INDEX('🔄 Rotação Duplas'!$D$22:$D$31,MATCH(D189,'🔄 Rotação Duplas'!$C$22:$C$31,0)),INDEX('🔄 Rotação Duplas'!$C$22:$C$31,MATCH(D189,'🔄 Rotação Duplas'!$D$22:$D$31,0))),"Semana 3",IFERROR(INDEX('🔄 Rotação Duplas'!$D$36:$D$45,MATCH(D189,'🔄 Rotação Duplas'!$C$36:$C$45,0)),INDEX('🔄 Rotação Duplas'!$C$36:$C$45,MATCH(D189,'🔄 Rotação Duplas'!$D$36:$D$45,0))),"Semana 4",IFERROR(INDEX('🔄 Rotação Duplas'!$D$50:$D$59,MATCH(D189,'🔄 Rotação Duplas'!$C$50:$C$59,0)),INDEX('🔄 Rotação Duplas'!$C$50:$C$59,MATCH(D189,'🔄 Rotação Duplas'!$D$50:$D$59,0))),"Semana 5",IFERROR(INDEX('🔄 Rotação Duplas'!$D$64:$D$73,MATCH(D189,'🔄 Rotação Duplas'!$C$64:$C$73,0)),INDEX('🔄 Rotação Duplas'!$C$64:$C$73,MATCH(D189,'🔄 Rotação Duplas'!$D$64:$D$73,0))),"Semana 6",IFERROR(INDEX('🔄 Rotação Duplas'!$D$78:$D$87,MATCH(D189,'🔄 Rotação Duplas'!$C$78:$C$87,0)),INDEX('🔄 Rotação Duplas'!$C$78:$C$87,MATCH(D189,'🔄 Rotação Duplas'!$D$78:$D$87,0))),"Semana 7",IFERROR(INDEX('🔄 Rotação Duplas'!$D$92:$D$101,MATCH(D189,'🔄 Rotação Duplas'!$C$92:$C$101,0)),INDEX('🔄 Rotação Duplas'!$C$92:$C$101,MATCH(D189,'🔄 Rotação Duplas'!$D$92:$D$101,0))),"Semana 8",IFERROR(INDEX('🔄 Rotação Duplas'!$D$106:$D$115,MATCH(D189,'🔄 Rotação Duplas'!$C$106:$C$115,0)),INDEX('🔄 Rotação Duplas'!$C$106:$C$115,MATCH(D189,'🔄 Rotação Duplas'!$D$106:$D$115,0)))),""))</f>
        <v/>
      </c>
      <c r="T189">
        <f t="shared" si="13"/>
        <v>0</v>
      </c>
    </row>
    <row r="190" spans="2:20" ht="18" customHeight="1" x14ac:dyDescent="0.2">
      <c r="B190" s="85" t="s">
        <v>73</v>
      </c>
      <c r="C190" s="86" t="str">
        <f t="shared" si="16"/>
        <v>Desafio 10</v>
      </c>
      <c r="D190" s="87" t="str">
        <f>'⚙️ Configuração'!C33</f>
        <v>Helena Rocha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81">
        <f>(E190*'⚙️ Configuração'!$C$6+F190*'⚙️ Configuração'!$C$7+G190*'⚙️ Configuração'!$C$8+H190*'⚙️ Configuração'!$C$9+I190*'⚙️ Configuração'!$C$10+J190*'⚙️ Configuração'!$C$11)*IF(N190="S",2,1)</f>
        <v>0</v>
      </c>
      <c r="L190" s="90" t="s">
        <v>167</v>
      </c>
      <c r="M190" s="82">
        <f>IF(L190="AT1",'⚙️ Configuração'!$C$14,IF(L190="AT2",'⚙️ Configuração'!$C$15,IF(L190="FI",'⚙️ Configuração'!$C$16,IF(L190="FJ",'⚙️ Configuração'!$C$17,0))))</f>
        <v>0</v>
      </c>
      <c r="N190" s="91" t="s">
        <v>167</v>
      </c>
      <c r="O190" s="92"/>
      <c r="P190" s="83">
        <f>IF(O190="1",'⚙️ Configuração'!$C$21,IF(O190="2",'⚙️ Configuração'!$C$22,IF(O190="3",'⚙️ Configuração'!$C$23,IF(O190="Outro",'⚙️ Configuração'!$C$24,0))))</f>
        <v>0</v>
      </c>
      <c r="Q190" s="84">
        <f t="shared" si="12"/>
        <v>0</v>
      </c>
      <c r="R190" s="40" t="str">
        <f t="shared" si="1"/>
        <v>Semana 1 — ver 🔄</v>
      </c>
      <c r="S190" t="str" cm="1">
        <f t="array" ref="S190">IF(D190="","",IFERROR(_xlfn.SWITCH(B190,"Semana 1",IFERROR(INDEX('🔄 Rotação Duplas'!$D$8:$D$17,MATCH(D190,'🔄 Rotação Duplas'!$C$8:$C$17,0)),INDEX('🔄 Rotação Duplas'!$C$8:$C$17,MATCH(D190,'🔄 Rotação Duplas'!$D$8:$D$17,0))),"Semana 2",IFERROR(INDEX('🔄 Rotação Duplas'!$D$22:$D$31,MATCH(D190,'🔄 Rotação Duplas'!$C$22:$C$31,0)),INDEX('🔄 Rotação Duplas'!$C$22:$C$31,MATCH(D190,'🔄 Rotação Duplas'!$D$22:$D$31,0))),"Semana 3",IFERROR(INDEX('🔄 Rotação Duplas'!$D$36:$D$45,MATCH(D190,'🔄 Rotação Duplas'!$C$36:$C$45,0)),INDEX('🔄 Rotação Duplas'!$C$36:$C$45,MATCH(D190,'🔄 Rotação Duplas'!$D$36:$D$45,0))),"Semana 4",IFERROR(INDEX('🔄 Rotação Duplas'!$D$50:$D$59,MATCH(D190,'🔄 Rotação Duplas'!$C$50:$C$59,0)),INDEX('🔄 Rotação Duplas'!$C$50:$C$59,MATCH(D190,'🔄 Rotação Duplas'!$D$50:$D$59,0))),"Semana 5",IFERROR(INDEX('🔄 Rotação Duplas'!$D$64:$D$73,MATCH(D190,'🔄 Rotação Duplas'!$C$64:$C$73,0)),INDEX('🔄 Rotação Duplas'!$C$64:$C$73,MATCH(D190,'🔄 Rotação Duplas'!$D$64:$D$73,0))),"Semana 6",IFERROR(INDEX('🔄 Rotação Duplas'!$D$78:$D$87,MATCH(D190,'🔄 Rotação Duplas'!$C$78:$C$87,0)),INDEX('🔄 Rotação Duplas'!$C$78:$C$87,MATCH(D190,'🔄 Rotação Duplas'!$D$78:$D$87,0))),"Semana 7",IFERROR(INDEX('🔄 Rotação Duplas'!$D$92:$D$101,MATCH(D190,'🔄 Rotação Duplas'!$C$92:$C$101,0)),INDEX('🔄 Rotação Duplas'!$C$92:$C$101,MATCH(D190,'🔄 Rotação Duplas'!$D$92:$D$101,0))),"Semana 8",IFERROR(INDEX('🔄 Rotação Duplas'!$D$106:$D$115,MATCH(D190,'🔄 Rotação Duplas'!$C$106:$C$115,0)),INDEX('🔄 Rotação Duplas'!$C$106:$C$115,MATCH(D190,'🔄 Rotação Duplas'!$D$106:$D$115,0)))),""))</f>
        <v/>
      </c>
      <c r="T190">
        <f t="shared" si="13"/>
        <v>0</v>
      </c>
    </row>
    <row r="191" spans="2:20" ht="18" customHeight="1" x14ac:dyDescent="0.2">
      <c r="B191" s="78" t="s">
        <v>73</v>
      </c>
      <c r="C191" s="79" t="str">
        <f t="shared" si="16"/>
        <v>Desafio 10</v>
      </c>
      <c r="D191" s="80" t="str">
        <f>'⚙️ Configuração'!C34</f>
        <v>João Xavier</v>
      </c>
      <c r="E191" s="50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81">
        <f>(E191*'⚙️ Configuração'!$C$6+F191*'⚙️ Configuração'!$C$7+G191*'⚙️ Configuração'!$C$8+H191*'⚙️ Configuração'!$C$9+I191*'⚙️ Configuração'!$C$10+J191*'⚙️ Configuração'!$C$11)*IF(N191="S",2,1)</f>
        <v>0</v>
      </c>
      <c r="L191" s="90" t="s">
        <v>167</v>
      </c>
      <c r="M191" s="82">
        <f>IF(L191="AT1",'⚙️ Configuração'!$C$14,IF(L191="AT2",'⚙️ Configuração'!$C$15,IF(L191="FI",'⚙️ Configuração'!$C$16,IF(L191="FJ",'⚙️ Configuração'!$C$17,0))))</f>
        <v>0</v>
      </c>
      <c r="N191" s="91" t="s">
        <v>167</v>
      </c>
      <c r="O191" s="92"/>
      <c r="P191" s="83">
        <f>IF(O191="1",'⚙️ Configuração'!$C$21,IF(O191="2",'⚙️ Configuração'!$C$22,IF(O191="3",'⚙️ Configuração'!$C$23,IF(O191="Outro",'⚙️ Configuração'!$C$24,0))))</f>
        <v>0</v>
      </c>
      <c r="Q191" s="84">
        <f t="shared" si="12"/>
        <v>0</v>
      </c>
      <c r="R191" s="40" t="str">
        <f t="shared" si="1"/>
        <v>Semana 1 — ver 🔄</v>
      </c>
      <c r="S191" t="str" cm="1">
        <f t="array" ref="S191">IF(D191="","",IFERROR(_xlfn.SWITCH(B191,"Semana 1",IFERROR(INDEX('🔄 Rotação Duplas'!$D$8:$D$17,MATCH(D191,'🔄 Rotação Duplas'!$C$8:$C$17,0)),INDEX('🔄 Rotação Duplas'!$C$8:$C$17,MATCH(D191,'🔄 Rotação Duplas'!$D$8:$D$17,0))),"Semana 2",IFERROR(INDEX('🔄 Rotação Duplas'!$D$22:$D$31,MATCH(D191,'🔄 Rotação Duplas'!$C$22:$C$31,0)),INDEX('🔄 Rotação Duplas'!$C$22:$C$31,MATCH(D191,'🔄 Rotação Duplas'!$D$22:$D$31,0))),"Semana 3",IFERROR(INDEX('🔄 Rotação Duplas'!$D$36:$D$45,MATCH(D191,'🔄 Rotação Duplas'!$C$36:$C$45,0)),INDEX('🔄 Rotação Duplas'!$C$36:$C$45,MATCH(D191,'🔄 Rotação Duplas'!$D$36:$D$45,0))),"Semana 4",IFERROR(INDEX('🔄 Rotação Duplas'!$D$50:$D$59,MATCH(D191,'🔄 Rotação Duplas'!$C$50:$C$59,0)),INDEX('🔄 Rotação Duplas'!$C$50:$C$59,MATCH(D191,'🔄 Rotação Duplas'!$D$50:$D$59,0))),"Semana 5",IFERROR(INDEX('🔄 Rotação Duplas'!$D$64:$D$73,MATCH(D191,'🔄 Rotação Duplas'!$C$64:$C$73,0)),INDEX('🔄 Rotação Duplas'!$C$64:$C$73,MATCH(D191,'🔄 Rotação Duplas'!$D$64:$D$73,0))),"Semana 6",IFERROR(INDEX('🔄 Rotação Duplas'!$D$78:$D$87,MATCH(D191,'🔄 Rotação Duplas'!$C$78:$C$87,0)),INDEX('🔄 Rotação Duplas'!$C$78:$C$87,MATCH(D191,'🔄 Rotação Duplas'!$D$78:$D$87,0))),"Semana 7",IFERROR(INDEX('🔄 Rotação Duplas'!$D$92:$D$101,MATCH(D191,'🔄 Rotação Duplas'!$C$92:$C$101,0)),INDEX('🔄 Rotação Duplas'!$C$92:$C$101,MATCH(D191,'🔄 Rotação Duplas'!$D$92:$D$101,0))),"Semana 8",IFERROR(INDEX('🔄 Rotação Duplas'!$D$106:$D$115,MATCH(D191,'🔄 Rotação Duplas'!$C$106:$C$115,0)),INDEX('🔄 Rotação Duplas'!$C$106:$C$115,MATCH(D191,'🔄 Rotação Duplas'!$D$106:$D$115,0)))),""))</f>
        <v/>
      </c>
      <c r="T191">
        <f t="shared" si="13"/>
        <v>0</v>
      </c>
    </row>
    <row r="192" spans="2:20" ht="18" customHeight="1" x14ac:dyDescent="0.2">
      <c r="B192" s="85" t="s">
        <v>73</v>
      </c>
      <c r="C192" s="86" t="str">
        <f t="shared" si="16"/>
        <v>Desafio 10</v>
      </c>
      <c r="D192" s="87" t="str">
        <f>'⚙️ Configuração'!C35</f>
        <v>Tomás Carlos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81">
        <f>(E192*'⚙️ Configuração'!$C$6+F192*'⚙️ Configuração'!$C$7+G192*'⚙️ Configuração'!$C$8+H192*'⚙️ Configuração'!$C$9+I192*'⚙️ Configuração'!$C$10+J192*'⚙️ Configuração'!$C$11)*IF(N192="S",2,1)</f>
        <v>0</v>
      </c>
      <c r="L192" s="90" t="s">
        <v>167</v>
      </c>
      <c r="M192" s="82">
        <f>IF(L192="AT1",'⚙️ Configuração'!$C$14,IF(L192="AT2",'⚙️ Configuração'!$C$15,IF(L192="FI",'⚙️ Configuração'!$C$16,IF(L192="FJ",'⚙️ Configuração'!$C$17,0))))</f>
        <v>0</v>
      </c>
      <c r="N192" s="91" t="s">
        <v>167</v>
      </c>
      <c r="O192" s="92"/>
      <c r="P192" s="83">
        <f>IF(O192="1",'⚙️ Configuração'!$C$21,IF(O192="2",'⚙️ Configuração'!$C$22,IF(O192="3",'⚙️ Configuração'!$C$23,IF(O192="Outro",'⚙️ Configuração'!$C$24,0))))</f>
        <v>0</v>
      </c>
      <c r="Q192" s="84">
        <f t="shared" si="12"/>
        <v>0</v>
      </c>
      <c r="R192" s="40" t="str">
        <f t="shared" si="1"/>
        <v>Semana 1 — ver 🔄</v>
      </c>
      <c r="S192" t="str" cm="1">
        <f t="array" ref="S192">IF(D192="","",IFERROR(_xlfn.SWITCH(B192,"Semana 1",IFERROR(INDEX('🔄 Rotação Duplas'!$D$8:$D$17,MATCH(D192,'🔄 Rotação Duplas'!$C$8:$C$17,0)),INDEX('🔄 Rotação Duplas'!$C$8:$C$17,MATCH(D192,'🔄 Rotação Duplas'!$D$8:$D$17,0))),"Semana 2",IFERROR(INDEX('🔄 Rotação Duplas'!$D$22:$D$31,MATCH(D192,'🔄 Rotação Duplas'!$C$22:$C$31,0)),INDEX('🔄 Rotação Duplas'!$C$22:$C$31,MATCH(D192,'🔄 Rotação Duplas'!$D$22:$D$31,0))),"Semana 3",IFERROR(INDEX('🔄 Rotação Duplas'!$D$36:$D$45,MATCH(D192,'🔄 Rotação Duplas'!$C$36:$C$45,0)),INDEX('🔄 Rotação Duplas'!$C$36:$C$45,MATCH(D192,'🔄 Rotação Duplas'!$D$36:$D$45,0))),"Semana 4",IFERROR(INDEX('🔄 Rotação Duplas'!$D$50:$D$59,MATCH(D192,'🔄 Rotação Duplas'!$C$50:$C$59,0)),INDEX('🔄 Rotação Duplas'!$C$50:$C$59,MATCH(D192,'🔄 Rotação Duplas'!$D$50:$D$59,0))),"Semana 5",IFERROR(INDEX('🔄 Rotação Duplas'!$D$64:$D$73,MATCH(D192,'🔄 Rotação Duplas'!$C$64:$C$73,0)),INDEX('🔄 Rotação Duplas'!$C$64:$C$73,MATCH(D192,'🔄 Rotação Duplas'!$D$64:$D$73,0))),"Semana 6",IFERROR(INDEX('🔄 Rotação Duplas'!$D$78:$D$87,MATCH(D192,'🔄 Rotação Duplas'!$C$78:$C$87,0)),INDEX('🔄 Rotação Duplas'!$C$78:$C$87,MATCH(D192,'🔄 Rotação Duplas'!$D$78:$D$87,0))),"Semana 7",IFERROR(INDEX('🔄 Rotação Duplas'!$D$92:$D$101,MATCH(D192,'🔄 Rotação Duplas'!$C$92:$C$101,0)),INDEX('🔄 Rotação Duplas'!$C$92:$C$101,MATCH(D192,'🔄 Rotação Duplas'!$D$92:$D$101,0))),"Semana 8",IFERROR(INDEX('🔄 Rotação Duplas'!$D$106:$D$115,MATCH(D192,'🔄 Rotação Duplas'!$C$106:$C$115,0)),INDEX('🔄 Rotação Duplas'!$C$106:$C$115,MATCH(D192,'🔄 Rotação Duplas'!$D$106:$D$115,0)))),""))</f>
        <v/>
      </c>
      <c r="T192">
        <f t="shared" si="13"/>
        <v>0</v>
      </c>
    </row>
    <row r="193" spans="2:20" ht="18" customHeight="1" x14ac:dyDescent="0.2">
      <c r="B193" s="78" t="s">
        <v>73</v>
      </c>
      <c r="C193" s="79" t="str">
        <f t="shared" si="16"/>
        <v>Desafio 10</v>
      </c>
      <c r="D193" s="80" t="str">
        <f>'⚙️ Configuração'!C36</f>
        <v>Alexandra Correia</v>
      </c>
      <c r="E193" s="50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81">
        <f>(E193*'⚙️ Configuração'!$C$6+F193*'⚙️ Configuração'!$C$7+G193*'⚙️ Configuração'!$C$8+H193*'⚙️ Configuração'!$C$9+I193*'⚙️ Configuração'!$C$10+J193*'⚙️ Configuração'!$C$11)*IF(N193="S",2,1)</f>
        <v>0</v>
      </c>
      <c r="L193" s="90" t="s">
        <v>167</v>
      </c>
      <c r="M193" s="82">
        <f>IF(L193="AT1",'⚙️ Configuração'!$C$14,IF(L193="AT2",'⚙️ Configuração'!$C$15,IF(L193="FI",'⚙️ Configuração'!$C$16,IF(L193="FJ",'⚙️ Configuração'!$C$17,0))))</f>
        <v>0</v>
      </c>
      <c r="N193" s="91" t="s">
        <v>167</v>
      </c>
      <c r="O193" s="92"/>
      <c r="P193" s="83">
        <f>IF(O193="1",'⚙️ Configuração'!$C$21,IF(O193="2",'⚙️ Configuração'!$C$22,IF(O193="3",'⚙️ Configuração'!$C$23,IF(O193="Outro",'⚙️ Configuração'!$C$24,0))))</f>
        <v>0</v>
      </c>
      <c r="Q193" s="84">
        <f t="shared" si="12"/>
        <v>0</v>
      </c>
      <c r="R193" s="40" t="str">
        <f t="shared" si="1"/>
        <v>Semana 1 — ver 🔄</v>
      </c>
      <c r="S193" t="str" cm="1">
        <f t="array" ref="S193">IF(D193="","",IFERROR(_xlfn.SWITCH(B193,"Semana 1",IFERROR(INDEX('🔄 Rotação Duplas'!$D$8:$D$17,MATCH(D193,'🔄 Rotação Duplas'!$C$8:$C$17,0)),INDEX('🔄 Rotação Duplas'!$C$8:$C$17,MATCH(D193,'🔄 Rotação Duplas'!$D$8:$D$17,0))),"Semana 2",IFERROR(INDEX('🔄 Rotação Duplas'!$D$22:$D$31,MATCH(D193,'🔄 Rotação Duplas'!$C$22:$C$31,0)),INDEX('🔄 Rotação Duplas'!$C$22:$C$31,MATCH(D193,'🔄 Rotação Duplas'!$D$22:$D$31,0))),"Semana 3",IFERROR(INDEX('🔄 Rotação Duplas'!$D$36:$D$45,MATCH(D193,'🔄 Rotação Duplas'!$C$36:$C$45,0)),INDEX('🔄 Rotação Duplas'!$C$36:$C$45,MATCH(D193,'🔄 Rotação Duplas'!$D$36:$D$45,0))),"Semana 4",IFERROR(INDEX('🔄 Rotação Duplas'!$D$50:$D$59,MATCH(D193,'🔄 Rotação Duplas'!$C$50:$C$59,0)),INDEX('🔄 Rotação Duplas'!$C$50:$C$59,MATCH(D193,'🔄 Rotação Duplas'!$D$50:$D$59,0))),"Semana 5",IFERROR(INDEX('🔄 Rotação Duplas'!$D$64:$D$73,MATCH(D193,'🔄 Rotação Duplas'!$C$64:$C$73,0)),INDEX('🔄 Rotação Duplas'!$C$64:$C$73,MATCH(D193,'🔄 Rotação Duplas'!$D$64:$D$73,0))),"Semana 6",IFERROR(INDEX('🔄 Rotação Duplas'!$D$78:$D$87,MATCH(D193,'🔄 Rotação Duplas'!$C$78:$C$87,0)),INDEX('🔄 Rotação Duplas'!$C$78:$C$87,MATCH(D193,'🔄 Rotação Duplas'!$D$78:$D$87,0))),"Semana 7",IFERROR(INDEX('🔄 Rotação Duplas'!$D$92:$D$101,MATCH(D193,'🔄 Rotação Duplas'!$C$92:$C$101,0)),INDEX('🔄 Rotação Duplas'!$C$92:$C$101,MATCH(D193,'🔄 Rotação Duplas'!$D$92:$D$101,0))),"Semana 8",IFERROR(INDEX('🔄 Rotação Duplas'!$D$106:$D$115,MATCH(D193,'🔄 Rotação Duplas'!$C$106:$C$115,0)),INDEX('🔄 Rotação Duplas'!$C$106:$C$115,MATCH(D193,'🔄 Rotação Duplas'!$D$106:$D$115,0)))),""))</f>
        <v/>
      </c>
      <c r="T193">
        <f t="shared" si="13"/>
        <v>0</v>
      </c>
    </row>
    <row r="194" spans="2:20" ht="18" customHeight="1" x14ac:dyDescent="0.2">
      <c r="B194" s="85" t="s">
        <v>73</v>
      </c>
      <c r="C194" s="86" t="str">
        <f t="shared" si="16"/>
        <v>Desafio 10</v>
      </c>
      <c r="D194" s="87" t="str">
        <f>'⚙️ Configuração'!C37</f>
        <v>Carla Barata</v>
      </c>
      <c r="E194" s="50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81">
        <f>(E194*'⚙️ Configuração'!$C$6+F194*'⚙️ Configuração'!$C$7+G194*'⚙️ Configuração'!$C$8+H194*'⚙️ Configuração'!$C$9+I194*'⚙️ Configuração'!$C$10+J194*'⚙️ Configuração'!$C$11)*IF(N194="S",2,1)</f>
        <v>0</v>
      </c>
      <c r="L194" s="90" t="s">
        <v>167</v>
      </c>
      <c r="M194" s="82">
        <f>IF(L194="AT1",'⚙️ Configuração'!$C$14,IF(L194="AT2",'⚙️ Configuração'!$C$15,IF(L194="FI",'⚙️ Configuração'!$C$16,IF(L194="FJ",'⚙️ Configuração'!$C$17,0))))</f>
        <v>0</v>
      </c>
      <c r="N194" s="91" t="s">
        <v>167</v>
      </c>
      <c r="O194" s="92"/>
      <c r="P194" s="83">
        <f>IF(O194="1",'⚙️ Configuração'!$C$21,IF(O194="2",'⚙️ Configuração'!$C$22,IF(O194="3",'⚙️ Configuração'!$C$23,IF(O194="Outro",'⚙️ Configuração'!$C$24,0))))</f>
        <v>0</v>
      </c>
      <c r="Q194" s="84">
        <f t="shared" si="12"/>
        <v>0</v>
      </c>
      <c r="R194" s="40" t="str">
        <f t="shared" si="1"/>
        <v>Semana 1 — ver 🔄</v>
      </c>
      <c r="S194" t="str" cm="1">
        <f t="array" ref="S194">IF(D194="","",IFERROR(_xlfn.SWITCH(B194,"Semana 1",IFERROR(INDEX('🔄 Rotação Duplas'!$D$8:$D$17,MATCH(D194,'🔄 Rotação Duplas'!$C$8:$C$17,0)),INDEX('🔄 Rotação Duplas'!$C$8:$C$17,MATCH(D194,'🔄 Rotação Duplas'!$D$8:$D$17,0))),"Semana 2",IFERROR(INDEX('🔄 Rotação Duplas'!$D$22:$D$31,MATCH(D194,'🔄 Rotação Duplas'!$C$22:$C$31,0)),INDEX('🔄 Rotação Duplas'!$C$22:$C$31,MATCH(D194,'🔄 Rotação Duplas'!$D$22:$D$31,0))),"Semana 3",IFERROR(INDEX('🔄 Rotação Duplas'!$D$36:$D$45,MATCH(D194,'🔄 Rotação Duplas'!$C$36:$C$45,0)),INDEX('🔄 Rotação Duplas'!$C$36:$C$45,MATCH(D194,'🔄 Rotação Duplas'!$D$36:$D$45,0))),"Semana 4",IFERROR(INDEX('🔄 Rotação Duplas'!$D$50:$D$59,MATCH(D194,'🔄 Rotação Duplas'!$C$50:$C$59,0)),INDEX('🔄 Rotação Duplas'!$C$50:$C$59,MATCH(D194,'🔄 Rotação Duplas'!$D$50:$D$59,0))),"Semana 5",IFERROR(INDEX('🔄 Rotação Duplas'!$D$64:$D$73,MATCH(D194,'🔄 Rotação Duplas'!$C$64:$C$73,0)),INDEX('🔄 Rotação Duplas'!$C$64:$C$73,MATCH(D194,'🔄 Rotação Duplas'!$D$64:$D$73,0))),"Semana 6",IFERROR(INDEX('🔄 Rotação Duplas'!$D$78:$D$87,MATCH(D194,'🔄 Rotação Duplas'!$C$78:$C$87,0)),INDEX('🔄 Rotação Duplas'!$C$78:$C$87,MATCH(D194,'🔄 Rotação Duplas'!$D$78:$D$87,0))),"Semana 7",IFERROR(INDEX('🔄 Rotação Duplas'!$D$92:$D$101,MATCH(D194,'🔄 Rotação Duplas'!$C$92:$C$101,0)),INDEX('🔄 Rotação Duplas'!$C$92:$C$101,MATCH(D194,'🔄 Rotação Duplas'!$D$92:$D$101,0))),"Semana 8",IFERROR(INDEX('🔄 Rotação Duplas'!$D$106:$D$115,MATCH(D194,'🔄 Rotação Duplas'!$C$106:$C$115,0)),INDEX('🔄 Rotação Duplas'!$C$106:$C$115,MATCH(D194,'🔄 Rotação Duplas'!$D$106:$D$115,0)))),""))</f>
        <v/>
      </c>
      <c r="T194">
        <f t="shared" si="13"/>
        <v>0</v>
      </c>
    </row>
    <row r="195" spans="2:20" ht="18" customHeight="1" x14ac:dyDescent="0.2">
      <c r="B195" s="78" t="s">
        <v>73</v>
      </c>
      <c r="C195" s="79" t="str">
        <f t="shared" si="16"/>
        <v>Desafio 10</v>
      </c>
      <c r="D195" s="80" t="str">
        <f>'⚙️ Configuração'!C38</f>
        <v>Denise Filipe</v>
      </c>
      <c r="E195" s="50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81">
        <f>(E195*'⚙️ Configuração'!$C$6+F195*'⚙️ Configuração'!$C$7+G195*'⚙️ Configuração'!$C$8+H195*'⚙️ Configuração'!$C$9+I195*'⚙️ Configuração'!$C$10+J195*'⚙️ Configuração'!$C$11)*IF(N195="S",2,1)</f>
        <v>0</v>
      </c>
      <c r="L195" s="90" t="s">
        <v>167</v>
      </c>
      <c r="M195" s="82">
        <f>IF(L195="AT1",'⚙️ Configuração'!$C$14,IF(L195="AT2",'⚙️ Configuração'!$C$15,IF(L195="FI",'⚙️ Configuração'!$C$16,IF(L195="FJ",'⚙️ Configuração'!$C$17,0))))</f>
        <v>0</v>
      </c>
      <c r="N195" s="91" t="s">
        <v>167</v>
      </c>
      <c r="O195" s="92"/>
      <c r="P195" s="83">
        <f>IF(O195="1",'⚙️ Configuração'!$C$21,IF(O195="2",'⚙️ Configuração'!$C$22,IF(O195="3",'⚙️ Configuração'!$C$23,IF(O195="Outro",'⚙️ Configuração'!$C$24,0))))</f>
        <v>0</v>
      </c>
      <c r="Q195" s="84">
        <f t="shared" si="12"/>
        <v>0</v>
      </c>
      <c r="R195" s="40" t="str">
        <f t="shared" si="1"/>
        <v>Semana 1 — ver 🔄</v>
      </c>
      <c r="S195" t="str" cm="1">
        <f t="array" ref="S195">IF(D195="","",IFERROR(_xlfn.SWITCH(B195,"Semana 1",IFERROR(INDEX('🔄 Rotação Duplas'!$D$8:$D$17,MATCH(D195,'🔄 Rotação Duplas'!$C$8:$C$17,0)),INDEX('🔄 Rotação Duplas'!$C$8:$C$17,MATCH(D195,'🔄 Rotação Duplas'!$D$8:$D$17,0))),"Semana 2",IFERROR(INDEX('🔄 Rotação Duplas'!$D$22:$D$31,MATCH(D195,'🔄 Rotação Duplas'!$C$22:$C$31,0)),INDEX('🔄 Rotação Duplas'!$C$22:$C$31,MATCH(D195,'🔄 Rotação Duplas'!$D$22:$D$31,0))),"Semana 3",IFERROR(INDEX('🔄 Rotação Duplas'!$D$36:$D$45,MATCH(D195,'🔄 Rotação Duplas'!$C$36:$C$45,0)),INDEX('🔄 Rotação Duplas'!$C$36:$C$45,MATCH(D195,'🔄 Rotação Duplas'!$D$36:$D$45,0))),"Semana 4",IFERROR(INDEX('🔄 Rotação Duplas'!$D$50:$D$59,MATCH(D195,'🔄 Rotação Duplas'!$C$50:$C$59,0)),INDEX('🔄 Rotação Duplas'!$C$50:$C$59,MATCH(D195,'🔄 Rotação Duplas'!$D$50:$D$59,0))),"Semana 5",IFERROR(INDEX('🔄 Rotação Duplas'!$D$64:$D$73,MATCH(D195,'🔄 Rotação Duplas'!$C$64:$C$73,0)),INDEX('🔄 Rotação Duplas'!$C$64:$C$73,MATCH(D195,'🔄 Rotação Duplas'!$D$64:$D$73,0))),"Semana 6",IFERROR(INDEX('🔄 Rotação Duplas'!$D$78:$D$87,MATCH(D195,'🔄 Rotação Duplas'!$C$78:$C$87,0)),INDEX('🔄 Rotação Duplas'!$C$78:$C$87,MATCH(D195,'🔄 Rotação Duplas'!$D$78:$D$87,0))),"Semana 7",IFERROR(INDEX('🔄 Rotação Duplas'!$D$92:$D$101,MATCH(D195,'🔄 Rotação Duplas'!$C$92:$C$101,0)),INDEX('🔄 Rotação Duplas'!$C$92:$C$101,MATCH(D195,'🔄 Rotação Duplas'!$D$92:$D$101,0))),"Semana 8",IFERROR(INDEX('🔄 Rotação Duplas'!$D$106:$D$115,MATCH(D195,'🔄 Rotação Duplas'!$C$106:$C$115,0)),INDEX('🔄 Rotação Duplas'!$C$106:$C$115,MATCH(D195,'🔄 Rotação Duplas'!$D$106:$D$115,0)))),""))</f>
        <v/>
      </c>
      <c r="T195">
        <f t="shared" si="13"/>
        <v>0</v>
      </c>
    </row>
    <row r="196" spans="2:20" ht="18" customHeight="1" x14ac:dyDescent="0.2">
      <c r="B196" s="85" t="s">
        <v>73</v>
      </c>
      <c r="C196" s="86" t="str">
        <f t="shared" si="16"/>
        <v>Desafio 10</v>
      </c>
      <c r="D196" s="87" t="str">
        <f>'⚙️ Configuração'!C39</f>
        <v>Fátima Rodriguez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81">
        <f>(E196*'⚙️ Configuração'!$C$6+F196*'⚙️ Configuração'!$C$7+G196*'⚙️ Configuração'!$C$8+H196*'⚙️ Configuração'!$C$9+I196*'⚙️ Configuração'!$C$10+J196*'⚙️ Configuração'!$C$11)*IF(N196="S",2,1)</f>
        <v>0</v>
      </c>
      <c r="L196" s="90" t="s">
        <v>167</v>
      </c>
      <c r="M196" s="82">
        <f>IF(L196="AT1",'⚙️ Configuração'!$C$14,IF(L196="AT2",'⚙️ Configuração'!$C$15,IF(L196="FI",'⚙️ Configuração'!$C$16,IF(L196="FJ",'⚙️ Configuração'!$C$17,0))))</f>
        <v>0</v>
      </c>
      <c r="N196" s="91" t="s">
        <v>167</v>
      </c>
      <c r="O196" s="92"/>
      <c r="P196" s="83">
        <f>IF(O196="1",'⚙️ Configuração'!$C$21,IF(O196="2",'⚙️ Configuração'!$C$22,IF(O196="3",'⚙️ Configuração'!$C$23,IF(O196="Outro",'⚙️ Configuração'!$C$24,0))))</f>
        <v>0</v>
      </c>
      <c r="Q196" s="84">
        <f t="shared" si="12"/>
        <v>0</v>
      </c>
      <c r="R196" s="40" t="str">
        <f t="shared" si="1"/>
        <v>Semana 1 — ver 🔄</v>
      </c>
      <c r="S196" t="str" cm="1">
        <f t="array" ref="S196">IF(D196="","",IFERROR(_xlfn.SWITCH(B196,"Semana 1",IFERROR(INDEX('🔄 Rotação Duplas'!$D$8:$D$17,MATCH(D196,'🔄 Rotação Duplas'!$C$8:$C$17,0)),INDEX('🔄 Rotação Duplas'!$C$8:$C$17,MATCH(D196,'🔄 Rotação Duplas'!$D$8:$D$17,0))),"Semana 2",IFERROR(INDEX('🔄 Rotação Duplas'!$D$22:$D$31,MATCH(D196,'🔄 Rotação Duplas'!$C$22:$C$31,0)),INDEX('🔄 Rotação Duplas'!$C$22:$C$31,MATCH(D196,'🔄 Rotação Duplas'!$D$22:$D$31,0))),"Semana 3",IFERROR(INDEX('🔄 Rotação Duplas'!$D$36:$D$45,MATCH(D196,'🔄 Rotação Duplas'!$C$36:$C$45,0)),INDEX('🔄 Rotação Duplas'!$C$36:$C$45,MATCH(D196,'🔄 Rotação Duplas'!$D$36:$D$45,0))),"Semana 4",IFERROR(INDEX('🔄 Rotação Duplas'!$D$50:$D$59,MATCH(D196,'🔄 Rotação Duplas'!$C$50:$C$59,0)),INDEX('🔄 Rotação Duplas'!$C$50:$C$59,MATCH(D196,'🔄 Rotação Duplas'!$D$50:$D$59,0))),"Semana 5",IFERROR(INDEX('🔄 Rotação Duplas'!$D$64:$D$73,MATCH(D196,'🔄 Rotação Duplas'!$C$64:$C$73,0)),INDEX('🔄 Rotação Duplas'!$C$64:$C$73,MATCH(D196,'🔄 Rotação Duplas'!$D$64:$D$73,0))),"Semana 6",IFERROR(INDEX('🔄 Rotação Duplas'!$D$78:$D$87,MATCH(D196,'🔄 Rotação Duplas'!$C$78:$C$87,0)),INDEX('🔄 Rotação Duplas'!$C$78:$C$87,MATCH(D196,'🔄 Rotação Duplas'!$D$78:$D$87,0))),"Semana 7",IFERROR(INDEX('🔄 Rotação Duplas'!$D$92:$D$101,MATCH(D196,'🔄 Rotação Duplas'!$C$92:$C$101,0)),INDEX('🔄 Rotação Duplas'!$C$92:$C$101,MATCH(D196,'🔄 Rotação Duplas'!$D$92:$D$101,0))),"Semana 8",IFERROR(INDEX('🔄 Rotação Duplas'!$D$106:$D$115,MATCH(D196,'🔄 Rotação Duplas'!$C$106:$C$115,0)),INDEX('🔄 Rotação Duplas'!$C$106:$C$115,MATCH(D196,'🔄 Rotação Duplas'!$D$106:$D$115,0)))),""))</f>
        <v/>
      </c>
      <c r="T196">
        <f t="shared" si="13"/>
        <v>0</v>
      </c>
    </row>
    <row r="197" spans="2:20" ht="18" customHeight="1" x14ac:dyDescent="0.2">
      <c r="B197" s="78" t="s">
        <v>73</v>
      </c>
      <c r="C197" s="79" t="str">
        <f t="shared" si="16"/>
        <v>Desafio 10</v>
      </c>
      <c r="D197" s="80" t="str">
        <f>'⚙️ Configuração'!C40</f>
        <v>Maria João Travassos</v>
      </c>
      <c r="E197" s="50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81">
        <f>(E197*'⚙️ Configuração'!$C$6+F197*'⚙️ Configuração'!$C$7+G197*'⚙️ Configuração'!$C$8+H197*'⚙️ Configuração'!$C$9+I197*'⚙️ Configuração'!$C$10+J197*'⚙️ Configuração'!$C$11)*IF(N197="S",2,1)</f>
        <v>0</v>
      </c>
      <c r="L197" s="90" t="s">
        <v>167</v>
      </c>
      <c r="M197" s="82">
        <f>IF(L197="AT1",'⚙️ Configuração'!$C$14,IF(L197="AT2",'⚙️ Configuração'!$C$15,IF(L197="FI",'⚙️ Configuração'!$C$16,IF(L197="FJ",'⚙️ Configuração'!$C$17,0))))</f>
        <v>0</v>
      </c>
      <c r="N197" s="91" t="s">
        <v>167</v>
      </c>
      <c r="O197" s="92"/>
      <c r="P197" s="83">
        <f>IF(O197="1",'⚙️ Configuração'!$C$21,IF(O197="2",'⚙️ Configuração'!$C$22,IF(O197="3",'⚙️ Configuração'!$C$23,IF(O197="Outro",'⚙️ Configuração'!$C$24,0))))</f>
        <v>0</v>
      </c>
      <c r="Q197" s="84">
        <f t="shared" si="12"/>
        <v>0</v>
      </c>
      <c r="R197" s="40" t="str">
        <f t="shared" si="1"/>
        <v>Semana 1 — ver 🔄</v>
      </c>
      <c r="S197" t="str" cm="1">
        <f t="array" ref="S197">IF(D197="","",IFERROR(_xlfn.SWITCH(B197,"Semana 1",IFERROR(INDEX('🔄 Rotação Duplas'!$D$8:$D$17,MATCH(D197,'🔄 Rotação Duplas'!$C$8:$C$17,0)),INDEX('🔄 Rotação Duplas'!$C$8:$C$17,MATCH(D197,'🔄 Rotação Duplas'!$D$8:$D$17,0))),"Semana 2",IFERROR(INDEX('🔄 Rotação Duplas'!$D$22:$D$31,MATCH(D197,'🔄 Rotação Duplas'!$C$22:$C$31,0)),INDEX('🔄 Rotação Duplas'!$C$22:$C$31,MATCH(D197,'🔄 Rotação Duplas'!$D$22:$D$31,0))),"Semana 3",IFERROR(INDEX('🔄 Rotação Duplas'!$D$36:$D$45,MATCH(D197,'🔄 Rotação Duplas'!$C$36:$C$45,0)),INDEX('🔄 Rotação Duplas'!$C$36:$C$45,MATCH(D197,'🔄 Rotação Duplas'!$D$36:$D$45,0))),"Semana 4",IFERROR(INDEX('🔄 Rotação Duplas'!$D$50:$D$59,MATCH(D197,'🔄 Rotação Duplas'!$C$50:$C$59,0)),INDEX('🔄 Rotação Duplas'!$C$50:$C$59,MATCH(D197,'🔄 Rotação Duplas'!$D$50:$D$59,0))),"Semana 5",IFERROR(INDEX('🔄 Rotação Duplas'!$D$64:$D$73,MATCH(D197,'🔄 Rotação Duplas'!$C$64:$C$73,0)),INDEX('🔄 Rotação Duplas'!$C$64:$C$73,MATCH(D197,'🔄 Rotação Duplas'!$D$64:$D$73,0))),"Semana 6",IFERROR(INDEX('🔄 Rotação Duplas'!$D$78:$D$87,MATCH(D197,'🔄 Rotação Duplas'!$C$78:$C$87,0)),INDEX('🔄 Rotação Duplas'!$C$78:$C$87,MATCH(D197,'🔄 Rotação Duplas'!$D$78:$D$87,0))),"Semana 7",IFERROR(INDEX('🔄 Rotação Duplas'!$D$92:$D$101,MATCH(D197,'🔄 Rotação Duplas'!$C$92:$C$101,0)),INDEX('🔄 Rotação Duplas'!$C$92:$C$101,MATCH(D197,'🔄 Rotação Duplas'!$D$92:$D$101,0))),"Semana 8",IFERROR(INDEX('🔄 Rotação Duplas'!$D$106:$D$115,MATCH(D197,'🔄 Rotação Duplas'!$C$106:$C$115,0)),INDEX('🔄 Rotação Duplas'!$C$106:$C$115,MATCH(D197,'🔄 Rotação Duplas'!$D$106:$D$115,0)))),""))</f>
        <v/>
      </c>
      <c r="T197">
        <f t="shared" si="13"/>
        <v>0</v>
      </c>
    </row>
    <row r="198" spans="2:20" ht="18" customHeight="1" x14ac:dyDescent="0.2">
      <c r="B198" s="85" t="s">
        <v>73</v>
      </c>
      <c r="C198" s="86" t="str">
        <f t="shared" si="16"/>
        <v>Desafio 10</v>
      </c>
      <c r="D198" s="87" t="str">
        <f>'⚙️ Configuração'!C41</f>
        <v>Marta Torres</v>
      </c>
      <c r="E198" s="50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81">
        <f>(E198*'⚙️ Configuração'!$C$6+F198*'⚙️ Configuração'!$C$7+G198*'⚙️ Configuração'!$C$8+H198*'⚙️ Configuração'!$C$9+I198*'⚙️ Configuração'!$C$10+J198*'⚙️ Configuração'!$C$11)*IF(N198="S",2,1)</f>
        <v>0</v>
      </c>
      <c r="L198" s="90" t="s">
        <v>167</v>
      </c>
      <c r="M198" s="82">
        <f>IF(L198="AT1",'⚙️ Configuração'!$C$14,IF(L198="AT2",'⚙️ Configuração'!$C$15,IF(L198="FI",'⚙️ Configuração'!$C$16,IF(L198="FJ",'⚙️ Configuração'!$C$17,0))))</f>
        <v>0</v>
      </c>
      <c r="N198" s="91" t="s">
        <v>167</v>
      </c>
      <c r="O198" s="92"/>
      <c r="P198" s="83">
        <f>IF(O198="1",'⚙️ Configuração'!$C$21,IF(O198="2",'⚙️ Configuração'!$C$22,IF(O198="3",'⚙️ Configuração'!$C$23,IF(O198="Outro",'⚙️ Configuração'!$C$24,0))))</f>
        <v>0</v>
      </c>
      <c r="Q198" s="84">
        <f t="shared" si="12"/>
        <v>0</v>
      </c>
      <c r="R198" s="40" t="str">
        <f t="shared" si="1"/>
        <v>Semana 1 — ver 🔄</v>
      </c>
      <c r="S198" t="str" cm="1">
        <f t="array" ref="S198">IF(D198="","",IFERROR(_xlfn.SWITCH(B198,"Semana 1",IFERROR(INDEX('🔄 Rotação Duplas'!$D$8:$D$17,MATCH(D198,'🔄 Rotação Duplas'!$C$8:$C$17,0)),INDEX('🔄 Rotação Duplas'!$C$8:$C$17,MATCH(D198,'🔄 Rotação Duplas'!$D$8:$D$17,0))),"Semana 2",IFERROR(INDEX('🔄 Rotação Duplas'!$D$22:$D$31,MATCH(D198,'🔄 Rotação Duplas'!$C$22:$C$31,0)),INDEX('🔄 Rotação Duplas'!$C$22:$C$31,MATCH(D198,'🔄 Rotação Duplas'!$D$22:$D$31,0))),"Semana 3",IFERROR(INDEX('🔄 Rotação Duplas'!$D$36:$D$45,MATCH(D198,'🔄 Rotação Duplas'!$C$36:$C$45,0)),INDEX('🔄 Rotação Duplas'!$C$36:$C$45,MATCH(D198,'🔄 Rotação Duplas'!$D$36:$D$45,0))),"Semana 4",IFERROR(INDEX('🔄 Rotação Duplas'!$D$50:$D$59,MATCH(D198,'🔄 Rotação Duplas'!$C$50:$C$59,0)),INDEX('🔄 Rotação Duplas'!$C$50:$C$59,MATCH(D198,'🔄 Rotação Duplas'!$D$50:$D$59,0))),"Semana 5",IFERROR(INDEX('🔄 Rotação Duplas'!$D$64:$D$73,MATCH(D198,'🔄 Rotação Duplas'!$C$64:$C$73,0)),INDEX('🔄 Rotação Duplas'!$C$64:$C$73,MATCH(D198,'🔄 Rotação Duplas'!$D$64:$D$73,0))),"Semana 6",IFERROR(INDEX('🔄 Rotação Duplas'!$D$78:$D$87,MATCH(D198,'🔄 Rotação Duplas'!$C$78:$C$87,0)),INDEX('🔄 Rotação Duplas'!$C$78:$C$87,MATCH(D198,'🔄 Rotação Duplas'!$D$78:$D$87,0))),"Semana 7",IFERROR(INDEX('🔄 Rotação Duplas'!$D$92:$D$101,MATCH(D198,'🔄 Rotação Duplas'!$C$92:$C$101,0)),INDEX('🔄 Rotação Duplas'!$C$92:$C$101,MATCH(D198,'🔄 Rotação Duplas'!$D$92:$D$101,0))),"Semana 8",IFERROR(INDEX('🔄 Rotação Duplas'!$D$106:$D$115,MATCH(D198,'🔄 Rotação Duplas'!$C$106:$C$115,0)),INDEX('🔄 Rotação Duplas'!$C$106:$C$115,MATCH(D198,'🔄 Rotação Duplas'!$D$106:$D$115,0)))),""))</f>
        <v/>
      </c>
      <c r="T198">
        <f t="shared" si="13"/>
        <v>0</v>
      </c>
    </row>
    <row r="199" spans="2:20" ht="18" customHeight="1" x14ac:dyDescent="0.2">
      <c r="B199" s="78" t="s">
        <v>73</v>
      </c>
      <c r="C199" s="79" t="str">
        <f t="shared" si="16"/>
        <v>Desafio 10</v>
      </c>
      <c r="D199" s="80" t="str">
        <f>'⚙️ Configuração'!C42</f>
        <v>Patricia Isabel Silva</v>
      </c>
      <c r="E199" s="50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81">
        <f>(E199*'⚙️ Configuração'!$C$6+F199*'⚙️ Configuração'!$C$7+G199*'⚙️ Configuração'!$C$8+H199*'⚙️ Configuração'!$C$9+I199*'⚙️ Configuração'!$C$10+J199*'⚙️ Configuração'!$C$11)*IF(N199="S",2,1)</f>
        <v>0</v>
      </c>
      <c r="L199" s="90" t="s">
        <v>167</v>
      </c>
      <c r="M199" s="82">
        <f>IF(L199="AT1",'⚙️ Configuração'!$C$14,IF(L199="AT2",'⚙️ Configuração'!$C$15,IF(L199="FI",'⚙️ Configuração'!$C$16,IF(L199="FJ",'⚙️ Configuração'!$C$17,0))))</f>
        <v>0</v>
      </c>
      <c r="N199" s="91" t="s">
        <v>167</v>
      </c>
      <c r="O199" s="92"/>
      <c r="P199" s="83">
        <f>IF(O199="1",'⚙️ Configuração'!$C$21,IF(O199="2",'⚙️ Configuração'!$C$22,IF(O199="3",'⚙️ Configuração'!$C$23,IF(O199="Outro",'⚙️ Configuração'!$C$24,0))))</f>
        <v>0</v>
      </c>
      <c r="Q199" s="84">
        <f t="shared" si="12"/>
        <v>0</v>
      </c>
      <c r="R199" s="40" t="str">
        <f t="shared" si="1"/>
        <v>Semana 1 — ver 🔄</v>
      </c>
      <c r="S199" t="str" cm="1">
        <f t="array" ref="S199">IF(D199="","",IFERROR(_xlfn.SWITCH(B199,"Semana 1",IFERROR(INDEX('🔄 Rotação Duplas'!$D$8:$D$17,MATCH(D199,'🔄 Rotação Duplas'!$C$8:$C$17,0)),INDEX('🔄 Rotação Duplas'!$C$8:$C$17,MATCH(D199,'🔄 Rotação Duplas'!$D$8:$D$17,0))),"Semana 2",IFERROR(INDEX('🔄 Rotação Duplas'!$D$22:$D$31,MATCH(D199,'🔄 Rotação Duplas'!$C$22:$C$31,0)),INDEX('🔄 Rotação Duplas'!$C$22:$C$31,MATCH(D199,'🔄 Rotação Duplas'!$D$22:$D$31,0))),"Semana 3",IFERROR(INDEX('🔄 Rotação Duplas'!$D$36:$D$45,MATCH(D199,'🔄 Rotação Duplas'!$C$36:$C$45,0)),INDEX('🔄 Rotação Duplas'!$C$36:$C$45,MATCH(D199,'🔄 Rotação Duplas'!$D$36:$D$45,0))),"Semana 4",IFERROR(INDEX('🔄 Rotação Duplas'!$D$50:$D$59,MATCH(D199,'🔄 Rotação Duplas'!$C$50:$C$59,0)),INDEX('🔄 Rotação Duplas'!$C$50:$C$59,MATCH(D199,'🔄 Rotação Duplas'!$D$50:$D$59,0))),"Semana 5",IFERROR(INDEX('🔄 Rotação Duplas'!$D$64:$D$73,MATCH(D199,'🔄 Rotação Duplas'!$C$64:$C$73,0)),INDEX('🔄 Rotação Duplas'!$C$64:$C$73,MATCH(D199,'🔄 Rotação Duplas'!$D$64:$D$73,0))),"Semana 6",IFERROR(INDEX('🔄 Rotação Duplas'!$D$78:$D$87,MATCH(D199,'🔄 Rotação Duplas'!$C$78:$C$87,0)),INDEX('🔄 Rotação Duplas'!$C$78:$C$87,MATCH(D199,'🔄 Rotação Duplas'!$D$78:$D$87,0))),"Semana 7",IFERROR(INDEX('🔄 Rotação Duplas'!$D$92:$D$101,MATCH(D199,'🔄 Rotação Duplas'!$C$92:$C$101,0)),INDEX('🔄 Rotação Duplas'!$C$92:$C$101,MATCH(D199,'🔄 Rotação Duplas'!$D$92:$D$101,0))),"Semana 8",IFERROR(INDEX('🔄 Rotação Duplas'!$D$106:$D$115,MATCH(D199,'🔄 Rotação Duplas'!$C$106:$C$115,0)),INDEX('🔄 Rotação Duplas'!$C$106:$C$115,MATCH(D199,'🔄 Rotação Duplas'!$D$106:$D$115,0)))),""))</f>
        <v/>
      </c>
      <c r="T199">
        <f t="shared" si="13"/>
        <v>0</v>
      </c>
    </row>
    <row r="200" spans="2:20" ht="18" customHeight="1" x14ac:dyDescent="0.2">
      <c r="B200" s="85" t="s">
        <v>73</v>
      </c>
      <c r="C200" s="86" t="str">
        <f t="shared" si="16"/>
        <v>Desafio 10</v>
      </c>
      <c r="D200" s="87" t="str">
        <f>'⚙️ Configuração'!C43</f>
        <v>Paula Martins</v>
      </c>
      <c r="E200" s="50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81">
        <f>(E200*'⚙️ Configuração'!$C$6+F200*'⚙️ Configuração'!$C$7+G200*'⚙️ Configuração'!$C$8+H200*'⚙️ Configuração'!$C$9+I200*'⚙️ Configuração'!$C$10+J200*'⚙️ Configuração'!$C$11)*IF(N200="S",2,1)</f>
        <v>0</v>
      </c>
      <c r="L200" s="90" t="s">
        <v>167</v>
      </c>
      <c r="M200" s="82">
        <f>IF(L200="AT1",'⚙️ Configuração'!$C$14,IF(L200="AT2",'⚙️ Configuração'!$C$15,IF(L200="FI",'⚙️ Configuração'!$C$16,IF(L200="FJ",'⚙️ Configuração'!$C$17,0))))</f>
        <v>0</v>
      </c>
      <c r="N200" s="91" t="s">
        <v>167</v>
      </c>
      <c r="O200" s="92"/>
      <c r="P200" s="83">
        <f>IF(O200="1",'⚙️ Configuração'!$C$21,IF(O200="2",'⚙️ Configuração'!$C$22,IF(O200="3",'⚙️ Configuração'!$C$23,IF(O200="Outro",'⚙️ Configuração'!$C$24,0))))</f>
        <v>0</v>
      </c>
      <c r="Q200" s="84">
        <f t="shared" ref="Q200:Q263" si="17">K200+M200+P200</f>
        <v>0</v>
      </c>
      <c r="R200" s="40" t="str">
        <f t="shared" si="1"/>
        <v>Semana 1 — ver 🔄</v>
      </c>
      <c r="S200" t="str" cm="1">
        <f t="array" ref="S200">IF(D200="","",IFERROR(_xlfn.SWITCH(B200,"Semana 1",IFERROR(INDEX('🔄 Rotação Duplas'!$D$8:$D$17,MATCH(D200,'🔄 Rotação Duplas'!$C$8:$C$17,0)),INDEX('🔄 Rotação Duplas'!$C$8:$C$17,MATCH(D200,'🔄 Rotação Duplas'!$D$8:$D$17,0))),"Semana 2",IFERROR(INDEX('🔄 Rotação Duplas'!$D$22:$D$31,MATCH(D200,'🔄 Rotação Duplas'!$C$22:$C$31,0)),INDEX('🔄 Rotação Duplas'!$C$22:$C$31,MATCH(D200,'🔄 Rotação Duplas'!$D$22:$D$31,0))),"Semana 3",IFERROR(INDEX('🔄 Rotação Duplas'!$D$36:$D$45,MATCH(D200,'🔄 Rotação Duplas'!$C$36:$C$45,0)),INDEX('🔄 Rotação Duplas'!$C$36:$C$45,MATCH(D200,'🔄 Rotação Duplas'!$D$36:$D$45,0))),"Semana 4",IFERROR(INDEX('🔄 Rotação Duplas'!$D$50:$D$59,MATCH(D200,'🔄 Rotação Duplas'!$C$50:$C$59,0)),INDEX('🔄 Rotação Duplas'!$C$50:$C$59,MATCH(D200,'🔄 Rotação Duplas'!$D$50:$D$59,0))),"Semana 5",IFERROR(INDEX('🔄 Rotação Duplas'!$D$64:$D$73,MATCH(D200,'🔄 Rotação Duplas'!$C$64:$C$73,0)),INDEX('🔄 Rotação Duplas'!$C$64:$C$73,MATCH(D200,'🔄 Rotação Duplas'!$D$64:$D$73,0))),"Semana 6",IFERROR(INDEX('🔄 Rotação Duplas'!$D$78:$D$87,MATCH(D200,'🔄 Rotação Duplas'!$C$78:$C$87,0)),INDEX('🔄 Rotação Duplas'!$C$78:$C$87,MATCH(D200,'🔄 Rotação Duplas'!$D$78:$D$87,0))),"Semana 7",IFERROR(INDEX('🔄 Rotação Duplas'!$D$92:$D$101,MATCH(D200,'🔄 Rotação Duplas'!$C$92:$C$101,0)),INDEX('🔄 Rotação Duplas'!$C$92:$C$101,MATCH(D200,'🔄 Rotação Duplas'!$D$92:$D$101,0))),"Semana 8",IFERROR(INDEX('🔄 Rotação Duplas'!$D$106:$D$115,MATCH(D200,'🔄 Rotação Duplas'!$C$106:$C$115,0)),INDEX('🔄 Rotação Duplas'!$C$106:$C$115,MATCH(D200,'🔄 Rotação Duplas'!$D$106:$D$115,0)))),""))</f>
        <v/>
      </c>
      <c r="T200">
        <f t="shared" ref="T200:T263" si="18">IF(OR(D200="",D200="-",S200="",S200="-"),0,COUNTIFS($B$7:$B$646,B200,$D$7:$D$646,D200,$N$7:$N$646,"S")+COUNTIFS($B$7:$B$646,B200,$D$7:$D$646,S200,$N$7:$N$646,"S"))</f>
        <v>0</v>
      </c>
    </row>
    <row r="201" spans="2:20" ht="18" customHeight="1" x14ac:dyDescent="0.2">
      <c r="B201" s="78" t="s">
        <v>73</v>
      </c>
      <c r="C201" s="79" t="str">
        <f t="shared" si="16"/>
        <v>Desafio 10</v>
      </c>
      <c r="D201" s="80" t="str">
        <f>'⚙️ Configuração'!C44</f>
        <v>Paula Miabara</v>
      </c>
      <c r="E201" s="50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81">
        <f>(E201*'⚙️ Configuração'!$C$6+F201*'⚙️ Configuração'!$C$7+G201*'⚙️ Configuração'!$C$8+H201*'⚙️ Configuração'!$C$9+I201*'⚙️ Configuração'!$C$10+J201*'⚙️ Configuração'!$C$11)*IF(N201="S",2,1)</f>
        <v>0</v>
      </c>
      <c r="L201" s="90" t="s">
        <v>167</v>
      </c>
      <c r="M201" s="82">
        <f>IF(L201="AT1",'⚙️ Configuração'!$C$14,IF(L201="AT2",'⚙️ Configuração'!$C$15,IF(L201="FI",'⚙️ Configuração'!$C$16,IF(L201="FJ",'⚙️ Configuração'!$C$17,0))))</f>
        <v>0</v>
      </c>
      <c r="N201" s="91" t="s">
        <v>167</v>
      </c>
      <c r="O201" s="92"/>
      <c r="P201" s="83">
        <f>IF(O201="1",'⚙️ Configuração'!$C$21,IF(O201="2",'⚙️ Configuração'!$C$22,IF(O201="3",'⚙️ Configuração'!$C$23,IF(O201="Outro",'⚙️ Configuração'!$C$24,0))))</f>
        <v>0</v>
      </c>
      <c r="Q201" s="84">
        <f t="shared" si="17"/>
        <v>0</v>
      </c>
      <c r="R201" s="40" t="str">
        <f t="shared" si="1"/>
        <v>Semana 1 — ver 🔄</v>
      </c>
      <c r="S201" t="str" cm="1">
        <f t="array" ref="S201">IF(D201="","",IFERROR(_xlfn.SWITCH(B201,"Semana 1",IFERROR(INDEX('🔄 Rotação Duplas'!$D$8:$D$17,MATCH(D201,'🔄 Rotação Duplas'!$C$8:$C$17,0)),INDEX('🔄 Rotação Duplas'!$C$8:$C$17,MATCH(D201,'🔄 Rotação Duplas'!$D$8:$D$17,0))),"Semana 2",IFERROR(INDEX('🔄 Rotação Duplas'!$D$22:$D$31,MATCH(D201,'🔄 Rotação Duplas'!$C$22:$C$31,0)),INDEX('🔄 Rotação Duplas'!$C$22:$C$31,MATCH(D201,'🔄 Rotação Duplas'!$D$22:$D$31,0))),"Semana 3",IFERROR(INDEX('🔄 Rotação Duplas'!$D$36:$D$45,MATCH(D201,'🔄 Rotação Duplas'!$C$36:$C$45,0)),INDEX('🔄 Rotação Duplas'!$C$36:$C$45,MATCH(D201,'🔄 Rotação Duplas'!$D$36:$D$45,0))),"Semana 4",IFERROR(INDEX('🔄 Rotação Duplas'!$D$50:$D$59,MATCH(D201,'🔄 Rotação Duplas'!$C$50:$C$59,0)),INDEX('🔄 Rotação Duplas'!$C$50:$C$59,MATCH(D201,'🔄 Rotação Duplas'!$D$50:$D$59,0))),"Semana 5",IFERROR(INDEX('🔄 Rotação Duplas'!$D$64:$D$73,MATCH(D201,'🔄 Rotação Duplas'!$C$64:$C$73,0)),INDEX('🔄 Rotação Duplas'!$C$64:$C$73,MATCH(D201,'🔄 Rotação Duplas'!$D$64:$D$73,0))),"Semana 6",IFERROR(INDEX('🔄 Rotação Duplas'!$D$78:$D$87,MATCH(D201,'🔄 Rotação Duplas'!$C$78:$C$87,0)),INDEX('🔄 Rotação Duplas'!$C$78:$C$87,MATCH(D201,'🔄 Rotação Duplas'!$D$78:$D$87,0))),"Semana 7",IFERROR(INDEX('🔄 Rotação Duplas'!$D$92:$D$101,MATCH(D201,'🔄 Rotação Duplas'!$C$92:$C$101,0)),INDEX('🔄 Rotação Duplas'!$C$92:$C$101,MATCH(D201,'🔄 Rotação Duplas'!$D$92:$D$101,0))),"Semana 8",IFERROR(INDEX('🔄 Rotação Duplas'!$D$106:$D$115,MATCH(D201,'🔄 Rotação Duplas'!$C$106:$C$115,0)),INDEX('🔄 Rotação Duplas'!$C$106:$C$115,MATCH(D201,'🔄 Rotação Duplas'!$D$106:$D$115,0)))),""))</f>
        <v/>
      </c>
      <c r="T201">
        <f t="shared" si="18"/>
        <v>0</v>
      </c>
    </row>
    <row r="202" spans="2:20" ht="18" customHeight="1" x14ac:dyDescent="0.2">
      <c r="B202" s="85" t="s">
        <v>73</v>
      </c>
      <c r="C202" s="86" t="str">
        <f t="shared" si="16"/>
        <v>Desafio 10</v>
      </c>
      <c r="D202" s="87" t="str">
        <f>'⚙️ Configuração'!C45</f>
        <v>Rita Carmo</v>
      </c>
      <c r="E202" s="50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81">
        <f>(E202*'⚙️ Configuração'!$C$6+F202*'⚙️ Configuração'!$C$7+G202*'⚙️ Configuração'!$C$8+H202*'⚙️ Configuração'!$C$9+I202*'⚙️ Configuração'!$C$10+J202*'⚙️ Configuração'!$C$11)*IF(N202="S",2,1)</f>
        <v>0</v>
      </c>
      <c r="L202" s="90" t="s">
        <v>167</v>
      </c>
      <c r="M202" s="82">
        <f>IF(L202="AT1",'⚙️ Configuração'!$C$14,IF(L202="AT2",'⚙️ Configuração'!$C$15,IF(L202="FI",'⚙️ Configuração'!$C$16,IF(L202="FJ",'⚙️ Configuração'!$C$17,0))))</f>
        <v>0</v>
      </c>
      <c r="N202" s="91" t="s">
        <v>167</v>
      </c>
      <c r="O202" s="92"/>
      <c r="P202" s="83">
        <f>IF(O202="1",'⚙️ Configuração'!$C$21,IF(O202="2",'⚙️ Configuração'!$C$22,IF(O202="3",'⚙️ Configuração'!$C$23,IF(O202="Outro",'⚙️ Configuração'!$C$24,0))))</f>
        <v>0</v>
      </c>
      <c r="Q202" s="84">
        <f t="shared" si="17"/>
        <v>0</v>
      </c>
      <c r="R202" s="40" t="str">
        <f t="shared" si="1"/>
        <v>Semana 1 — ver 🔄</v>
      </c>
      <c r="S202" t="str" cm="1">
        <f t="array" ref="S202">IF(D202="","",IFERROR(_xlfn.SWITCH(B202,"Semana 1",IFERROR(INDEX('🔄 Rotação Duplas'!$D$8:$D$17,MATCH(D202,'🔄 Rotação Duplas'!$C$8:$C$17,0)),INDEX('🔄 Rotação Duplas'!$C$8:$C$17,MATCH(D202,'🔄 Rotação Duplas'!$D$8:$D$17,0))),"Semana 2",IFERROR(INDEX('🔄 Rotação Duplas'!$D$22:$D$31,MATCH(D202,'🔄 Rotação Duplas'!$C$22:$C$31,0)),INDEX('🔄 Rotação Duplas'!$C$22:$C$31,MATCH(D202,'🔄 Rotação Duplas'!$D$22:$D$31,0))),"Semana 3",IFERROR(INDEX('🔄 Rotação Duplas'!$D$36:$D$45,MATCH(D202,'🔄 Rotação Duplas'!$C$36:$C$45,0)),INDEX('🔄 Rotação Duplas'!$C$36:$C$45,MATCH(D202,'🔄 Rotação Duplas'!$D$36:$D$45,0))),"Semana 4",IFERROR(INDEX('🔄 Rotação Duplas'!$D$50:$D$59,MATCH(D202,'🔄 Rotação Duplas'!$C$50:$C$59,0)),INDEX('🔄 Rotação Duplas'!$C$50:$C$59,MATCH(D202,'🔄 Rotação Duplas'!$D$50:$D$59,0))),"Semana 5",IFERROR(INDEX('🔄 Rotação Duplas'!$D$64:$D$73,MATCH(D202,'🔄 Rotação Duplas'!$C$64:$C$73,0)),INDEX('🔄 Rotação Duplas'!$C$64:$C$73,MATCH(D202,'🔄 Rotação Duplas'!$D$64:$D$73,0))),"Semana 6",IFERROR(INDEX('🔄 Rotação Duplas'!$D$78:$D$87,MATCH(D202,'🔄 Rotação Duplas'!$C$78:$C$87,0)),INDEX('🔄 Rotação Duplas'!$C$78:$C$87,MATCH(D202,'🔄 Rotação Duplas'!$D$78:$D$87,0))),"Semana 7",IFERROR(INDEX('🔄 Rotação Duplas'!$D$92:$D$101,MATCH(D202,'🔄 Rotação Duplas'!$C$92:$C$101,0)),INDEX('🔄 Rotação Duplas'!$C$92:$C$101,MATCH(D202,'🔄 Rotação Duplas'!$D$92:$D$101,0))),"Semana 8",IFERROR(INDEX('🔄 Rotação Duplas'!$D$106:$D$115,MATCH(D202,'🔄 Rotação Duplas'!$C$106:$C$115,0)),INDEX('🔄 Rotação Duplas'!$C$106:$C$115,MATCH(D202,'🔄 Rotação Duplas'!$D$106:$D$115,0)))),""))</f>
        <v/>
      </c>
      <c r="T202">
        <f t="shared" si="18"/>
        <v>0</v>
      </c>
    </row>
    <row r="203" spans="2:20" ht="18" customHeight="1" x14ac:dyDescent="0.2">
      <c r="B203" s="78" t="s">
        <v>73</v>
      </c>
      <c r="C203" s="79" t="str">
        <f t="shared" si="16"/>
        <v>Desafio 10</v>
      </c>
      <c r="D203" s="80" t="str">
        <f>'⚙️ Configuração'!C46</f>
        <v>William Fernandes</v>
      </c>
      <c r="E203" s="50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81">
        <f>(E203*'⚙️ Configuração'!$C$6+F203*'⚙️ Configuração'!$C$7+G203*'⚙️ Configuração'!$C$8+H203*'⚙️ Configuração'!$C$9+I203*'⚙️ Configuração'!$C$10+J203*'⚙️ Configuração'!$C$11)*IF(N203="S",2,1)</f>
        <v>0</v>
      </c>
      <c r="L203" s="90" t="s">
        <v>167</v>
      </c>
      <c r="M203" s="82">
        <f>IF(L203="AT1",'⚙️ Configuração'!$C$14,IF(L203="AT2",'⚙️ Configuração'!$C$15,IF(L203="FI",'⚙️ Configuração'!$C$16,IF(L203="FJ",'⚙️ Configuração'!$C$17,0))))</f>
        <v>0</v>
      </c>
      <c r="N203" s="91" t="s">
        <v>167</v>
      </c>
      <c r="O203" s="92"/>
      <c r="P203" s="83">
        <f>IF(O203="1",'⚙️ Configuração'!$C$21,IF(O203="2",'⚙️ Configuração'!$C$22,IF(O203="3",'⚙️ Configuração'!$C$23,IF(O203="Outro",'⚙️ Configuração'!$C$24,0))))</f>
        <v>0</v>
      </c>
      <c r="Q203" s="84">
        <f t="shared" si="17"/>
        <v>0</v>
      </c>
      <c r="R203" s="40" t="str">
        <f t="shared" si="1"/>
        <v>Semana 1 — ver 🔄</v>
      </c>
      <c r="S203" t="str" cm="1">
        <f t="array" ref="S203">IF(D203="","",IFERROR(_xlfn.SWITCH(B203,"Semana 1",IFERROR(INDEX('🔄 Rotação Duplas'!$D$8:$D$17,MATCH(D203,'🔄 Rotação Duplas'!$C$8:$C$17,0)),INDEX('🔄 Rotação Duplas'!$C$8:$C$17,MATCH(D203,'🔄 Rotação Duplas'!$D$8:$D$17,0))),"Semana 2",IFERROR(INDEX('🔄 Rotação Duplas'!$D$22:$D$31,MATCH(D203,'🔄 Rotação Duplas'!$C$22:$C$31,0)),INDEX('🔄 Rotação Duplas'!$C$22:$C$31,MATCH(D203,'🔄 Rotação Duplas'!$D$22:$D$31,0))),"Semana 3",IFERROR(INDEX('🔄 Rotação Duplas'!$D$36:$D$45,MATCH(D203,'🔄 Rotação Duplas'!$C$36:$C$45,0)),INDEX('🔄 Rotação Duplas'!$C$36:$C$45,MATCH(D203,'🔄 Rotação Duplas'!$D$36:$D$45,0))),"Semana 4",IFERROR(INDEX('🔄 Rotação Duplas'!$D$50:$D$59,MATCH(D203,'🔄 Rotação Duplas'!$C$50:$C$59,0)),INDEX('🔄 Rotação Duplas'!$C$50:$C$59,MATCH(D203,'🔄 Rotação Duplas'!$D$50:$D$59,0))),"Semana 5",IFERROR(INDEX('🔄 Rotação Duplas'!$D$64:$D$73,MATCH(D203,'🔄 Rotação Duplas'!$C$64:$C$73,0)),INDEX('🔄 Rotação Duplas'!$C$64:$C$73,MATCH(D203,'🔄 Rotação Duplas'!$D$64:$D$73,0))),"Semana 6",IFERROR(INDEX('🔄 Rotação Duplas'!$D$78:$D$87,MATCH(D203,'🔄 Rotação Duplas'!$C$78:$C$87,0)),INDEX('🔄 Rotação Duplas'!$C$78:$C$87,MATCH(D203,'🔄 Rotação Duplas'!$D$78:$D$87,0))),"Semana 7",IFERROR(INDEX('🔄 Rotação Duplas'!$D$92:$D$101,MATCH(D203,'🔄 Rotação Duplas'!$C$92:$C$101,0)),INDEX('🔄 Rotação Duplas'!$C$92:$C$101,MATCH(D203,'🔄 Rotação Duplas'!$D$92:$D$101,0))),"Semana 8",IFERROR(INDEX('🔄 Rotação Duplas'!$D$106:$D$115,MATCH(D203,'🔄 Rotação Duplas'!$C$106:$C$115,0)),INDEX('🔄 Rotação Duplas'!$C$106:$C$115,MATCH(D203,'🔄 Rotação Duplas'!$D$106:$D$115,0)))),""))</f>
        <v/>
      </c>
      <c r="T203">
        <f t="shared" si="18"/>
        <v>0</v>
      </c>
    </row>
    <row r="204" spans="2:20" ht="18" customHeight="1" x14ac:dyDescent="0.2">
      <c r="B204" s="85" t="s">
        <v>73</v>
      </c>
      <c r="C204" s="86" t="str">
        <f t="shared" si="16"/>
        <v>Desafio 10</v>
      </c>
      <c r="D204" s="87" t="str">
        <f>'⚙️ Configuração'!C47</f>
        <v>-</v>
      </c>
      <c r="E204" s="50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81">
        <f>(E204*'⚙️ Configuração'!$C$6+F204*'⚙️ Configuração'!$C$7+G204*'⚙️ Configuração'!$C$8+H204*'⚙️ Configuração'!$C$9+I204*'⚙️ Configuração'!$C$10+J204*'⚙️ Configuração'!$C$11)*IF(N204="S",2,1)</f>
        <v>0</v>
      </c>
      <c r="L204" s="90" t="s">
        <v>167</v>
      </c>
      <c r="M204" s="82">
        <f>IF(L204="AT1",'⚙️ Configuração'!$C$14,IF(L204="AT2",'⚙️ Configuração'!$C$15,IF(L204="FI",'⚙️ Configuração'!$C$16,IF(L204="FJ",'⚙️ Configuração'!$C$17,0))))</f>
        <v>0</v>
      </c>
      <c r="N204" s="91" t="s">
        <v>167</v>
      </c>
      <c r="O204" s="92"/>
      <c r="P204" s="83">
        <f>IF(O204="1",'⚙️ Configuração'!$C$21,IF(O204="2",'⚙️ Configuração'!$C$22,IF(O204="3",'⚙️ Configuração'!$C$23,IF(O204="Outro",'⚙️ Configuração'!$C$24,0))))</f>
        <v>0</v>
      </c>
      <c r="Q204" s="84">
        <f t="shared" si="17"/>
        <v>0</v>
      </c>
      <c r="R204" s="40" t="str">
        <f t="shared" si="1"/>
        <v>Semana 1 — ver 🔄</v>
      </c>
      <c r="S204" t="str" cm="1">
        <f t="array" ref="S204">IF(D204="","",IFERROR(_xlfn.SWITCH(B204,"Semana 1",IFERROR(INDEX('🔄 Rotação Duplas'!$D$8:$D$17,MATCH(D204,'🔄 Rotação Duplas'!$C$8:$C$17,0)),INDEX('🔄 Rotação Duplas'!$C$8:$C$17,MATCH(D204,'🔄 Rotação Duplas'!$D$8:$D$17,0))),"Semana 2",IFERROR(INDEX('🔄 Rotação Duplas'!$D$22:$D$31,MATCH(D204,'🔄 Rotação Duplas'!$C$22:$C$31,0)),INDEX('🔄 Rotação Duplas'!$C$22:$C$31,MATCH(D204,'🔄 Rotação Duplas'!$D$22:$D$31,0))),"Semana 3",IFERROR(INDEX('🔄 Rotação Duplas'!$D$36:$D$45,MATCH(D204,'🔄 Rotação Duplas'!$C$36:$C$45,0)),INDEX('🔄 Rotação Duplas'!$C$36:$C$45,MATCH(D204,'🔄 Rotação Duplas'!$D$36:$D$45,0))),"Semana 4",IFERROR(INDEX('🔄 Rotação Duplas'!$D$50:$D$59,MATCH(D204,'🔄 Rotação Duplas'!$C$50:$C$59,0)),INDEX('🔄 Rotação Duplas'!$C$50:$C$59,MATCH(D204,'🔄 Rotação Duplas'!$D$50:$D$59,0))),"Semana 5",IFERROR(INDEX('🔄 Rotação Duplas'!$D$64:$D$73,MATCH(D204,'🔄 Rotação Duplas'!$C$64:$C$73,0)),INDEX('🔄 Rotação Duplas'!$C$64:$C$73,MATCH(D204,'🔄 Rotação Duplas'!$D$64:$D$73,0))),"Semana 6",IFERROR(INDEX('🔄 Rotação Duplas'!$D$78:$D$87,MATCH(D204,'🔄 Rotação Duplas'!$C$78:$C$87,0)),INDEX('🔄 Rotação Duplas'!$C$78:$C$87,MATCH(D204,'🔄 Rotação Duplas'!$D$78:$D$87,0))),"Semana 7",IFERROR(INDEX('🔄 Rotação Duplas'!$D$92:$D$101,MATCH(D204,'🔄 Rotação Duplas'!$C$92:$C$101,0)),INDEX('🔄 Rotação Duplas'!$C$92:$C$101,MATCH(D204,'🔄 Rotação Duplas'!$D$92:$D$101,0))),"Semana 8",IFERROR(INDEX('🔄 Rotação Duplas'!$D$106:$D$115,MATCH(D204,'🔄 Rotação Duplas'!$C$106:$C$115,0)),INDEX('🔄 Rotação Duplas'!$C$106:$C$115,MATCH(D204,'🔄 Rotação Duplas'!$D$106:$D$115,0)))),""))</f>
        <v/>
      </c>
      <c r="T204">
        <f t="shared" si="18"/>
        <v>0</v>
      </c>
    </row>
    <row r="205" spans="2:20" ht="18" customHeight="1" x14ac:dyDescent="0.2">
      <c r="B205" s="78" t="s">
        <v>73</v>
      </c>
      <c r="C205" s="79" t="str">
        <f t="shared" si="16"/>
        <v>Desafio 10</v>
      </c>
      <c r="D205" s="80" t="str">
        <f>'⚙️ Configuração'!C48</f>
        <v>-</v>
      </c>
      <c r="E205" s="50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81">
        <f>(E205*'⚙️ Configuração'!$C$6+F205*'⚙️ Configuração'!$C$7+G205*'⚙️ Configuração'!$C$8+H205*'⚙️ Configuração'!$C$9+I205*'⚙️ Configuração'!$C$10+J205*'⚙️ Configuração'!$C$11)*IF(N205="S",2,1)</f>
        <v>0</v>
      </c>
      <c r="L205" s="90" t="s">
        <v>167</v>
      </c>
      <c r="M205" s="82">
        <f>IF(L205="AT1",'⚙️ Configuração'!$C$14,IF(L205="AT2",'⚙️ Configuração'!$C$15,IF(L205="FI",'⚙️ Configuração'!$C$16,IF(L205="FJ",'⚙️ Configuração'!$C$17,0))))</f>
        <v>0</v>
      </c>
      <c r="N205" s="91" t="s">
        <v>167</v>
      </c>
      <c r="O205" s="92"/>
      <c r="P205" s="83">
        <f>IF(O205="1",'⚙️ Configuração'!$C$21,IF(O205="2",'⚙️ Configuração'!$C$22,IF(O205="3",'⚙️ Configuração'!$C$23,IF(O205="Outro",'⚙️ Configuração'!$C$24,0))))</f>
        <v>0</v>
      </c>
      <c r="Q205" s="84">
        <f t="shared" si="17"/>
        <v>0</v>
      </c>
      <c r="R205" s="40" t="str">
        <f t="shared" si="1"/>
        <v>Semana 1 — ver 🔄</v>
      </c>
      <c r="S205" t="str" cm="1">
        <f t="array" ref="S205">IF(D205="","",IFERROR(_xlfn.SWITCH(B205,"Semana 1",IFERROR(INDEX('🔄 Rotação Duplas'!$D$8:$D$17,MATCH(D205,'🔄 Rotação Duplas'!$C$8:$C$17,0)),INDEX('🔄 Rotação Duplas'!$C$8:$C$17,MATCH(D205,'🔄 Rotação Duplas'!$D$8:$D$17,0))),"Semana 2",IFERROR(INDEX('🔄 Rotação Duplas'!$D$22:$D$31,MATCH(D205,'🔄 Rotação Duplas'!$C$22:$C$31,0)),INDEX('🔄 Rotação Duplas'!$C$22:$C$31,MATCH(D205,'🔄 Rotação Duplas'!$D$22:$D$31,0))),"Semana 3",IFERROR(INDEX('🔄 Rotação Duplas'!$D$36:$D$45,MATCH(D205,'🔄 Rotação Duplas'!$C$36:$C$45,0)),INDEX('🔄 Rotação Duplas'!$C$36:$C$45,MATCH(D205,'🔄 Rotação Duplas'!$D$36:$D$45,0))),"Semana 4",IFERROR(INDEX('🔄 Rotação Duplas'!$D$50:$D$59,MATCH(D205,'🔄 Rotação Duplas'!$C$50:$C$59,0)),INDEX('🔄 Rotação Duplas'!$C$50:$C$59,MATCH(D205,'🔄 Rotação Duplas'!$D$50:$D$59,0))),"Semana 5",IFERROR(INDEX('🔄 Rotação Duplas'!$D$64:$D$73,MATCH(D205,'🔄 Rotação Duplas'!$C$64:$C$73,0)),INDEX('🔄 Rotação Duplas'!$C$64:$C$73,MATCH(D205,'🔄 Rotação Duplas'!$D$64:$D$73,0))),"Semana 6",IFERROR(INDEX('🔄 Rotação Duplas'!$D$78:$D$87,MATCH(D205,'🔄 Rotação Duplas'!$C$78:$C$87,0)),INDEX('🔄 Rotação Duplas'!$C$78:$C$87,MATCH(D205,'🔄 Rotação Duplas'!$D$78:$D$87,0))),"Semana 7",IFERROR(INDEX('🔄 Rotação Duplas'!$D$92:$D$101,MATCH(D205,'🔄 Rotação Duplas'!$C$92:$C$101,0)),INDEX('🔄 Rotação Duplas'!$C$92:$C$101,MATCH(D205,'🔄 Rotação Duplas'!$D$92:$D$101,0))),"Semana 8",IFERROR(INDEX('🔄 Rotação Duplas'!$D$106:$D$115,MATCH(D205,'🔄 Rotação Duplas'!$C$106:$C$115,0)),INDEX('🔄 Rotação Duplas'!$C$106:$C$115,MATCH(D205,'🔄 Rotação Duplas'!$D$106:$D$115,0)))),""))</f>
        <v/>
      </c>
      <c r="T205">
        <f t="shared" si="18"/>
        <v>0</v>
      </c>
    </row>
    <row r="206" spans="2:20" ht="18" customHeight="1" x14ac:dyDescent="0.2">
      <c r="B206" s="85" t="s">
        <v>73</v>
      </c>
      <c r="C206" s="86" t="str">
        <f t="shared" si="16"/>
        <v>Desafio 10</v>
      </c>
      <c r="D206" s="87" t="str">
        <f>'⚙️ Configuração'!C49</f>
        <v>-</v>
      </c>
      <c r="E206" s="50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81">
        <f>(E206*'⚙️ Configuração'!$C$6+F206*'⚙️ Configuração'!$C$7+G206*'⚙️ Configuração'!$C$8+H206*'⚙️ Configuração'!$C$9+I206*'⚙️ Configuração'!$C$10+J206*'⚙️ Configuração'!$C$11)*IF(N206="S",2,1)</f>
        <v>0</v>
      </c>
      <c r="L206" s="90" t="s">
        <v>167</v>
      </c>
      <c r="M206" s="82">
        <f>IF(L206="AT1",'⚙️ Configuração'!$C$14,IF(L206="AT2",'⚙️ Configuração'!$C$15,IF(L206="FI",'⚙️ Configuração'!$C$16,IF(L206="FJ",'⚙️ Configuração'!$C$17,0))))</f>
        <v>0</v>
      </c>
      <c r="N206" s="91" t="s">
        <v>167</v>
      </c>
      <c r="O206" s="92"/>
      <c r="P206" s="83">
        <f>IF(O206="1",'⚙️ Configuração'!$C$21,IF(O206="2",'⚙️ Configuração'!$C$22,IF(O206="3",'⚙️ Configuração'!$C$23,IF(O206="Outro",'⚙️ Configuração'!$C$24,0))))</f>
        <v>0</v>
      </c>
      <c r="Q206" s="84">
        <f t="shared" si="17"/>
        <v>0</v>
      </c>
      <c r="R206" s="40" t="str">
        <f t="shared" si="1"/>
        <v>Semana 1 — ver 🔄</v>
      </c>
      <c r="S206" t="str" cm="1">
        <f t="array" ref="S206">IF(D206="","",IFERROR(_xlfn.SWITCH(B206,"Semana 1",IFERROR(INDEX('🔄 Rotação Duplas'!$D$8:$D$17,MATCH(D206,'🔄 Rotação Duplas'!$C$8:$C$17,0)),INDEX('🔄 Rotação Duplas'!$C$8:$C$17,MATCH(D206,'🔄 Rotação Duplas'!$D$8:$D$17,0))),"Semana 2",IFERROR(INDEX('🔄 Rotação Duplas'!$D$22:$D$31,MATCH(D206,'🔄 Rotação Duplas'!$C$22:$C$31,0)),INDEX('🔄 Rotação Duplas'!$C$22:$C$31,MATCH(D206,'🔄 Rotação Duplas'!$D$22:$D$31,0))),"Semana 3",IFERROR(INDEX('🔄 Rotação Duplas'!$D$36:$D$45,MATCH(D206,'🔄 Rotação Duplas'!$C$36:$C$45,0)),INDEX('🔄 Rotação Duplas'!$C$36:$C$45,MATCH(D206,'🔄 Rotação Duplas'!$D$36:$D$45,0))),"Semana 4",IFERROR(INDEX('🔄 Rotação Duplas'!$D$50:$D$59,MATCH(D206,'🔄 Rotação Duplas'!$C$50:$C$59,0)),INDEX('🔄 Rotação Duplas'!$C$50:$C$59,MATCH(D206,'🔄 Rotação Duplas'!$D$50:$D$59,0))),"Semana 5",IFERROR(INDEX('🔄 Rotação Duplas'!$D$64:$D$73,MATCH(D206,'🔄 Rotação Duplas'!$C$64:$C$73,0)),INDEX('🔄 Rotação Duplas'!$C$64:$C$73,MATCH(D206,'🔄 Rotação Duplas'!$D$64:$D$73,0))),"Semana 6",IFERROR(INDEX('🔄 Rotação Duplas'!$D$78:$D$87,MATCH(D206,'🔄 Rotação Duplas'!$C$78:$C$87,0)),INDEX('🔄 Rotação Duplas'!$C$78:$C$87,MATCH(D206,'🔄 Rotação Duplas'!$D$78:$D$87,0))),"Semana 7",IFERROR(INDEX('🔄 Rotação Duplas'!$D$92:$D$101,MATCH(D206,'🔄 Rotação Duplas'!$C$92:$C$101,0)),INDEX('🔄 Rotação Duplas'!$C$92:$C$101,MATCH(D206,'🔄 Rotação Duplas'!$D$92:$D$101,0))),"Semana 8",IFERROR(INDEX('🔄 Rotação Duplas'!$D$106:$D$115,MATCH(D206,'🔄 Rotação Duplas'!$C$106:$C$115,0)),INDEX('🔄 Rotação Duplas'!$C$106:$C$115,MATCH(D206,'🔄 Rotação Duplas'!$D$106:$D$115,0)))),""))</f>
        <v/>
      </c>
      <c r="T206">
        <f t="shared" si="18"/>
        <v>0</v>
      </c>
    </row>
    <row r="207" spans="2:20" ht="18" customHeight="1" x14ac:dyDescent="0.2">
      <c r="B207" s="78" t="s">
        <v>73</v>
      </c>
      <c r="C207" s="79" t="str">
        <f t="shared" ref="C207:C226" si="19">"Desafio 11"</f>
        <v>Desafio 11</v>
      </c>
      <c r="D207" s="80" t="str">
        <f>'⚙️ Configuração'!C30</f>
        <v>Carla Cantante</v>
      </c>
      <c r="E207" s="50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81">
        <f>(E207*'⚙️ Configuração'!$C$6+F207*'⚙️ Configuração'!$C$7+G207*'⚙️ Configuração'!$C$8+H207*'⚙️ Configuração'!$C$9+I207*'⚙️ Configuração'!$C$10+J207*'⚙️ Configuração'!$C$11)*IF(N207="S",2,1)</f>
        <v>0</v>
      </c>
      <c r="L207" s="90" t="s">
        <v>167</v>
      </c>
      <c r="M207" s="82">
        <f>IF(L207="AT1",'⚙️ Configuração'!$C$14,IF(L207="AT2",'⚙️ Configuração'!$C$15,IF(L207="FI",'⚙️ Configuração'!$C$16,IF(L207="FJ",'⚙️ Configuração'!$C$17,0))))</f>
        <v>0</v>
      </c>
      <c r="N207" s="91" t="s">
        <v>167</v>
      </c>
      <c r="O207" s="92"/>
      <c r="P207" s="83">
        <f>IF(O207="1",'⚙️ Configuração'!$C$21,IF(O207="2",'⚙️ Configuração'!$C$22,IF(O207="3",'⚙️ Configuração'!$C$23,IF(O207="Outro",'⚙️ Configuração'!$C$24,0))))</f>
        <v>0</v>
      </c>
      <c r="Q207" s="84">
        <f t="shared" si="17"/>
        <v>0</v>
      </c>
      <c r="R207" s="40" t="str">
        <f t="shared" si="1"/>
        <v>Semana 1 — ver 🔄</v>
      </c>
      <c r="S207" t="str" cm="1">
        <f t="array" ref="S207">IF(D207="","",IFERROR(_xlfn.SWITCH(B207,"Semana 1",IFERROR(INDEX('🔄 Rotação Duplas'!$D$8:$D$17,MATCH(D207,'🔄 Rotação Duplas'!$C$8:$C$17,0)),INDEX('🔄 Rotação Duplas'!$C$8:$C$17,MATCH(D207,'🔄 Rotação Duplas'!$D$8:$D$17,0))),"Semana 2",IFERROR(INDEX('🔄 Rotação Duplas'!$D$22:$D$31,MATCH(D207,'🔄 Rotação Duplas'!$C$22:$C$31,0)),INDEX('🔄 Rotação Duplas'!$C$22:$C$31,MATCH(D207,'🔄 Rotação Duplas'!$D$22:$D$31,0))),"Semana 3",IFERROR(INDEX('🔄 Rotação Duplas'!$D$36:$D$45,MATCH(D207,'🔄 Rotação Duplas'!$C$36:$C$45,0)),INDEX('🔄 Rotação Duplas'!$C$36:$C$45,MATCH(D207,'🔄 Rotação Duplas'!$D$36:$D$45,0))),"Semana 4",IFERROR(INDEX('🔄 Rotação Duplas'!$D$50:$D$59,MATCH(D207,'🔄 Rotação Duplas'!$C$50:$C$59,0)),INDEX('🔄 Rotação Duplas'!$C$50:$C$59,MATCH(D207,'🔄 Rotação Duplas'!$D$50:$D$59,0))),"Semana 5",IFERROR(INDEX('🔄 Rotação Duplas'!$D$64:$D$73,MATCH(D207,'🔄 Rotação Duplas'!$C$64:$C$73,0)),INDEX('🔄 Rotação Duplas'!$C$64:$C$73,MATCH(D207,'🔄 Rotação Duplas'!$D$64:$D$73,0))),"Semana 6",IFERROR(INDEX('🔄 Rotação Duplas'!$D$78:$D$87,MATCH(D207,'🔄 Rotação Duplas'!$C$78:$C$87,0)),INDEX('🔄 Rotação Duplas'!$C$78:$C$87,MATCH(D207,'🔄 Rotação Duplas'!$D$78:$D$87,0))),"Semana 7",IFERROR(INDEX('🔄 Rotação Duplas'!$D$92:$D$101,MATCH(D207,'🔄 Rotação Duplas'!$C$92:$C$101,0)),INDEX('🔄 Rotação Duplas'!$C$92:$C$101,MATCH(D207,'🔄 Rotação Duplas'!$D$92:$D$101,0))),"Semana 8",IFERROR(INDEX('🔄 Rotação Duplas'!$D$106:$D$115,MATCH(D207,'🔄 Rotação Duplas'!$C$106:$C$115,0)),INDEX('🔄 Rotação Duplas'!$C$106:$C$115,MATCH(D207,'🔄 Rotação Duplas'!$D$106:$D$115,0)))),""))</f>
        <v/>
      </c>
      <c r="T207">
        <f t="shared" si="18"/>
        <v>0</v>
      </c>
    </row>
    <row r="208" spans="2:20" ht="18" customHeight="1" x14ac:dyDescent="0.2">
      <c r="B208" s="85" t="s">
        <v>73</v>
      </c>
      <c r="C208" s="86" t="str">
        <f t="shared" si="19"/>
        <v>Desafio 11</v>
      </c>
      <c r="D208" s="87" t="str">
        <f>'⚙️ Configuração'!C31</f>
        <v>Elisabete Mendes</v>
      </c>
      <c r="E208" s="50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81">
        <f>(E208*'⚙️ Configuração'!$C$6+F208*'⚙️ Configuração'!$C$7+G208*'⚙️ Configuração'!$C$8+H208*'⚙️ Configuração'!$C$9+I208*'⚙️ Configuração'!$C$10+J208*'⚙️ Configuração'!$C$11)*IF(N208="S",2,1)</f>
        <v>0</v>
      </c>
      <c r="L208" s="90" t="s">
        <v>167</v>
      </c>
      <c r="M208" s="82">
        <f>IF(L208="AT1",'⚙️ Configuração'!$C$14,IF(L208="AT2",'⚙️ Configuração'!$C$15,IF(L208="FI",'⚙️ Configuração'!$C$16,IF(L208="FJ",'⚙️ Configuração'!$C$17,0))))</f>
        <v>0</v>
      </c>
      <c r="N208" s="91" t="s">
        <v>167</v>
      </c>
      <c r="O208" s="92"/>
      <c r="P208" s="83">
        <f>IF(O208="1",'⚙️ Configuração'!$C$21,IF(O208="2",'⚙️ Configuração'!$C$22,IF(O208="3",'⚙️ Configuração'!$C$23,IF(O208="Outro",'⚙️ Configuração'!$C$24,0))))</f>
        <v>0</v>
      </c>
      <c r="Q208" s="84">
        <f t="shared" si="17"/>
        <v>0</v>
      </c>
      <c r="R208" s="40" t="str">
        <f t="shared" si="1"/>
        <v>Semana 1 — ver 🔄</v>
      </c>
      <c r="S208" t="str" cm="1">
        <f t="array" ref="S208">IF(D208="","",IFERROR(_xlfn.SWITCH(B208,"Semana 1",IFERROR(INDEX('🔄 Rotação Duplas'!$D$8:$D$17,MATCH(D208,'🔄 Rotação Duplas'!$C$8:$C$17,0)),INDEX('🔄 Rotação Duplas'!$C$8:$C$17,MATCH(D208,'🔄 Rotação Duplas'!$D$8:$D$17,0))),"Semana 2",IFERROR(INDEX('🔄 Rotação Duplas'!$D$22:$D$31,MATCH(D208,'🔄 Rotação Duplas'!$C$22:$C$31,0)),INDEX('🔄 Rotação Duplas'!$C$22:$C$31,MATCH(D208,'🔄 Rotação Duplas'!$D$22:$D$31,0))),"Semana 3",IFERROR(INDEX('🔄 Rotação Duplas'!$D$36:$D$45,MATCH(D208,'🔄 Rotação Duplas'!$C$36:$C$45,0)),INDEX('🔄 Rotação Duplas'!$C$36:$C$45,MATCH(D208,'🔄 Rotação Duplas'!$D$36:$D$45,0))),"Semana 4",IFERROR(INDEX('🔄 Rotação Duplas'!$D$50:$D$59,MATCH(D208,'🔄 Rotação Duplas'!$C$50:$C$59,0)),INDEX('🔄 Rotação Duplas'!$C$50:$C$59,MATCH(D208,'🔄 Rotação Duplas'!$D$50:$D$59,0))),"Semana 5",IFERROR(INDEX('🔄 Rotação Duplas'!$D$64:$D$73,MATCH(D208,'🔄 Rotação Duplas'!$C$64:$C$73,0)),INDEX('🔄 Rotação Duplas'!$C$64:$C$73,MATCH(D208,'🔄 Rotação Duplas'!$D$64:$D$73,0))),"Semana 6",IFERROR(INDEX('🔄 Rotação Duplas'!$D$78:$D$87,MATCH(D208,'🔄 Rotação Duplas'!$C$78:$C$87,0)),INDEX('🔄 Rotação Duplas'!$C$78:$C$87,MATCH(D208,'🔄 Rotação Duplas'!$D$78:$D$87,0))),"Semana 7",IFERROR(INDEX('🔄 Rotação Duplas'!$D$92:$D$101,MATCH(D208,'🔄 Rotação Duplas'!$C$92:$C$101,0)),INDEX('🔄 Rotação Duplas'!$C$92:$C$101,MATCH(D208,'🔄 Rotação Duplas'!$D$92:$D$101,0))),"Semana 8",IFERROR(INDEX('🔄 Rotação Duplas'!$D$106:$D$115,MATCH(D208,'🔄 Rotação Duplas'!$C$106:$C$115,0)),INDEX('🔄 Rotação Duplas'!$C$106:$C$115,MATCH(D208,'🔄 Rotação Duplas'!$D$106:$D$115,0)))),""))</f>
        <v/>
      </c>
      <c r="T208">
        <f t="shared" si="18"/>
        <v>0</v>
      </c>
    </row>
    <row r="209" spans="2:20" ht="18" customHeight="1" x14ac:dyDescent="0.2">
      <c r="B209" s="78" t="s">
        <v>73</v>
      </c>
      <c r="C209" s="79" t="str">
        <f t="shared" si="19"/>
        <v>Desafio 11</v>
      </c>
      <c r="D209" s="80" t="str">
        <f>'⚙️ Configuração'!C32</f>
        <v>Filipa Cunha</v>
      </c>
      <c r="E209" s="50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81">
        <f>(E209*'⚙️ Configuração'!$C$6+F209*'⚙️ Configuração'!$C$7+G209*'⚙️ Configuração'!$C$8+H209*'⚙️ Configuração'!$C$9+I209*'⚙️ Configuração'!$C$10+J209*'⚙️ Configuração'!$C$11)*IF(N209="S",2,1)</f>
        <v>0</v>
      </c>
      <c r="L209" s="90" t="s">
        <v>167</v>
      </c>
      <c r="M209" s="82">
        <f>IF(L209="AT1",'⚙️ Configuração'!$C$14,IF(L209="AT2",'⚙️ Configuração'!$C$15,IF(L209="FI",'⚙️ Configuração'!$C$16,IF(L209="FJ",'⚙️ Configuração'!$C$17,0))))</f>
        <v>0</v>
      </c>
      <c r="N209" s="91" t="s">
        <v>167</v>
      </c>
      <c r="O209" s="92"/>
      <c r="P209" s="83">
        <f>IF(O209="1",'⚙️ Configuração'!$C$21,IF(O209="2",'⚙️ Configuração'!$C$22,IF(O209="3",'⚙️ Configuração'!$C$23,IF(O209="Outro",'⚙️ Configuração'!$C$24,0))))</f>
        <v>0</v>
      </c>
      <c r="Q209" s="84">
        <f t="shared" si="17"/>
        <v>0</v>
      </c>
      <c r="R209" s="40" t="str">
        <f t="shared" si="1"/>
        <v>Semana 1 — ver 🔄</v>
      </c>
      <c r="S209" t="str" cm="1">
        <f t="array" ref="S209">IF(D209="","",IFERROR(_xlfn.SWITCH(B209,"Semana 1",IFERROR(INDEX('🔄 Rotação Duplas'!$D$8:$D$17,MATCH(D209,'🔄 Rotação Duplas'!$C$8:$C$17,0)),INDEX('🔄 Rotação Duplas'!$C$8:$C$17,MATCH(D209,'🔄 Rotação Duplas'!$D$8:$D$17,0))),"Semana 2",IFERROR(INDEX('🔄 Rotação Duplas'!$D$22:$D$31,MATCH(D209,'🔄 Rotação Duplas'!$C$22:$C$31,0)),INDEX('🔄 Rotação Duplas'!$C$22:$C$31,MATCH(D209,'🔄 Rotação Duplas'!$D$22:$D$31,0))),"Semana 3",IFERROR(INDEX('🔄 Rotação Duplas'!$D$36:$D$45,MATCH(D209,'🔄 Rotação Duplas'!$C$36:$C$45,0)),INDEX('🔄 Rotação Duplas'!$C$36:$C$45,MATCH(D209,'🔄 Rotação Duplas'!$D$36:$D$45,0))),"Semana 4",IFERROR(INDEX('🔄 Rotação Duplas'!$D$50:$D$59,MATCH(D209,'🔄 Rotação Duplas'!$C$50:$C$59,0)),INDEX('🔄 Rotação Duplas'!$C$50:$C$59,MATCH(D209,'🔄 Rotação Duplas'!$D$50:$D$59,0))),"Semana 5",IFERROR(INDEX('🔄 Rotação Duplas'!$D$64:$D$73,MATCH(D209,'🔄 Rotação Duplas'!$C$64:$C$73,0)),INDEX('🔄 Rotação Duplas'!$C$64:$C$73,MATCH(D209,'🔄 Rotação Duplas'!$D$64:$D$73,0))),"Semana 6",IFERROR(INDEX('🔄 Rotação Duplas'!$D$78:$D$87,MATCH(D209,'🔄 Rotação Duplas'!$C$78:$C$87,0)),INDEX('🔄 Rotação Duplas'!$C$78:$C$87,MATCH(D209,'🔄 Rotação Duplas'!$D$78:$D$87,0))),"Semana 7",IFERROR(INDEX('🔄 Rotação Duplas'!$D$92:$D$101,MATCH(D209,'🔄 Rotação Duplas'!$C$92:$C$101,0)),INDEX('🔄 Rotação Duplas'!$C$92:$C$101,MATCH(D209,'🔄 Rotação Duplas'!$D$92:$D$101,0))),"Semana 8",IFERROR(INDEX('🔄 Rotação Duplas'!$D$106:$D$115,MATCH(D209,'🔄 Rotação Duplas'!$C$106:$C$115,0)),INDEX('🔄 Rotação Duplas'!$C$106:$C$115,MATCH(D209,'🔄 Rotação Duplas'!$D$106:$D$115,0)))),""))</f>
        <v/>
      </c>
      <c r="T209">
        <f t="shared" si="18"/>
        <v>0</v>
      </c>
    </row>
    <row r="210" spans="2:20" ht="18" customHeight="1" x14ac:dyDescent="0.2">
      <c r="B210" s="85" t="s">
        <v>73</v>
      </c>
      <c r="C210" s="86" t="str">
        <f t="shared" si="19"/>
        <v>Desafio 11</v>
      </c>
      <c r="D210" s="87" t="str">
        <f>'⚙️ Configuração'!C33</f>
        <v>Helena Rocha</v>
      </c>
      <c r="E210" s="50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81">
        <f>(E210*'⚙️ Configuração'!$C$6+F210*'⚙️ Configuração'!$C$7+G210*'⚙️ Configuração'!$C$8+H210*'⚙️ Configuração'!$C$9+I210*'⚙️ Configuração'!$C$10+J210*'⚙️ Configuração'!$C$11)*IF(N210="S",2,1)</f>
        <v>0</v>
      </c>
      <c r="L210" s="90" t="s">
        <v>167</v>
      </c>
      <c r="M210" s="82">
        <f>IF(L210="AT1",'⚙️ Configuração'!$C$14,IF(L210="AT2",'⚙️ Configuração'!$C$15,IF(L210="FI",'⚙️ Configuração'!$C$16,IF(L210="FJ",'⚙️ Configuração'!$C$17,0))))</f>
        <v>0</v>
      </c>
      <c r="N210" s="91" t="s">
        <v>167</v>
      </c>
      <c r="O210" s="92"/>
      <c r="P210" s="83">
        <f>IF(O210="1",'⚙️ Configuração'!$C$21,IF(O210="2",'⚙️ Configuração'!$C$22,IF(O210="3",'⚙️ Configuração'!$C$23,IF(O210="Outro",'⚙️ Configuração'!$C$24,0))))</f>
        <v>0</v>
      </c>
      <c r="Q210" s="84">
        <f t="shared" si="17"/>
        <v>0</v>
      </c>
      <c r="R210" s="40" t="str">
        <f t="shared" si="1"/>
        <v>Semana 1 — ver 🔄</v>
      </c>
      <c r="S210" t="str" cm="1">
        <f t="array" ref="S210">IF(D210="","",IFERROR(_xlfn.SWITCH(B210,"Semana 1",IFERROR(INDEX('🔄 Rotação Duplas'!$D$8:$D$17,MATCH(D210,'🔄 Rotação Duplas'!$C$8:$C$17,0)),INDEX('🔄 Rotação Duplas'!$C$8:$C$17,MATCH(D210,'🔄 Rotação Duplas'!$D$8:$D$17,0))),"Semana 2",IFERROR(INDEX('🔄 Rotação Duplas'!$D$22:$D$31,MATCH(D210,'🔄 Rotação Duplas'!$C$22:$C$31,0)),INDEX('🔄 Rotação Duplas'!$C$22:$C$31,MATCH(D210,'🔄 Rotação Duplas'!$D$22:$D$31,0))),"Semana 3",IFERROR(INDEX('🔄 Rotação Duplas'!$D$36:$D$45,MATCH(D210,'🔄 Rotação Duplas'!$C$36:$C$45,0)),INDEX('🔄 Rotação Duplas'!$C$36:$C$45,MATCH(D210,'🔄 Rotação Duplas'!$D$36:$D$45,0))),"Semana 4",IFERROR(INDEX('🔄 Rotação Duplas'!$D$50:$D$59,MATCH(D210,'🔄 Rotação Duplas'!$C$50:$C$59,0)),INDEX('🔄 Rotação Duplas'!$C$50:$C$59,MATCH(D210,'🔄 Rotação Duplas'!$D$50:$D$59,0))),"Semana 5",IFERROR(INDEX('🔄 Rotação Duplas'!$D$64:$D$73,MATCH(D210,'🔄 Rotação Duplas'!$C$64:$C$73,0)),INDEX('🔄 Rotação Duplas'!$C$64:$C$73,MATCH(D210,'🔄 Rotação Duplas'!$D$64:$D$73,0))),"Semana 6",IFERROR(INDEX('🔄 Rotação Duplas'!$D$78:$D$87,MATCH(D210,'🔄 Rotação Duplas'!$C$78:$C$87,0)),INDEX('🔄 Rotação Duplas'!$C$78:$C$87,MATCH(D210,'🔄 Rotação Duplas'!$D$78:$D$87,0))),"Semana 7",IFERROR(INDEX('🔄 Rotação Duplas'!$D$92:$D$101,MATCH(D210,'🔄 Rotação Duplas'!$C$92:$C$101,0)),INDEX('🔄 Rotação Duplas'!$C$92:$C$101,MATCH(D210,'🔄 Rotação Duplas'!$D$92:$D$101,0))),"Semana 8",IFERROR(INDEX('🔄 Rotação Duplas'!$D$106:$D$115,MATCH(D210,'🔄 Rotação Duplas'!$C$106:$C$115,0)),INDEX('🔄 Rotação Duplas'!$C$106:$C$115,MATCH(D210,'🔄 Rotação Duplas'!$D$106:$D$115,0)))),""))</f>
        <v/>
      </c>
      <c r="T210">
        <f t="shared" si="18"/>
        <v>0</v>
      </c>
    </row>
    <row r="211" spans="2:20" ht="18" customHeight="1" x14ac:dyDescent="0.2">
      <c r="B211" s="78" t="s">
        <v>73</v>
      </c>
      <c r="C211" s="79" t="str">
        <f t="shared" si="19"/>
        <v>Desafio 11</v>
      </c>
      <c r="D211" s="80" t="str">
        <f>'⚙️ Configuração'!C34</f>
        <v>João Xavier</v>
      </c>
      <c r="E211" s="50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81">
        <f>(E211*'⚙️ Configuração'!$C$6+F211*'⚙️ Configuração'!$C$7+G211*'⚙️ Configuração'!$C$8+H211*'⚙️ Configuração'!$C$9+I211*'⚙️ Configuração'!$C$10+J211*'⚙️ Configuração'!$C$11)*IF(N211="S",2,1)</f>
        <v>0</v>
      </c>
      <c r="L211" s="90" t="s">
        <v>167</v>
      </c>
      <c r="M211" s="82">
        <f>IF(L211="AT1",'⚙️ Configuração'!$C$14,IF(L211="AT2",'⚙️ Configuração'!$C$15,IF(L211="FI",'⚙️ Configuração'!$C$16,IF(L211="FJ",'⚙️ Configuração'!$C$17,0))))</f>
        <v>0</v>
      </c>
      <c r="N211" s="91" t="s">
        <v>167</v>
      </c>
      <c r="O211" s="92"/>
      <c r="P211" s="83">
        <f>IF(O211="1",'⚙️ Configuração'!$C$21,IF(O211="2",'⚙️ Configuração'!$C$22,IF(O211="3",'⚙️ Configuração'!$C$23,IF(O211="Outro",'⚙️ Configuração'!$C$24,0))))</f>
        <v>0</v>
      </c>
      <c r="Q211" s="84">
        <f t="shared" si="17"/>
        <v>0</v>
      </c>
      <c r="R211" s="40" t="str">
        <f t="shared" si="1"/>
        <v>Semana 1 — ver 🔄</v>
      </c>
      <c r="S211" t="str" cm="1">
        <f t="array" ref="S211">IF(D211="","",IFERROR(_xlfn.SWITCH(B211,"Semana 1",IFERROR(INDEX('🔄 Rotação Duplas'!$D$8:$D$17,MATCH(D211,'🔄 Rotação Duplas'!$C$8:$C$17,0)),INDEX('🔄 Rotação Duplas'!$C$8:$C$17,MATCH(D211,'🔄 Rotação Duplas'!$D$8:$D$17,0))),"Semana 2",IFERROR(INDEX('🔄 Rotação Duplas'!$D$22:$D$31,MATCH(D211,'🔄 Rotação Duplas'!$C$22:$C$31,0)),INDEX('🔄 Rotação Duplas'!$C$22:$C$31,MATCH(D211,'🔄 Rotação Duplas'!$D$22:$D$31,0))),"Semana 3",IFERROR(INDEX('🔄 Rotação Duplas'!$D$36:$D$45,MATCH(D211,'🔄 Rotação Duplas'!$C$36:$C$45,0)),INDEX('🔄 Rotação Duplas'!$C$36:$C$45,MATCH(D211,'🔄 Rotação Duplas'!$D$36:$D$45,0))),"Semana 4",IFERROR(INDEX('🔄 Rotação Duplas'!$D$50:$D$59,MATCH(D211,'🔄 Rotação Duplas'!$C$50:$C$59,0)),INDEX('🔄 Rotação Duplas'!$C$50:$C$59,MATCH(D211,'🔄 Rotação Duplas'!$D$50:$D$59,0))),"Semana 5",IFERROR(INDEX('🔄 Rotação Duplas'!$D$64:$D$73,MATCH(D211,'🔄 Rotação Duplas'!$C$64:$C$73,0)),INDEX('🔄 Rotação Duplas'!$C$64:$C$73,MATCH(D211,'🔄 Rotação Duplas'!$D$64:$D$73,0))),"Semana 6",IFERROR(INDEX('🔄 Rotação Duplas'!$D$78:$D$87,MATCH(D211,'🔄 Rotação Duplas'!$C$78:$C$87,0)),INDEX('🔄 Rotação Duplas'!$C$78:$C$87,MATCH(D211,'🔄 Rotação Duplas'!$D$78:$D$87,0))),"Semana 7",IFERROR(INDEX('🔄 Rotação Duplas'!$D$92:$D$101,MATCH(D211,'🔄 Rotação Duplas'!$C$92:$C$101,0)),INDEX('🔄 Rotação Duplas'!$C$92:$C$101,MATCH(D211,'🔄 Rotação Duplas'!$D$92:$D$101,0))),"Semana 8",IFERROR(INDEX('🔄 Rotação Duplas'!$D$106:$D$115,MATCH(D211,'🔄 Rotação Duplas'!$C$106:$C$115,0)),INDEX('🔄 Rotação Duplas'!$C$106:$C$115,MATCH(D211,'🔄 Rotação Duplas'!$D$106:$D$115,0)))),""))</f>
        <v/>
      </c>
      <c r="T211">
        <f t="shared" si="18"/>
        <v>0</v>
      </c>
    </row>
    <row r="212" spans="2:20" ht="18" customHeight="1" x14ac:dyDescent="0.2">
      <c r="B212" s="85" t="s">
        <v>73</v>
      </c>
      <c r="C212" s="86" t="str">
        <f t="shared" si="19"/>
        <v>Desafio 11</v>
      </c>
      <c r="D212" s="87" t="str">
        <f>'⚙️ Configuração'!C35</f>
        <v>Tomás Carlos</v>
      </c>
      <c r="E212" s="50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81">
        <f>(E212*'⚙️ Configuração'!$C$6+F212*'⚙️ Configuração'!$C$7+G212*'⚙️ Configuração'!$C$8+H212*'⚙️ Configuração'!$C$9+I212*'⚙️ Configuração'!$C$10+J212*'⚙️ Configuração'!$C$11)*IF(N212="S",2,1)</f>
        <v>0</v>
      </c>
      <c r="L212" s="90" t="s">
        <v>167</v>
      </c>
      <c r="M212" s="82">
        <f>IF(L212="AT1",'⚙️ Configuração'!$C$14,IF(L212="AT2",'⚙️ Configuração'!$C$15,IF(L212="FI",'⚙️ Configuração'!$C$16,IF(L212="FJ",'⚙️ Configuração'!$C$17,0))))</f>
        <v>0</v>
      </c>
      <c r="N212" s="91" t="s">
        <v>167</v>
      </c>
      <c r="O212" s="92"/>
      <c r="P212" s="83">
        <f>IF(O212="1",'⚙️ Configuração'!$C$21,IF(O212="2",'⚙️ Configuração'!$C$22,IF(O212="3",'⚙️ Configuração'!$C$23,IF(O212="Outro",'⚙️ Configuração'!$C$24,0))))</f>
        <v>0</v>
      </c>
      <c r="Q212" s="84">
        <f t="shared" si="17"/>
        <v>0</v>
      </c>
      <c r="R212" s="40" t="str">
        <f t="shared" si="1"/>
        <v>Semana 1 — ver 🔄</v>
      </c>
      <c r="S212" t="str" cm="1">
        <f t="array" ref="S212">IF(D212="","",IFERROR(_xlfn.SWITCH(B212,"Semana 1",IFERROR(INDEX('🔄 Rotação Duplas'!$D$8:$D$17,MATCH(D212,'🔄 Rotação Duplas'!$C$8:$C$17,0)),INDEX('🔄 Rotação Duplas'!$C$8:$C$17,MATCH(D212,'🔄 Rotação Duplas'!$D$8:$D$17,0))),"Semana 2",IFERROR(INDEX('🔄 Rotação Duplas'!$D$22:$D$31,MATCH(D212,'🔄 Rotação Duplas'!$C$22:$C$31,0)),INDEX('🔄 Rotação Duplas'!$C$22:$C$31,MATCH(D212,'🔄 Rotação Duplas'!$D$22:$D$31,0))),"Semana 3",IFERROR(INDEX('🔄 Rotação Duplas'!$D$36:$D$45,MATCH(D212,'🔄 Rotação Duplas'!$C$36:$C$45,0)),INDEX('🔄 Rotação Duplas'!$C$36:$C$45,MATCH(D212,'🔄 Rotação Duplas'!$D$36:$D$45,0))),"Semana 4",IFERROR(INDEX('🔄 Rotação Duplas'!$D$50:$D$59,MATCH(D212,'🔄 Rotação Duplas'!$C$50:$C$59,0)),INDEX('🔄 Rotação Duplas'!$C$50:$C$59,MATCH(D212,'🔄 Rotação Duplas'!$D$50:$D$59,0))),"Semana 5",IFERROR(INDEX('🔄 Rotação Duplas'!$D$64:$D$73,MATCH(D212,'🔄 Rotação Duplas'!$C$64:$C$73,0)),INDEX('🔄 Rotação Duplas'!$C$64:$C$73,MATCH(D212,'🔄 Rotação Duplas'!$D$64:$D$73,0))),"Semana 6",IFERROR(INDEX('🔄 Rotação Duplas'!$D$78:$D$87,MATCH(D212,'🔄 Rotação Duplas'!$C$78:$C$87,0)),INDEX('🔄 Rotação Duplas'!$C$78:$C$87,MATCH(D212,'🔄 Rotação Duplas'!$D$78:$D$87,0))),"Semana 7",IFERROR(INDEX('🔄 Rotação Duplas'!$D$92:$D$101,MATCH(D212,'🔄 Rotação Duplas'!$C$92:$C$101,0)),INDEX('🔄 Rotação Duplas'!$C$92:$C$101,MATCH(D212,'🔄 Rotação Duplas'!$D$92:$D$101,0))),"Semana 8",IFERROR(INDEX('🔄 Rotação Duplas'!$D$106:$D$115,MATCH(D212,'🔄 Rotação Duplas'!$C$106:$C$115,0)),INDEX('🔄 Rotação Duplas'!$C$106:$C$115,MATCH(D212,'🔄 Rotação Duplas'!$D$106:$D$115,0)))),""))</f>
        <v/>
      </c>
      <c r="T212">
        <f t="shared" si="18"/>
        <v>0</v>
      </c>
    </row>
    <row r="213" spans="2:20" ht="18" customHeight="1" x14ac:dyDescent="0.2">
      <c r="B213" s="78" t="s">
        <v>73</v>
      </c>
      <c r="C213" s="79" t="str">
        <f t="shared" si="19"/>
        <v>Desafio 11</v>
      </c>
      <c r="D213" s="80" t="str">
        <f>'⚙️ Configuração'!C36</f>
        <v>Alexandra Correia</v>
      </c>
      <c r="E213" s="50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81">
        <f>(E213*'⚙️ Configuração'!$C$6+F213*'⚙️ Configuração'!$C$7+G213*'⚙️ Configuração'!$C$8+H213*'⚙️ Configuração'!$C$9+I213*'⚙️ Configuração'!$C$10+J213*'⚙️ Configuração'!$C$11)*IF(N213="S",2,1)</f>
        <v>0</v>
      </c>
      <c r="L213" s="90" t="s">
        <v>167</v>
      </c>
      <c r="M213" s="82">
        <f>IF(L213="AT1",'⚙️ Configuração'!$C$14,IF(L213="AT2",'⚙️ Configuração'!$C$15,IF(L213="FI",'⚙️ Configuração'!$C$16,IF(L213="FJ",'⚙️ Configuração'!$C$17,0))))</f>
        <v>0</v>
      </c>
      <c r="N213" s="91" t="s">
        <v>167</v>
      </c>
      <c r="O213" s="92"/>
      <c r="P213" s="83">
        <f>IF(O213="1",'⚙️ Configuração'!$C$21,IF(O213="2",'⚙️ Configuração'!$C$22,IF(O213="3",'⚙️ Configuração'!$C$23,IF(O213="Outro",'⚙️ Configuração'!$C$24,0))))</f>
        <v>0</v>
      </c>
      <c r="Q213" s="84">
        <f t="shared" si="17"/>
        <v>0</v>
      </c>
      <c r="R213" s="40" t="str">
        <f t="shared" si="1"/>
        <v>Semana 1 — ver 🔄</v>
      </c>
      <c r="S213" t="str" cm="1">
        <f t="array" ref="S213">IF(D213="","",IFERROR(_xlfn.SWITCH(B213,"Semana 1",IFERROR(INDEX('🔄 Rotação Duplas'!$D$8:$D$17,MATCH(D213,'🔄 Rotação Duplas'!$C$8:$C$17,0)),INDEX('🔄 Rotação Duplas'!$C$8:$C$17,MATCH(D213,'🔄 Rotação Duplas'!$D$8:$D$17,0))),"Semana 2",IFERROR(INDEX('🔄 Rotação Duplas'!$D$22:$D$31,MATCH(D213,'🔄 Rotação Duplas'!$C$22:$C$31,0)),INDEX('🔄 Rotação Duplas'!$C$22:$C$31,MATCH(D213,'🔄 Rotação Duplas'!$D$22:$D$31,0))),"Semana 3",IFERROR(INDEX('🔄 Rotação Duplas'!$D$36:$D$45,MATCH(D213,'🔄 Rotação Duplas'!$C$36:$C$45,0)),INDEX('🔄 Rotação Duplas'!$C$36:$C$45,MATCH(D213,'🔄 Rotação Duplas'!$D$36:$D$45,0))),"Semana 4",IFERROR(INDEX('🔄 Rotação Duplas'!$D$50:$D$59,MATCH(D213,'🔄 Rotação Duplas'!$C$50:$C$59,0)),INDEX('🔄 Rotação Duplas'!$C$50:$C$59,MATCH(D213,'🔄 Rotação Duplas'!$D$50:$D$59,0))),"Semana 5",IFERROR(INDEX('🔄 Rotação Duplas'!$D$64:$D$73,MATCH(D213,'🔄 Rotação Duplas'!$C$64:$C$73,0)),INDEX('🔄 Rotação Duplas'!$C$64:$C$73,MATCH(D213,'🔄 Rotação Duplas'!$D$64:$D$73,0))),"Semana 6",IFERROR(INDEX('🔄 Rotação Duplas'!$D$78:$D$87,MATCH(D213,'🔄 Rotação Duplas'!$C$78:$C$87,0)),INDEX('🔄 Rotação Duplas'!$C$78:$C$87,MATCH(D213,'🔄 Rotação Duplas'!$D$78:$D$87,0))),"Semana 7",IFERROR(INDEX('🔄 Rotação Duplas'!$D$92:$D$101,MATCH(D213,'🔄 Rotação Duplas'!$C$92:$C$101,0)),INDEX('🔄 Rotação Duplas'!$C$92:$C$101,MATCH(D213,'🔄 Rotação Duplas'!$D$92:$D$101,0))),"Semana 8",IFERROR(INDEX('🔄 Rotação Duplas'!$D$106:$D$115,MATCH(D213,'🔄 Rotação Duplas'!$C$106:$C$115,0)),INDEX('🔄 Rotação Duplas'!$C$106:$C$115,MATCH(D213,'🔄 Rotação Duplas'!$D$106:$D$115,0)))),""))</f>
        <v/>
      </c>
      <c r="T213">
        <f t="shared" si="18"/>
        <v>0</v>
      </c>
    </row>
    <row r="214" spans="2:20" ht="18" customHeight="1" x14ac:dyDescent="0.2">
      <c r="B214" s="85" t="s">
        <v>73</v>
      </c>
      <c r="C214" s="86" t="str">
        <f t="shared" si="19"/>
        <v>Desafio 11</v>
      </c>
      <c r="D214" s="87" t="str">
        <f>'⚙️ Configuração'!C37</f>
        <v>Carla Barata</v>
      </c>
      <c r="E214" s="50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81">
        <f>(E214*'⚙️ Configuração'!$C$6+F214*'⚙️ Configuração'!$C$7+G214*'⚙️ Configuração'!$C$8+H214*'⚙️ Configuração'!$C$9+I214*'⚙️ Configuração'!$C$10+J214*'⚙️ Configuração'!$C$11)*IF(N214="S",2,1)</f>
        <v>0</v>
      </c>
      <c r="L214" s="90" t="s">
        <v>167</v>
      </c>
      <c r="M214" s="82">
        <f>IF(L214="AT1",'⚙️ Configuração'!$C$14,IF(L214="AT2",'⚙️ Configuração'!$C$15,IF(L214="FI",'⚙️ Configuração'!$C$16,IF(L214="FJ",'⚙️ Configuração'!$C$17,0))))</f>
        <v>0</v>
      </c>
      <c r="N214" s="91" t="s">
        <v>167</v>
      </c>
      <c r="O214" s="92"/>
      <c r="P214" s="83">
        <f>IF(O214="1",'⚙️ Configuração'!$C$21,IF(O214="2",'⚙️ Configuração'!$C$22,IF(O214="3",'⚙️ Configuração'!$C$23,IF(O214="Outro",'⚙️ Configuração'!$C$24,0))))</f>
        <v>0</v>
      </c>
      <c r="Q214" s="84">
        <f t="shared" si="17"/>
        <v>0</v>
      </c>
      <c r="R214" s="40" t="str">
        <f t="shared" si="1"/>
        <v>Semana 1 — ver 🔄</v>
      </c>
      <c r="S214" t="str" cm="1">
        <f t="array" ref="S214">IF(D214="","",IFERROR(_xlfn.SWITCH(B214,"Semana 1",IFERROR(INDEX('🔄 Rotação Duplas'!$D$8:$D$17,MATCH(D214,'🔄 Rotação Duplas'!$C$8:$C$17,0)),INDEX('🔄 Rotação Duplas'!$C$8:$C$17,MATCH(D214,'🔄 Rotação Duplas'!$D$8:$D$17,0))),"Semana 2",IFERROR(INDEX('🔄 Rotação Duplas'!$D$22:$D$31,MATCH(D214,'🔄 Rotação Duplas'!$C$22:$C$31,0)),INDEX('🔄 Rotação Duplas'!$C$22:$C$31,MATCH(D214,'🔄 Rotação Duplas'!$D$22:$D$31,0))),"Semana 3",IFERROR(INDEX('🔄 Rotação Duplas'!$D$36:$D$45,MATCH(D214,'🔄 Rotação Duplas'!$C$36:$C$45,0)),INDEX('🔄 Rotação Duplas'!$C$36:$C$45,MATCH(D214,'🔄 Rotação Duplas'!$D$36:$D$45,0))),"Semana 4",IFERROR(INDEX('🔄 Rotação Duplas'!$D$50:$D$59,MATCH(D214,'🔄 Rotação Duplas'!$C$50:$C$59,0)),INDEX('🔄 Rotação Duplas'!$C$50:$C$59,MATCH(D214,'🔄 Rotação Duplas'!$D$50:$D$59,0))),"Semana 5",IFERROR(INDEX('🔄 Rotação Duplas'!$D$64:$D$73,MATCH(D214,'🔄 Rotação Duplas'!$C$64:$C$73,0)),INDEX('🔄 Rotação Duplas'!$C$64:$C$73,MATCH(D214,'🔄 Rotação Duplas'!$D$64:$D$73,0))),"Semana 6",IFERROR(INDEX('🔄 Rotação Duplas'!$D$78:$D$87,MATCH(D214,'🔄 Rotação Duplas'!$C$78:$C$87,0)),INDEX('🔄 Rotação Duplas'!$C$78:$C$87,MATCH(D214,'🔄 Rotação Duplas'!$D$78:$D$87,0))),"Semana 7",IFERROR(INDEX('🔄 Rotação Duplas'!$D$92:$D$101,MATCH(D214,'🔄 Rotação Duplas'!$C$92:$C$101,0)),INDEX('🔄 Rotação Duplas'!$C$92:$C$101,MATCH(D214,'🔄 Rotação Duplas'!$D$92:$D$101,0))),"Semana 8",IFERROR(INDEX('🔄 Rotação Duplas'!$D$106:$D$115,MATCH(D214,'🔄 Rotação Duplas'!$C$106:$C$115,0)),INDEX('🔄 Rotação Duplas'!$C$106:$C$115,MATCH(D214,'🔄 Rotação Duplas'!$D$106:$D$115,0)))),""))</f>
        <v/>
      </c>
      <c r="T214">
        <f t="shared" si="18"/>
        <v>0</v>
      </c>
    </row>
    <row r="215" spans="2:20" ht="18" customHeight="1" x14ac:dyDescent="0.2">
      <c r="B215" s="78" t="s">
        <v>73</v>
      </c>
      <c r="C215" s="79" t="str">
        <f t="shared" si="19"/>
        <v>Desafio 11</v>
      </c>
      <c r="D215" s="80" t="str">
        <f>'⚙️ Configuração'!C38</f>
        <v>Denise Filipe</v>
      </c>
      <c r="E215" s="50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81">
        <f>(E215*'⚙️ Configuração'!$C$6+F215*'⚙️ Configuração'!$C$7+G215*'⚙️ Configuração'!$C$8+H215*'⚙️ Configuração'!$C$9+I215*'⚙️ Configuração'!$C$10+J215*'⚙️ Configuração'!$C$11)*IF(N215="S",2,1)</f>
        <v>0</v>
      </c>
      <c r="L215" s="90" t="s">
        <v>167</v>
      </c>
      <c r="M215" s="82">
        <f>IF(L215="AT1",'⚙️ Configuração'!$C$14,IF(L215="AT2",'⚙️ Configuração'!$C$15,IF(L215="FI",'⚙️ Configuração'!$C$16,IF(L215="FJ",'⚙️ Configuração'!$C$17,0))))</f>
        <v>0</v>
      </c>
      <c r="N215" s="91" t="s">
        <v>167</v>
      </c>
      <c r="O215" s="92"/>
      <c r="P215" s="83">
        <f>IF(O215="1",'⚙️ Configuração'!$C$21,IF(O215="2",'⚙️ Configuração'!$C$22,IF(O215="3",'⚙️ Configuração'!$C$23,IF(O215="Outro",'⚙️ Configuração'!$C$24,0))))</f>
        <v>0</v>
      </c>
      <c r="Q215" s="84">
        <f t="shared" si="17"/>
        <v>0</v>
      </c>
      <c r="R215" s="40" t="str">
        <f t="shared" si="1"/>
        <v>Semana 1 — ver 🔄</v>
      </c>
      <c r="S215" t="str" cm="1">
        <f t="array" ref="S215">IF(D215="","",IFERROR(_xlfn.SWITCH(B215,"Semana 1",IFERROR(INDEX('🔄 Rotação Duplas'!$D$8:$D$17,MATCH(D215,'🔄 Rotação Duplas'!$C$8:$C$17,0)),INDEX('🔄 Rotação Duplas'!$C$8:$C$17,MATCH(D215,'🔄 Rotação Duplas'!$D$8:$D$17,0))),"Semana 2",IFERROR(INDEX('🔄 Rotação Duplas'!$D$22:$D$31,MATCH(D215,'🔄 Rotação Duplas'!$C$22:$C$31,0)),INDEX('🔄 Rotação Duplas'!$C$22:$C$31,MATCH(D215,'🔄 Rotação Duplas'!$D$22:$D$31,0))),"Semana 3",IFERROR(INDEX('🔄 Rotação Duplas'!$D$36:$D$45,MATCH(D215,'🔄 Rotação Duplas'!$C$36:$C$45,0)),INDEX('🔄 Rotação Duplas'!$C$36:$C$45,MATCH(D215,'🔄 Rotação Duplas'!$D$36:$D$45,0))),"Semana 4",IFERROR(INDEX('🔄 Rotação Duplas'!$D$50:$D$59,MATCH(D215,'🔄 Rotação Duplas'!$C$50:$C$59,0)),INDEX('🔄 Rotação Duplas'!$C$50:$C$59,MATCH(D215,'🔄 Rotação Duplas'!$D$50:$D$59,0))),"Semana 5",IFERROR(INDEX('🔄 Rotação Duplas'!$D$64:$D$73,MATCH(D215,'🔄 Rotação Duplas'!$C$64:$C$73,0)),INDEX('🔄 Rotação Duplas'!$C$64:$C$73,MATCH(D215,'🔄 Rotação Duplas'!$D$64:$D$73,0))),"Semana 6",IFERROR(INDEX('🔄 Rotação Duplas'!$D$78:$D$87,MATCH(D215,'🔄 Rotação Duplas'!$C$78:$C$87,0)),INDEX('🔄 Rotação Duplas'!$C$78:$C$87,MATCH(D215,'🔄 Rotação Duplas'!$D$78:$D$87,0))),"Semana 7",IFERROR(INDEX('🔄 Rotação Duplas'!$D$92:$D$101,MATCH(D215,'🔄 Rotação Duplas'!$C$92:$C$101,0)),INDEX('🔄 Rotação Duplas'!$C$92:$C$101,MATCH(D215,'🔄 Rotação Duplas'!$D$92:$D$101,0))),"Semana 8",IFERROR(INDEX('🔄 Rotação Duplas'!$D$106:$D$115,MATCH(D215,'🔄 Rotação Duplas'!$C$106:$C$115,0)),INDEX('🔄 Rotação Duplas'!$C$106:$C$115,MATCH(D215,'🔄 Rotação Duplas'!$D$106:$D$115,0)))),""))</f>
        <v/>
      </c>
      <c r="T215">
        <f t="shared" si="18"/>
        <v>0</v>
      </c>
    </row>
    <row r="216" spans="2:20" ht="18" customHeight="1" x14ac:dyDescent="0.2">
      <c r="B216" s="85" t="s">
        <v>73</v>
      </c>
      <c r="C216" s="86" t="str">
        <f t="shared" si="19"/>
        <v>Desafio 11</v>
      </c>
      <c r="D216" s="87" t="str">
        <f>'⚙️ Configuração'!C39</f>
        <v>Fátima Rodriguez</v>
      </c>
      <c r="E216" s="50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81">
        <f>(E216*'⚙️ Configuração'!$C$6+F216*'⚙️ Configuração'!$C$7+G216*'⚙️ Configuração'!$C$8+H216*'⚙️ Configuração'!$C$9+I216*'⚙️ Configuração'!$C$10+J216*'⚙️ Configuração'!$C$11)*IF(N216="S",2,1)</f>
        <v>0</v>
      </c>
      <c r="L216" s="90" t="s">
        <v>167</v>
      </c>
      <c r="M216" s="82">
        <f>IF(L216="AT1",'⚙️ Configuração'!$C$14,IF(L216="AT2",'⚙️ Configuração'!$C$15,IF(L216="FI",'⚙️ Configuração'!$C$16,IF(L216="FJ",'⚙️ Configuração'!$C$17,0))))</f>
        <v>0</v>
      </c>
      <c r="N216" s="91" t="s">
        <v>167</v>
      </c>
      <c r="O216" s="92"/>
      <c r="P216" s="83">
        <f>IF(O216="1",'⚙️ Configuração'!$C$21,IF(O216="2",'⚙️ Configuração'!$C$22,IF(O216="3",'⚙️ Configuração'!$C$23,IF(O216="Outro",'⚙️ Configuração'!$C$24,0))))</f>
        <v>0</v>
      </c>
      <c r="Q216" s="84">
        <f t="shared" si="17"/>
        <v>0</v>
      </c>
      <c r="R216" s="40" t="str">
        <f t="shared" si="1"/>
        <v>Semana 1 — ver 🔄</v>
      </c>
      <c r="S216" t="str" cm="1">
        <f t="array" ref="S216">IF(D216="","",IFERROR(_xlfn.SWITCH(B216,"Semana 1",IFERROR(INDEX('🔄 Rotação Duplas'!$D$8:$D$17,MATCH(D216,'🔄 Rotação Duplas'!$C$8:$C$17,0)),INDEX('🔄 Rotação Duplas'!$C$8:$C$17,MATCH(D216,'🔄 Rotação Duplas'!$D$8:$D$17,0))),"Semana 2",IFERROR(INDEX('🔄 Rotação Duplas'!$D$22:$D$31,MATCH(D216,'🔄 Rotação Duplas'!$C$22:$C$31,0)),INDEX('🔄 Rotação Duplas'!$C$22:$C$31,MATCH(D216,'🔄 Rotação Duplas'!$D$22:$D$31,0))),"Semana 3",IFERROR(INDEX('🔄 Rotação Duplas'!$D$36:$D$45,MATCH(D216,'🔄 Rotação Duplas'!$C$36:$C$45,0)),INDEX('🔄 Rotação Duplas'!$C$36:$C$45,MATCH(D216,'🔄 Rotação Duplas'!$D$36:$D$45,0))),"Semana 4",IFERROR(INDEX('🔄 Rotação Duplas'!$D$50:$D$59,MATCH(D216,'🔄 Rotação Duplas'!$C$50:$C$59,0)),INDEX('🔄 Rotação Duplas'!$C$50:$C$59,MATCH(D216,'🔄 Rotação Duplas'!$D$50:$D$59,0))),"Semana 5",IFERROR(INDEX('🔄 Rotação Duplas'!$D$64:$D$73,MATCH(D216,'🔄 Rotação Duplas'!$C$64:$C$73,0)),INDEX('🔄 Rotação Duplas'!$C$64:$C$73,MATCH(D216,'🔄 Rotação Duplas'!$D$64:$D$73,0))),"Semana 6",IFERROR(INDEX('🔄 Rotação Duplas'!$D$78:$D$87,MATCH(D216,'🔄 Rotação Duplas'!$C$78:$C$87,0)),INDEX('🔄 Rotação Duplas'!$C$78:$C$87,MATCH(D216,'🔄 Rotação Duplas'!$D$78:$D$87,0))),"Semana 7",IFERROR(INDEX('🔄 Rotação Duplas'!$D$92:$D$101,MATCH(D216,'🔄 Rotação Duplas'!$C$92:$C$101,0)),INDEX('🔄 Rotação Duplas'!$C$92:$C$101,MATCH(D216,'🔄 Rotação Duplas'!$D$92:$D$101,0))),"Semana 8",IFERROR(INDEX('🔄 Rotação Duplas'!$D$106:$D$115,MATCH(D216,'🔄 Rotação Duplas'!$C$106:$C$115,0)),INDEX('🔄 Rotação Duplas'!$C$106:$C$115,MATCH(D216,'🔄 Rotação Duplas'!$D$106:$D$115,0)))),""))</f>
        <v/>
      </c>
      <c r="T216">
        <f t="shared" si="18"/>
        <v>0</v>
      </c>
    </row>
    <row r="217" spans="2:20" ht="18" customHeight="1" x14ac:dyDescent="0.2">
      <c r="B217" s="78" t="s">
        <v>73</v>
      </c>
      <c r="C217" s="79" t="str">
        <f t="shared" si="19"/>
        <v>Desafio 11</v>
      </c>
      <c r="D217" s="80" t="str">
        <f>'⚙️ Configuração'!C40</f>
        <v>Maria João Travassos</v>
      </c>
      <c r="E217" s="50">
        <v>0</v>
      </c>
      <c r="F217" s="50">
        <v>0</v>
      </c>
      <c r="G217" s="50">
        <v>0</v>
      </c>
      <c r="H217" s="50">
        <v>0</v>
      </c>
      <c r="I217" s="50">
        <v>0</v>
      </c>
      <c r="J217" s="50">
        <v>0</v>
      </c>
      <c r="K217" s="81">
        <f>(E217*'⚙️ Configuração'!$C$6+F217*'⚙️ Configuração'!$C$7+G217*'⚙️ Configuração'!$C$8+H217*'⚙️ Configuração'!$C$9+I217*'⚙️ Configuração'!$C$10+J217*'⚙️ Configuração'!$C$11)*IF(N217="S",2,1)</f>
        <v>0</v>
      </c>
      <c r="L217" s="90" t="s">
        <v>167</v>
      </c>
      <c r="M217" s="82">
        <f>IF(L217="AT1",'⚙️ Configuração'!$C$14,IF(L217="AT2",'⚙️ Configuração'!$C$15,IF(L217="FI",'⚙️ Configuração'!$C$16,IF(L217="FJ",'⚙️ Configuração'!$C$17,0))))</f>
        <v>0</v>
      </c>
      <c r="N217" s="91" t="s">
        <v>167</v>
      </c>
      <c r="O217" s="92"/>
      <c r="P217" s="83">
        <f>IF(O217="1",'⚙️ Configuração'!$C$21,IF(O217="2",'⚙️ Configuração'!$C$22,IF(O217="3",'⚙️ Configuração'!$C$23,IF(O217="Outro",'⚙️ Configuração'!$C$24,0))))</f>
        <v>0</v>
      </c>
      <c r="Q217" s="84">
        <f t="shared" si="17"/>
        <v>0</v>
      </c>
      <c r="R217" s="40" t="str">
        <f t="shared" si="1"/>
        <v>Semana 1 — ver 🔄</v>
      </c>
      <c r="S217" t="str" cm="1">
        <f t="array" ref="S217">IF(D217="","",IFERROR(_xlfn.SWITCH(B217,"Semana 1",IFERROR(INDEX('🔄 Rotação Duplas'!$D$8:$D$17,MATCH(D217,'🔄 Rotação Duplas'!$C$8:$C$17,0)),INDEX('🔄 Rotação Duplas'!$C$8:$C$17,MATCH(D217,'🔄 Rotação Duplas'!$D$8:$D$17,0))),"Semana 2",IFERROR(INDEX('🔄 Rotação Duplas'!$D$22:$D$31,MATCH(D217,'🔄 Rotação Duplas'!$C$22:$C$31,0)),INDEX('🔄 Rotação Duplas'!$C$22:$C$31,MATCH(D217,'🔄 Rotação Duplas'!$D$22:$D$31,0))),"Semana 3",IFERROR(INDEX('🔄 Rotação Duplas'!$D$36:$D$45,MATCH(D217,'🔄 Rotação Duplas'!$C$36:$C$45,0)),INDEX('🔄 Rotação Duplas'!$C$36:$C$45,MATCH(D217,'🔄 Rotação Duplas'!$D$36:$D$45,0))),"Semana 4",IFERROR(INDEX('🔄 Rotação Duplas'!$D$50:$D$59,MATCH(D217,'🔄 Rotação Duplas'!$C$50:$C$59,0)),INDEX('🔄 Rotação Duplas'!$C$50:$C$59,MATCH(D217,'🔄 Rotação Duplas'!$D$50:$D$59,0))),"Semana 5",IFERROR(INDEX('🔄 Rotação Duplas'!$D$64:$D$73,MATCH(D217,'🔄 Rotação Duplas'!$C$64:$C$73,0)),INDEX('🔄 Rotação Duplas'!$C$64:$C$73,MATCH(D217,'🔄 Rotação Duplas'!$D$64:$D$73,0))),"Semana 6",IFERROR(INDEX('🔄 Rotação Duplas'!$D$78:$D$87,MATCH(D217,'🔄 Rotação Duplas'!$C$78:$C$87,0)),INDEX('🔄 Rotação Duplas'!$C$78:$C$87,MATCH(D217,'🔄 Rotação Duplas'!$D$78:$D$87,0))),"Semana 7",IFERROR(INDEX('🔄 Rotação Duplas'!$D$92:$D$101,MATCH(D217,'🔄 Rotação Duplas'!$C$92:$C$101,0)),INDEX('🔄 Rotação Duplas'!$C$92:$C$101,MATCH(D217,'🔄 Rotação Duplas'!$D$92:$D$101,0))),"Semana 8",IFERROR(INDEX('🔄 Rotação Duplas'!$D$106:$D$115,MATCH(D217,'🔄 Rotação Duplas'!$C$106:$C$115,0)),INDEX('🔄 Rotação Duplas'!$C$106:$C$115,MATCH(D217,'🔄 Rotação Duplas'!$D$106:$D$115,0)))),""))</f>
        <v/>
      </c>
      <c r="T217">
        <f t="shared" si="18"/>
        <v>0</v>
      </c>
    </row>
    <row r="218" spans="2:20" ht="18" customHeight="1" x14ac:dyDescent="0.2">
      <c r="B218" s="85" t="s">
        <v>73</v>
      </c>
      <c r="C218" s="86" t="str">
        <f t="shared" si="19"/>
        <v>Desafio 11</v>
      </c>
      <c r="D218" s="87" t="str">
        <f>'⚙️ Configuração'!C41</f>
        <v>Marta Torres</v>
      </c>
      <c r="E218" s="50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81">
        <f>(E218*'⚙️ Configuração'!$C$6+F218*'⚙️ Configuração'!$C$7+G218*'⚙️ Configuração'!$C$8+H218*'⚙️ Configuração'!$C$9+I218*'⚙️ Configuração'!$C$10+J218*'⚙️ Configuração'!$C$11)*IF(N218="S",2,1)</f>
        <v>0</v>
      </c>
      <c r="L218" s="90" t="s">
        <v>167</v>
      </c>
      <c r="M218" s="82">
        <f>IF(L218="AT1",'⚙️ Configuração'!$C$14,IF(L218="AT2",'⚙️ Configuração'!$C$15,IF(L218="FI",'⚙️ Configuração'!$C$16,IF(L218="FJ",'⚙️ Configuração'!$C$17,0))))</f>
        <v>0</v>
      </c>
      <c r="N218" s="91" t="s">
        <v>167</v>
      </c>
      <c r="O218" s="92"/>
      <c r="P218" s="83">
        <f>IF(O218="1",'⚙️ Configuração'!$C$21,IF(O218="2",'⚙️ Configuração'!$C$22,IF(O218="3",'⚙️ Configuração'!$C$23,IF(O218="Outro",'⚙️ Configuração'!$C$24,0))))</f>
        <v>0</v>
      </c>
      <c r="Q218" s="84">
        <f t="shared" si="17"/>
        <v>0</v>
      </c>
      <c r="R218" s="40" t="str">
        <f t="shared" si="1"/>
        <v>Semana 1 — ver 🔄</v>
      </c>
      <c r="S218" t="str" cm="1">
        <f t="array" ref="S218">IF(D218="","",IFERROR(_xlfn.SWITCH(B218,"Semana 1",IFERROR(INDEX('🔄 Rotação Duplas'!$D$8:$D$17,MATCH(D218,'🔄 Rotação Duplas'!$C$8:$C$17,0)),INDEX('🔄 Rotação Duplas'!$C$8:$C$17,MATCH(D218,'🔄 Rotação Duplas'!$D$8:$D$17,0))),"Semana 2",IFERROR(INDEX('🔄 Rotação Duplas'!$D$22:$D$31,MATCH(D218,'🔄 Rotação Duplas'!$C$22:$C$31,0)),INDEX('🔄 Rotação Duplas'!$C$22:$C$31,MATCH(D218,'🔄 Rotação Duplas'!$D$22:$D$31,0))),"Semana 3",IFERROR(INDEX('🔄 Rotação Duplas'!$D$36:$D$45,MATCH(D218,'🔄 Rotação Duplas'!$C$36:$C$45,0)),INDEX('🔄 Rotação Duplas'!$C$36:$C$45,MATCH(D218,'🔄 Rotação Duplas'!$D$36:$D$45,0))),"Semana 4",IFERROR(INDEX('🔄 Rotação Duplas'!$D$50:$D$59,MATCH(D218,'🔄 Rotação Duplas'!$C$50:$C$59,0)),INDEX('🔄 Rotação Duplas'!$C$50:$C$59,MATCH(D218,'🔄 Rotação Duplas'!$D$50:$D$59,0))),"Semana 5",IFERROR(INDEX('🔄 Rotação Duplas'!$D$64:$D$73,MATCH(D218,'🔄 Rotação Duplas'!$C$64:$C$73,0)),INDEX('🔄 Rotação Duplas'!$C$64:$C$73,MATCH(D218,'🔄 Rotação Duplas'!$D$64:$D$73,0))),"Semana 6",IFERROR(INDEX('🔄 Rotação Duplas'!$D$78:$D$87,MATCH(D218,'🔄 Rotação Duplas'!$C$78:$C$87,0)),INDEX('🔄 Rotação Duplas'!$C$78:$C$87,MATCH(D218,'🔄 Rotação Duplas'!$D$78:$D$87,0))),"Semana 7",IFERROR(INDEX('🔄 Rotação Duplas'!$D$92:$D$101,MATCH(D218,'🔄 Rotação Duplas'!$C$92:$C$101,0)),INDEX('🔄 Rotação Duplas'!$C$92:$C$101,MATCH(D218,'🔄 Rotação Duplas'!$D$92:$D$101,0))),"Semana 8",IFERROR(INDEX('🔄 Rotação Duplas'!$D$106:$D$115,MATCH(D218,'🔄 Rotação Duplas'!$C$106:$C$115,0)),INDEX('🔄 Rotação Duplas'!$C$106:$C$115,MATCH(D218,'🔄 Rotação Duplas'!$D$106:$D$115,0)))),""))</f>
        <v/>
      </c>
      <c r="T218">
        <f t="shared" si="18"/>
        <v>0</v>
      </c>
    </row>
    <row r="219" spans="2:20" ht="18" customHeight="1" x14ac:dyDescent="0.2">
      <c r="B219" s="78" t="s">
        <v>73</v>
      </c>
      <c r="C219" s="79" t="str">
        <f t="shared" si="19"/>
        <v>Desafio 11</v>
      </c>
      <c r="D219" s="80" t="str">
        <f>'⚙️ Configuração'!C42</f>
        <v>Patricia Isabel Silva</v>
      </c>
      <c r="E219" s="50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81">
        <f>(E219*'⚙️ Configuração'!$C$6+F219*'⚙️ Configuração'!$C$7+G219*'⚙️ Configuração'!$C$8+H219*'⚙️ Configuração'!$C$9+I219*'⚙️ Configuração'!$C$10+J219*'⚙️ Configuração'!$C$11)*IF(N219="S",2,1)</f>
        <v>0</v>
      </c>
      <c r="L219" s="90" t="s">
        <v>167</v>
      </c>
      <c r="M219" s="82">
        <f>IF(L219="AT1",'⚙️ Configuração'!$C$14,IF(L219="AT2",'⚙️ Configuração'!$C$15,IF(L219="FI",'⚙️ Configuração'!$C$16,IF(L219="FJ",'⚙️ Configuração'!$C$17,0))))</f>
        <v>0</v>
      </c>
      <c r="N219" s="91" t="s">
        <v>167</v>
      </c>
      <c r="O219" s="92"/>
      <c r="P219" s="83">
        <f>IF(O219="1",'⚙️ Configuração'!$C$21,IF(O219="2",'⚙️ Configuração'!$C$22,IF(O219="3",'⚙️ Configuração'!$C$23,IF(O219="Outro",'⚙️ Configuração'!$C$24,0))))</f>
        <v>0</v>
      </c>
      <c r="Q219" s="84">
        <f t="shared" si="17"/>
        <v>0</v>
      </c>
      <c r="R219" s="40" t="str">
        <f t="shared" si="1"/>
        <v>Semana 1 — ver 🔄</v>
      </c>
      <c r="S219" t="str" cm="1">
        <f t="array" ref="S219">IF(D219="","",IFERROR(_xlfn.SWITCH(B219,"Semana 1",IFERROR(INDEX('🔄 Rotação Duplas'!$D$8:$D$17,MATCH(D219,'🔄 Rotação Duplas'!$C$8:$C$17,0)),INDEX('🔄 Rotação Duplas'!$C$8:$C$17,MATCH(D219,'🔄 Rotação Duplas'!$D$8:$D$17,0))),"Semana 2",IFERROR(INDEX('🔄 Rotação Duplas'!$D$22:$D$31,MATCH(D219,'🔄 Rotação Duplas'!$C$22:$C$31,0)),INDEX('🔄 Rotação Duplas'!$C$22:$C$31,MATCH(D219,'🔄 Rotação Duplas'!$D$22:$D$31,0))),"Semana 3",IFERROR(INDEX('🔄 Rotação Duplas'!$D$36:$D$45,MATCH(D219,'🔄 Rotação Duplas'!$C$36:$C$45,0)),INDEX('🔄 Rotação Duplas'!$C$36:$C$45,MATCH(D219,'🔄 Rotação Duplas'!$D$36:$D$45,0))),"Semana 4",IFERROR(INDEX('🔄 Rotação Duplas'!$D$50:$D$59,MATCH(D219,'🔄 Rotação Duplas'!$C$50:$C$59,0)),INDEX('🔄 Rotação Duplas'!$C$50:$C$59,MATCH(D219,'🔄 Rotação Duplas'!$D$50:$D$59,0))),"Semana 5",IFERROR(INDEX('🔄 Rotação Duplas'!$D$64:$D$73,MATCH(D219,'🔄 Rotação Duplas'!$C$64:$C$73,0)),INDEX('🔄 Rotação Duplas'!$C$64:$C$73,MATCH(D219,'🔄 Rotação Duplas'!$D$64:$D$73,0))),"Semana 6",IFERROR(INDEX('🔄 Rotação Duplas'!$D$78:$D$87,MATCH(D219,'🔄 Rotação Duplas'!$C$78:$C$87,0)),INDEX('🔄 Rotação Duplas'!$C$78:$C$87,MATCH(D219,'🔄 Rotação Duplas'!$D$78:$D$87,0))),"Semana 7",IFERROR(INDEX('🔄 Rotação Duplas'!$D$92:$D$101,MATCH(D219,'🔄 Rotação Duplas'!$C$92:$C$101,0)),INDEX('🔄 Rotação Duplas'!$C$92:$C$101,MATCH(D219,'🔄 Rotação Duplas'!$D$92:$D$101,0))),"Semana 8",IFERROR(INDEX('🔄 Rotação Duplas'!$D$106:$D$115,MATCH(D219,'🔄 Rotação Duplas'!$C$106:$C$115,0)),INDEX('🔄 Rotação Duplas'!$C$106:$C$115,MATCH(D219,'🔄 Rotação Duplas'!$D$106:$D$115,0)))),""))</f>
        <v/>
      </c>
      <c r="T219">
        <f t="shared" si="18"/>
        <v>0</v>
      </c>
    </row>
    <row r="220" spans="2:20" ht="18" customHeight="1" x14ac:dyDescent="0.2">
      <c r="B220" s="85" t="s">
        <v>73</v>
      </c>
      <c r="C220" s="86" t="str">
        <f t="shared" si="19"/>
        <v>Desafio 11</v>
      </c>
      <c r="D220" s="87" t="str">
        <f>'⚙️ Configuração'!C43</f>
        <v>Paula Martins</v>
      </c>
      <c r="E220" s="50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81">
        <f>(E220*'⚙️ Configuração'!$C$6+F220*'⚙️ Configuração'!$C$7+G220*'⚙️ Configuração'!$C$8+H220*'⚙️ Configuração'!$C$9+I220*'⚙️ Configuração'!$C$10+J220*'⚙️ Configuração'!$C$11)*IF(N220="S",2,1)</f>
        <v>0</v>
      </c>
      <c r="L220" s="90" t="s">
        <v>167</v>
      </c>
      <c r="M220" s="82">
        <f>IF(L220="AT1",'⚙️ Configuração'!$C$14,IF(L220="AT2",'⚙️ Configuração'!$C$15,IF(L220="FI",'⚙️ Configuração'!$C$16,IF(L220="FJ",'⚙️ Configuração'!$C$17,0))))</f>
        <v>0</v>
      </c>
      <c r="N220" s="91" t="s">
        <v>167</v>
      </c>
      <c r="O220" s="92"/>
      <c r="P220" s="83">
        <f>IF(O220="1",'⚙️ Configuração'!$C$21,IF(O220="2",'⚙️ Configuração'!$C$22,IF(O220="3",'⚙️ Configuração'!$C$23,IF(O220="Outro",'⚙️ Configuração'!$C$24,0))))</f>
        <v>0</v>
      </c>
      <c r="Q220" s="84">
        <f t="shared" si="17"/>
        <v>0</v>
      </c>
      <c r="R220" s="40" t="str">
        <f t="shared" si="1"/>
        <v>Semana 1 — ver 🔄</v>
      </c>
      <c r="S220" t="str" cm="1">
        <f t="array" ref="S220">IF(D220="","",IFERROR(_xlfn.SWITCH(B220,"Semana 1",IFERROR(INDEX('🔄 Rotação Duplas'!$D$8:$D$17,MATCH(D220,'🔄 Rotação Duplas'!$C$8:$C$17,0)),INDEX('🔄 Rotação Duplas'!$C$8:$C$17,MATCH(D220,'🔄 Rotação Duplas'!$D$8:$D$17,0))),"Semana 2",IFERROR(INDEX('🔄 Rotação Duplas'!$D$22:$D$31,MATCH(D220,'🔄 Rotação Duplas'!$C$22:$C$31,0)),INDEX('🔄 Rotação Duplas'!$C$22:$C$31,MATCH(D220,'🔄 Rotação Duplas'!$D$22:$D$31,0))),"Semana 3",IFERROR(INDEX('🔄 Rotação Duplas'!$D$36:$D$45,MATCH(D220,'🔄 Rotação Duplas'!$C$36:$C$45,0)),INDEX('🔄 Rotação Duplas'!$C$36:$C$45,MATCH(D220,'🔄 Rotação Duplas'!$D$36:$D$45,0))),"Semana 4",IFERROR(INDEX('🔄 Rotação Duplas'!$D$50:$D$59,MATCH(D220,'🔄 Rotação Duplas'!$C$50:$C$59,0)),INDEX('🔄 Rotação Duplas'!$C$50:$C$59,MATCH(D220,'🔄 Rotação Duplas'!$D$50:$D$59,0))),"Semana 5",IFERROR(INDEX('🔄 Rotação Duplas'!$D$64:$D$73,MATCH(D220,'🔄 Rotação Duplas'!$C$64:$C$73,0)),INDEX('🔄 Rotação Duplas'!$C$64:$C$73,MATCH(D220,'🔄 Rotação Duplas'!$D$64:$D$73,0))),"Semana 6",IFERROR(INDEX('🔄 Rotação Duplas'!$D$78:$D$87,MATCH(D220,'🔄 Rotação Duplas'!$C$78:$C$87,0)),INDEX('🔄 Rotação Duplas'!$C$78:$C$87,MATCH(D220,'🔄 Rotação Duplas'!$D$78:$D$87,0))),"Semana 7",IFERROR(INDEX('🔄 Rotação Duplas'!$D$92:$D$101,MATCH(D220,'🔄 Rotação Duplas'!$C$92:$C$101,0)),INDEX('🔄 Rotação Duplas'!$C$92:$C$101,MATCH(D220,'🔄 Rotação Duplas'!$D$92:$D$101,0))),"Semana 8",IFERROR(INDEX('🔄 Rotação Duplas'!$D$106:$D$115,MATCH(D220,'🔄 Rotação Duplas'!$C$106:$C$115,0)),INDEX('🔄 Rotação Duplas'!$C$106:$C$115,MATCH(D220,'🔄 Rotação Duplas'!$D$106:$D$115,0)))),""))</f>
        <v/>
      </c>
      <c r="T220">
        <f t="shared" si="18"/>
        <v>0</v>
      </c>
    </row>
    <row r="221" spans="2:20" ht="18" customHeight="1" x14ac:dyDescent="0.2">
      <c r="B221" s="78" t="s">
        <v>73</v>
      </c>
      <c r="C221" s="79" t="str">
        <f t="shared" si="19"/>
        <v>Desafio 11</v>
      </c>
      <c r="D221" s="80" t="str">
        <f>'⚙️ Configuração'!C44</f>
        <v>Paula Miabara</v>
      </c>
      <c r="E221" s="50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81">
        <f>(E221*'⚙️ Configuração'!$C$6+F221*'⚙️ Configuração'!$C$7+G221*'⚙️ Configuração'!$C$8+H221*'⚙️ Configuração'!$C$9+I221*'⚙️ Configuração'!$C$10+J221*'⚙️ Configuração'!$C$11)*IF(N221="S",2,1)</f>
        <v>0</v>
      </c>
      <c r="L221" s="90" t="s">
        <v>167</v>
      </c>
      <c r="M221" s="82">
        <f>IF(L221="AT1",'⚙️ Configuração'!$C$14,IF(L221="AT2",'⚙️ Configuração'!$C$15,IF(L221="FI",'⚙️ Configuração'!$C$16,IF(L221="FJ",'⚙️ Configuração'!$C$17,0))))</f>
        <v>0</v>
      </c>
      <c r="N221" s="91" t="s">
        <v>167</v>
      </c>
      <c r="O221" s="92"/>
      <c r="P221" s="83">
        <f>IF(O221="1",'⚙️ Configuração'!$C$21,IF(O221="2",'⚙️ Configuração'!$C$22,IF(O221="3",'⚙️ Configuração'!$C$23,IF(O221="Outro",'⚙️ Configuração'!$C$24,0))))</f>
        <v>0</v>
      </c>
      <c r="Q221" s="84">
        <f t="shared" si="17"/>
        <v>0</v>
      </c>
      <c r="R221" s="40" t="str">
        <f t="shared" si="1"/>
        <v>Semana 1 — ver 🔄</v>
      </c>
      <c r="S221" t="str" cm="1">
        <f t="array" ref="S221">IF(D221="","",IFERROR(_xlfn.SWITCH(B221,"Semana 1",IFERROR(INDEX('🔄 Rotação Duplas'!$D$8:$D$17,MATCH(D221,'🔄 Rotação Duplas'!$C$8:$C$17,0)),INDEX('🔄 Rotação Duplas'!$C$8:$C$17,MATCH(D221,'🔄 Rotação Duplas'!$D$8:$D$17,0))),"Semana 2",IFERROR(INDEX('🔄 Rotação Duplas'!$D$22:$D$31,MATCH(D221,'🔄 Rotação Duplas'!$C$22:$C$31,0)),INDEX('🔄 Rotação Duplas'!$C$22:$C$31,MATCH(D221,'🔄 Rotação Duplas'!$D$22:$D$31,0))),"Semana 3",IFERROR(INDEX('🔄 Rotação Duplas'!$D$36:$D$45,MATCH(D221,'🔄 Rotação Duplas'!$C$36:$C$45,0)),INDEX('🔄 Rotação Duplas'!$C$36:$C$45,MATCH(D221,'🔄 Rotação Duplas'!$D$36:$D$45,0))),"Semana 4",IFERROR(INDEX('🔄 Rotação Duplas'!$D$50:$D$59,MATCH(D221,'🔄 Rotação Duplas'!$C$50:$C$59,0)),INDEX('🔄 Rotação Duplas'!$C$50:$C$59,MATCH(D221,'🔄 Rotação Duplas'!$D$50:$D$59,0))),"Semana 5",IFERROR(INDEX('🔄 Rotação Duplas'!$D$64:$D$73,MATCH(D221,'🔄 Rotação Duplas'!$C$64:$C$73,0)),INDEX('🔄 Rotação Duplas'!$C$64:$C$73,MATCH(D221,'🔄 Rotação Duplas'!$D$64:$D$73,0))),"Semana 6",IFERROR(INDEX('🔄 Rotação Duplas'!$D$78:$D$87,MATCH(D221,'🔄 Rotação Duplas'!$C$78:$C$87,0)),INDEX('🔄 Rotação Duplas'!$C$78:$C$87,MATCH(D221,'🔄 Rotação Duplas'!$D$78:$D$87,0))),"Semana 7",IFERROR(INDEX('🔄 Rotação Duplas'!$D$92:$D$101,MATCH(D221,'🔄 Rotação Duplas'!$C$92:$C$101,0)),INDEX('🔄 Rotação Duplas'!$C$92:$C$101,MATCH(D221,'🔄 Rotação Duplas'!$D$92:$D$101,0))),"Semana 8",IFERROR(INDEX('🔄 Rotação Duplas'!$D$106:$D$115,MATCH(D221,'🔄 Rotação Duplas'!$C$106:$C$115,0)),INDEX('🔄 Rotação Duplas'!$C$106:$C$115,MATCH(D221,'🔄 Rotação Duplas'!$D$106:$D$115,0)))),""))</f>
        <v/>
      </c>
      <c r="T221">
        <f t="shared" si="18"/>
        <v>0</v>
      </c>
    </row>
    <row r="222" spans="2:20" ht="18" customHeight="1" x14ac:dyDescent="0.2">
      <c r="B222" s="85" t="s">
        <v>73</v>
      </c>
      <c r="C222" s="86" t="str">
        <f t="shared" si="19"/>
        <v>Desafio 11</v>
      </c>
      <c r="D222" s="87" t="str">
        <f>'⚙️ Configuração'!C45</f>
        <v>Rita Carmo</v>
      </c>
      <c r="E222" s="50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81">
        <f>(E222*'⚙️ Configuração'!$C$6+F222*'⚙️ Configuração'!$C$7+G222*'⚙️ Configuração'!$C$8+H222*'⚙️ Configuração'!$C$9+I222*'⚙️ Configuração'!$C$10+J222*'⚙️ Configuração'!$C$11)*IF(N222="S",2,1)</f>
        <v>0</v>
      </c>
      <c r="L222" s="90" t="s">
        <v>167</v>
      </c>
      <c r="M222" s="82">
        <f>IF(L222="AT1",'⚙️ Configuração'!$C$14,IF(L222="AT2",'⚙️ Configuração'!$C$15,IF(L222="FI",'⚙️ Configuração'!$C$16,IF(L222="FJ",'⚙️ Configuração'!$C$17,0))))</f>
        <v>0</v>
      </c>
      <c r="N222" s="91" t="s">
        <v>167</v>
      </c>
      <c r="O222" s="92"/>
      <c r="P222" s="83">
        <f>IF(O222="1",'⚙️ Configuração'!$C$21,IF(O222="2",'⚙️ Configuração'!$C$22,IF(O222="3",'⚙️ Configuração'!$C$23,IF(O222="Outro",'⚙️ Configuração'!$C$24,0))))</f>
        <v>0</v>
      </c>
      <c r="Q222" s="84">
        <f t="shared" si="17"/>
        <v>0</v>
      </c>
      <c r="R222" s="40" t="str">
        <f t="shared" si="1"/>
        <v>Semana 1 — ver 🔄</v>
      </c>
      <c r="S222" t="str" cm="1">
        <f t="array" ref="S222">IF(D222="","",IFERROR(_xlfn.SWITCH(B222,"Semana 1",IFERROR(INDEX('🔄 Rotação Duplas'!$D$8:$D$17,MATCH(D222,'🔄 Rotação Duplas'!$C$8:$C$17,0)),INDEX('🔄 Rotação Duplas'!$C$8:$C$17,MATCH(D222,'🔄 Rotação Duplas'!$D$8:$D$17,0))),"Semana 2",IFERROR(INDEX('🔄 Rotação Duplas'!$D$22:$D$31,MATCH(D222,'🔄 Rotação Duplas'!$C$22:$C$31,0)),INDEX('🔄 Rotação Duplas'!$C$22:$C$31,MATCH(D222,'🔄 Rotação Duplas'!$D$22:$D$31,0))),"Semana 3",IFERROR(INDEX('🔄 Rotação Duplas'!$D$36:$D$45,MATCH(D222,'🔄 Rotação Duplas'!$C$36:$C$45,0)),INDEX('🔄 Rotação Duplas'!$C$36:$C$45,MATCH(D222,'🔄 Rotação Duplas'!$D$36:$D$45,0))),"Semana 4",IFERROR(INDEX('🔄 Rotação Duplas'!$D$50:$D$59,MATCH(D222,'🔄 Rotação Duplas'!$C$50:$C$59,0)),INDEX('🔄 Rotação Duplas'!$C$50:$C$59,MATCH(D222,'🔄 Rotação Duplas'!$D$50:$D$59,0))),"Semana 5",IFERROR(INDEX('🔄 Rotação Duplas'!$D$64:$D$73,MATCH(D222,'🔄 Rotação Duplas'!$C$64:$C$73,0)),INDEX('🔄 Rotação Duplas'!$C$64:$C$73,MATCH(D222,'🔄 Rotação Duplas'!$D$64:$D$73,0))),"Semana 6",IFERROR(INDEX('🔄 Rotação Duplas'!$D$78:$D$87,MATCH(D222,'🔄 Rotação Duplas'!$C$78:$C$87,0)),INDEX('🔄 Rotação Duplas'!$C$78:$C$87,MATCH(D222,'🔄 Rotação Duplas'!$D$78:$D$87,0))),"Semana 7",IFERROR(INDEX('🔄 Rotação Duplas'!$D$92:$D$101,MATCH(D222,'🔄 Rotação Duplas'!$C$92:$C$101,0)),INDEX('🔄 Rotação Duplas'!$C$92:$C$101,MATCH(D222,'🔄 Rotação Duplas'!$D$92:$D$101,0))),"Semana 8",IFERROR(INDEX('🔄 Rotação Duplas'!$D$106:$D$115,MATCH(D222,'🔄 Rotação Duplas'!$C$106:$C$115,0)),INDEX('🔄 Rotação Duplas'!$C$106:$C$115,MATCH(D222,'🔄 Rotação Duplas'!$D$106:$D$115,0)))),""))</f>
        <v/>
      </c>
      <c r="T222">
        <f t="shared" si="18"/>
        <v>0</v>
      </c>
    </row>
    <row r="223" spans="2:20" ht="18" customHeight="1" x14ac:dyDescent="0.2">
      <c r="B223" s="78" t="s">
        <v>73</v>
      </c>
      <c r="C223" s="79" t="str">
        <f t="shared" si="19"/>
        <v>Desafio 11</v>
      </c>
      <c r="D223" s="80" t="str">
        <f>'⚙️ Configuração'!C46</f>
        <v>William Fernandes</v>
      </c>
      <c r="E223" s="50">
        <v>0</v>
      </c>
      <c r="F223" s="50">
        <v>0</v>
      </c>
      <c r="G223" s="50">
        <v>0</v>
      </c>
      <c r="H223" s="50">
        <v>0</v>
      </c>
      <c r="I223" s="50">
        <v>0</v>
      </c>
      <c r="J223" s="50">
        <v>0</v>
      </c>
      <c r="K223" s="81">
        <f>(E223*'⚙️ Configuração'!$C$6+F223*'⚙️ Configuração'!$C$7+G223*'⚙️ Configuração'!$C$8+H223*'⚙️ Configuração'!$C$9+I223*'⚙️ Configuração'!$C$10+J223*'⚙️ Configuração'!$C$11)*IF(N223="S",2,1)</f>
        <v>0</v>
      </c>
      <c r="L223" s="90" t="s">
        <v>167</v>
      </c>
      <c r="M223" s="82">
        <f>IF(L223="AT1",'⚙️ Configuração'!$C$14,IF(L223="AT2",'⚙️ Configuração'!$C$15,IF(L223="FI",'⚙️ Configuração'!$C$16,IF(L223="FJ",'⚙️ Configuração'!$C$17,0))))</f>
        <v>0</v>
      </c>
      <c r="N223" s="91" t="s">
        <v>167</v>
      </c>
      <c r="O223" s="92"/>
      <c r="P223" s="83">
        <f>IF(O223="1",'⚙️ Configuração'!$C$21,IF(O223="2",'⚙️ Configuração'!$C$22,IF(O223="3",'⚙️ Configuração'!$C$23,IF(O223="Outro",'⚙️ Configuração'!$C$24,0))))</f>
        <v>0</v>
      </c>
      <c r="Q223" s="84">
        <f t="shared" si="17"/>
        <v>0</v>
      </c>
      <c r="R223" s="40" t="str">
        <f t="shared" si="1"/>
        <v>Semana 1 — ver 🔄</v>
      </c>
      <c r="S223" t="str" cm="1">
        <f t="array" ref="S223">IF(D223="","",IFERROR(_xlfn.SWITCH(B223,"Semana 1",IFERROR(INDEX('🔄 Rotação Duplas'!$D$8:$D$17,MATCH(D223,'🔄 Rotação Duplas'!$C$8:$C$17,0)),INDEX('🔄 Rotação Duplas'!$C$8:$C$17,MATCH(D223,'🔄 Rotação Duplas'!$D$8:$D$17,0))),"Semana 2",IFERROR(INDEX('🔄 Rotação Duplas'!$D$22:$D$31,MATCH(D223,'🔄 Rotação Duplas'!$C$22:$C$31,0)),INDEX('🔄 Rotação Duplas'!$C$22:$C$31,MATCH(D223,'🔄 Rotação Duplas'!$D$22:$D$31,0))),"Semana 3",IFERROR(INDEX('🔄 Rotação Duplas'!$D$36:$D$45,MATCH(D223,'🔄 Rotação Duplas'!$C$36:$C$45,0)),INDEX('🔄 Rotação Duplas'!$C$36:$C$45,MATCH(D223,'🔄 Rotação Duplas'!$D$36:$D$45,0))),"Semana 4",IFERROR(INDEX('🔄 Rotação Duplas'!$D$50:$D$59,MATCH(D223,'🔄 Rotação Duplas'!$C$50:$C$59,0)),INDEX('🔄 Rotação Duplas'!$C$50:$C$59,MATCH(D223,'🔄 Rotação Duplas'!$D$50:$D$59,0))),"Semana 5",IFERROR(INDEX('🔄 Rotação Duplas'!$D$64:$D$73,MATCH(D223,'🔄 Rotação Duplas'!$C$64:$C$73,0)),INDEX('🔄 Rotação Duplas'!$C$64:$C$73,MATCH(D223,'🔄 Rotação Duplas'!$D$64:$D$73,0))),"Semana 6",IFERROR(INDEX('🔄 Rotação Duplas'!$D$78:$D$87,MATCH(D223,'🔄 Rotação Duplas'!$C$78:$C$87,0)),INDEX('🔄 Rotação Duplas'!$C$78:$C$87,MATCH(D223,'🔄 Rotação Duplas'!$D$78:$D$87,0))),"Semana 7",IFERROR(INDEX('🔄 Rotação Duplas'!$D$92:$D$101,MATCH(D223,'🔄 Rotação Duplas'!$C$92:$C$101,0)),INDEX('🔄 Rotação Duplas'!$C$92:$C$101,MATCH(D223,'🔄 Rotação Duplas'!$D$92:$D$101,0))),"Semana 8",IFERROR(INDEX('🔄 Rotação Duplas'!$D$106:$D$115,MATCH(D223,'🔄 Rotação Duplas'!$C$106:$C$115,0)),INDEX('🔄 Rotação Duplas'!$C$106:$C$115,MATCH(D223,'🔄 Rotação Duplas'!$D$106:$D$115,0)))),""))</f>
        <v/>
      </c>
      <c r="T223">
        <f t="shared" si="18"/>
        <v>0</v>
      </c>
    </row>
    <row r="224" spans="2:20" ht="18" customHeight="1" x14ac:dyDescent="0.2">
      <c r="B224" s="85" t="s">
        <v>73</v>
      </c>
      <c r="C224" s="86" t="str">
        <f t="shared" si="19"/>
        <v>Desafio 11</v>
      </c>
      <c r="D224" s="87" t="str">
        <f>'⚙️ Configuração'!C47</f>
        <v>-</v>
      </c>
      <c r="E224" s="50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81">
        <f>(E224*'⚙️ Configuração'!$C$6+F224*'⚙️ Configuração'!$C$7+G224*'⚙️ Configuração'!$C$8+H224*'⚙️ Configuração'!$C$9+I224*'⚙️ Configuração'!$C$10+J224*'⚙️ Configuração'!$C$11)*IF(N224="S",2,1)</f>
        <v>0</v>
      </c>
      <c r="L224" s="90" t="s">
        <v>167</v>
      </c>
      <c r="M224" s="82">
        <f>IF(L224="AT1",'⚙️ Configuração'!$C$14,IF(L224="AT2",'⚙️ Configuração'!$C$15,IF(L224="FI",'⚙️ Configuração'!$C$16,IF(L224="FJ",'⚙️ Configuração'!$C$17,0))))</f>
        <v>0</v>
      </c>
      <c r="N224" s="91" t="s">
        <v>167</v>
      </c>
      <c r="O224" s="92"/>
      <c r="P224" s="83">
        <f>IF(O224="1",'⚙️ Configuração'!$C$21,IF(O224="2",'⚙️ Configuração'!$C$22,IF(O224="3",'⚙️ Configuração'!$C$23,IF(O224="Outro",'⚙️ Configuração'!$C$24,0))))</f>
        <v>0</v>
      </c>
      <c r="Q224" s="84">
        <f t="shared" si="17"/>
        <v>0</v>
      </c>
      <c r="R224" s="40" t="str">
        <f t="shared" si="1"/>
        <v>Semana 1 — ver 🔄</v>
      </c>
      <c r="S224" t="str" cm="1">
        <f t="array" ref="S224">IF(D224="","",IFERROR(_xlfn.SWITCH(B224,"Semana 1",IFERROR(INDEX('🔄 Rotação Duplas'!$D$8:$D$17,MATCH(D224,'🔄 Rotação Duplas'!$C$8:$C$17,0)),INDEX('🔄 Rotação Duplas'!$C$8:$C$17,MATCH(D224,'🔄 Rotação Duplas'!$D$8:$D$17,0))),"Semana 2",IFERROR(INDEX('🔄 Rotação Duplas'!$D$22:$D$31,MATCH(D224,'🔄 Rotação Duplas'!$C$22:$C$31,0)),INDEX('🔄 Rotação Duplas'!$C$22:$C$31,MATCH(D224,'🔄 Rotação Duplas'!$D$22:$D$31,0))),"Semana 3",IFERROR(INDEX('🔄 Rotação Duplas'!$D$36:$D$45,MATCH(D224,'🔄 Rotação Duplas'!$C$36:$C$45,0)),INDEX('🔄 Rotação Duplas'!$C$36:$C$45,MATCH(D224,'🔄 Rotação Duplas'!$D$36:$D$45,0))),"Semana 4",IFERROR(INDEX('🔄 Rotação Duplas'!$D$50:$D$59,MATCH(D224,'🔄 Rotação Duplas'!$C$50:$C$59,0)),INDEX('🔄 Rotação Duplas'!$C$50:$C$59,MATCH(D224,'🔄 Rotação Duplas'!$D$50:$D$59,0))),"Semana 5",IFERROR(INDEX('🔄 Rotação Duplas'!$D$64:$D$73,MATCH(D224,'🔄 Rotação Duplas'!$C$64:$C$73,0)),INDEX('🔄 Rotação Duplas'!$C$64:$C$73,MATCH(D224,'🔄 Rotação Duplas'!$D$64:$D$73,0))),"Semana 6",IFERROR(INDEX('🔄 Rotação Duplas'!$D$78:$D$87,MATCH(D224,'🔄 Rotação Duplas'!$C$78:$C$87,0)),INDEX('🔄 Rotação Duplas'!$C$78:$C$87,MATCH(D224,'🔄 Rotação Duplas'!$D$78:$D$87,0))),"Semana 7",IFERROR(INDEX('🔄 Rotação Duplas'!$D$92:$D$101,MATCH(D224,'🔄 Rotação Duplas'!$C$92:$C$101,0)),INDEX('🔄 Rotação Duplas'!$C$92:$C$101,MATCH(D224,'🔄 Rotação Duplas'!$D$92:$D$101,0))),"Semana 8",IFERROR(INDEX('🔄 Rotação Duplas'!$D$106:$D$115,MATCH(D224,'🔄 Rotação Duplas'!$C$106:$C$115,0)),INDEX('🔄 Rotação Duplas'!$C$106:$C$115,MATCH(D224,'🔄 Rotação Duplas'!$D$106:$D$115,0)))),""))</f>
        <v/>
      </c>
      <c r="T224">
        <f t="shared" si="18"/>
        <v>0</v>
      </c>
    </row>
    <row r="225" spans="2:20" ht="18" customHeight="1" x14ac:dyDescent="0.2">
      <c r="B225" s="78" t="s">
        <v>73</v>
      </c>
      <c r="C225" s="79" t="str">
        <f t="shared" si="19"/>
        <v>Desafio 11</v>
      </c>
      <c r="D225" s="80" t="str">
        <f>'⚙️ Configuração'!C48</f>
        <v>-</v>
      </c>
      <c r="E225" s="50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81">
        <f>(E225*'⚙️ Configuração'!$C$6+F225*'⚙️ Configuração'!$C$7+G225*'⚙️ Configuração'!$C$8+H225*'⚙️ Configuração'!$C$9+I225*'⚙️ Configuração'!$C$10+J225*'⚙️ Configuração'!$C$11)*IF(N225="S",2,1)</f>
        <v>0</v>
      </c>
      <c r="L225" s="90" t="s">
        <v>167</v>
      </c>
      <c r="M225" s="82">
        <f>IF(L225="AT1",'⚙️ Configuração'!$C$14,IF(L225="AT2",'⚙️ Configuração'!$C$15,IF(L225="FI",'⚙️ Configuração'!$C$16,IF(L225="FJ",'⚙️ Configuração'!$C$17,0))))</f>
        <v>0</v>
      </c>
      <c r="N225" s="91" t="s">
        <v>167</v>
      </c>
      <c r="O225" s="92"/>
      <c r="P225" s="83">
        <f>IF(O225="1",'⚙️ Configuração'!$C$21,IF(O225="2",'⚙️ Configuração'!$C$22,IF(O225="3",'⚙️ Configuração'!$C$23,IF(O225="Outro",'⚙️ Configuração'!$C$24,0))))</f>
        <v>0</v>
      </c>
      <c r="Q225" s="84">
        <f t="shared" si="17"/>
        <v>0</v>
      </c>
      <c r="R225" s="40" t="str">
        <f t="shared" si="1"/>
        <v>Semana 1 — ver 🔄</v>
      </c>
      <c r="S225" t="str" cm="1">
        <f t="array" ref="S225">IF(D225="","",IFERROR(_xlfn.SWITCH(B225,"Semana 1",IFERROR(INDEX('🔄 Rotação Duplas'!$D$8:$D$17,MATCH(D225,'🔄 Rotação Duplas'!$C$8:$C$17,0)),INDEX('🔄 Rotação Duplas'!$C$8:$C$17,MATCH(D225,'🔄 Rotação Duplas'!$D$8:$D$17,0))),"Semana 2",IFERROR(INDEX('🔄 Rotação Duplas'!$D$22:$D$31,MATCH(D225,'🔄 Rotação Duplas'!$C$22:$C$31,0)),INDEX('🔄 Rotação Duplas'!$C$22:$C$31,MATCH(D225,'🔄 Rotação Duplas'!$D$22:$D$31,0))),"Semana 3",IFERROR(INDEX('🔄 Rotação Duplas'!$D$36:$D$45,MATCH(D225,'🔄 Rotação Duplas'!$C$36:$C$45,0)),INDEX('🔄 Rotação Duplas'!$C$36:$C$45,MATCH(D225,'🔄 Rotação Duplas'!$D$36:$D$45,0))),"Semana 4",IFERROR(INDEX('🔄 Rotação Duplas'!$D$50:$D$59,MATCH(D225,'🔄 Rotação Duplas'!$C$50:$C$59,0)),INDEX('🔄 Rotação Duplas'!$C$50:$C$59,MATCH(D225,'🔄 Rotação Duplas'!$D$50:$D$59,0))),"Semana 5",IFERROR(INDEX('🔄 Rotação Duplas'!$D$64:$D$73,MATCH(D225,'🔄 Rotação Duplas'!$C$64:$C$73,0)),INDEX('🔄 Rotação Duplas'!$C$64:$C$73,MATCH(D225,'🔄 Rotação Duplas'!$D$64:$D$73,0))),"Semana 6",IFERROR(INDEX('🔄 Rotação Duplas'!$D$78:$D$87,MATCH(D225,'🔄 Rotação Duplas'!$C$78:$C$87,0)),INDEX('🔄 Rotação Duplas'!$C$78:$C$87,MATCH(D225,'🔄 Rotação Duplas'!$D$78:$D$87,0))),"Semana 7",IFERROR(INDEX('🔄 Rotação Duplas'!$D$92:$D$101,MATCH(D225,'🔄 Rotação Duplas'!$C$92:$C$101,0)),INDEX('🔄 Rotação Duplas'!$C$92:$C$101,MATCH(D225,'🔄 Rotação Duplas'!$D$92:$D$101,0))),"Semana 8",IFERROR(INDEX('🔄 Rotação Duplas'!$D$106:$D$115,MATCH(D225,'🔄 Rotação Duplas'!$C$106:$C$115,0)),INDEX('🔄 Rotação Duplas'!$C$106:$C$115,MATCH(D225,'🔄 Rotação Duplas'!$D$106:$D$115,0)))),""))</f>
        <v/>
      </c>
      <c r="T225">
        <f t="shared" si="18"/>
        <v>0</v>
      </c>
    </row>
    <row r="226" spans="2:20" ht="18" customHeight="1" x14ac:dyDescent="0.2">
      <c r="B226" s="85" t="s">
        <v>73</v>
      </c>
      <c r="C226" s="86" t="str">
        <f t="shared" si="19"/>
        <v>Desafio 11</v>
      </c>
      <c r="D226" s="87" t="str">
        <f>'⚙️ Configuração'!C49</f>
        <v>-</v>
      </c>
      <c r="E226" s="50">
        <v>0</v>
      </c>
      <c r="F226" s="50">
        <v>0</v>
      </c>
      <c r="G226" s="50">
        <v>0</v>
      </c>
      <c r="H226" s="50">
        <v>0</v>
      </c>
      <c r="I226" s="50">
        <v>0</v>
      </c>
      <c r="J226" s="50">
        <v>0</v>
      </c>
      <c r="K226" s="81">
        <f>(E226*'⚙️ Configuração'!$C$6+F226*'⚙️ Configuração'!$C$7+G226*'⚙️ Configuração'!$C$8+H226*'⚙️ Configuração'!$C$9+I226*'⚙️ Configuração'!$C$10+J226*'⚙️ Configuração'!$C$11)*IF(N226="S",2,1)</f>
        <v>0</v>
      </c>
      <c r="L226" s="90" t="s">
        <v>167</v>
      </c>
      <c r="M226" s="82">
        <f>IF(L226="AT1",'⚙️ Configuração'!$C$14,IF(L226="AT2",'⚙️ Configuração'!$C$15,IF(L226="FI",'⚙️ Configuração'!$C$16,IF(L226="FJ",'⚙️ Configuração'!$C$17,0))))</f>
        <v>0</v>
      </c>
      <c r="N226" s="91" t="s">
        <v>167</v>
      </c>
      <c r="O226" s="92"/>
      <c r="P226" s="83">
        <f>IF(O226="1",'⚙️ Configuração'!$C$21,IF(O226="2",'⚙️ Configuração'!$C$22,IF(O226="3",'⚙️ Configuração'!$C$23,IF(O226="Outro",'⚙️ Configuração'!$C$24,0))))</f>
        <v>0</v>
      </c>
      <c r="Q226" s="84">
        <f t="shared" si="17"/>
        <v>0</v>
      </c>
      <c r="R226" s="40" t="str">
        <f t="shared" si="1"/>
        <v>Semana 1 — ver 🔄</v>
      </c>
      <c r="S226" t="str" cm="1">
        <f t="array" ref="S226">IF(D226="","",IFERROR(_xlfn.SWITCH(B226,"Semana 1",IFERROR(INDEX('🔄 Rotação Duplas'!$D$8:$D$17,MATCH(D226,'🔄 Rotação Duplas'!$C$8:$C$17,0)),INDEX('🔄 Rotação Duplas'!$C$8:$C$17,MATCH(D226,'🔄 Rotação Duplas'!$D$8:$D$17,0))),"Semana 2",IFERROR(INDEX('🔄 Rotação Duplas'!$D$22:$D$31,MATCH(D226,'🔄 Rotação Duplas'!$C$22:$C$31,0)),INDEX('🔄 Rotação Duplas'!$C$22:$C$31,MATCH(D226,'🔄 Rotação Duplas'!$D$22:$D$31,0))),"Semana 3",IFERROR(INDEX('🔄 Rotação Duplas'!$D$36:$D$45,MATCH(D226,'🔄 Rotação Duplas'!$C$36:$C$45,0)),INDEX('🔄 Rotação Duplas'!$C$36:$C$45,MATCH(D226,'🔄 Rotação Duplas'!$D$36:$D$45,0))),"Semana 4",IFERROR(INDEX('🔄 Rotação Duplas'!$D$50:$D$59,MATCH(D226,'🔄 Rotação Duplas'!$C$50:$C$59,0)),INDEX('🔄 Rotação Duplas'!$C$50:$C$59,MATCH(D226,'🔄 Rotação Duplas'!$D$50:$D$59,0))),"Semana 5",IFERROR(INDEX('🔄 Rotação Duplas'!$D$64:$D$73,MATCH(D226,'🔄 Rotação Duplas'!$C$64:$C$73,0)),INDEX('🔄 Rotação Duplas'!$C$64:$C$73,MATCH(D226,'🔄 Rotação Duplas'!$D$64:$D$73,0))),"Semana 6",IFERROR(INDEX('🔄 Rotação Duplas'!$D$78:$D$87,MATCH(D226,'🔄 Rotação Duplas'!$C$78:$C$87,0)),INDEX('🔄 Rotação Duplas'!$C$78:$C$87,MATCH(D226,'🔄 Rotação Duplas'!$D$78:$D$87,0))),"Semana 7",IFERROR(INDEX('🔄 Rotação Duplas'!$D$92:$D$101,MATCH(D226,'🔄 Rotação Duplas'!$C$92:$C$101,0)),INDEX('🔄 Rotação Duplas'!$C$92:$C$101,MATCH(D226,'🔄 Rotação Duplas'!$D$92:$D$101,0))),"Semana 8",IFERROR(INDEX('🔄 Rotação Duplas'!$D$106:$D$115,MATCH(D226,'🔄 Rotação Duplas'!$C$106:$C$115,0)),INDEX('🔄 Rotação Duplas'!$C$106:$C$115,MATCH(D226,'🔄 Rotação Duplas'!$D$106:$D$115,0)))),""))</f>
        <v/>
      </c>
      <c r="T226">
        <f t="shared" si="18"/>
        <v>0</v>
      </c>
    </row>
    <row r="227" spans="2:20" ht="18" customHeight="1" x14ac:dyDescent="0.2">
      <c r="B227" s="78" t="s">
        <v>73</v>
      </c>
      <c r="C227" s="79" t="str">
        <f t="shared" ref="C227:C246" si="20">"Desafio 12"</f>
        <v>Desafio 12</v>
      </c>
      <c r="D227" s="80" t="str">
        <f>'⚙️ Configuração'!C30</f>
        <v>Carla Cantante</v>
      </c>
      <c r="E227" s="50">
        <v>0</v>
      </c>
      <c r="F227" s="50">
        <v>0</v>
      </c>
      <c r="G227" s="50">
        <v>0</v>
      </c>
      <c r="H227" s="50">
        <v>0</v>
      </c>
      <c r="I227" s="50">
        <v>0</v>
      </c>
      <c r="J227" s="50">
        <v>0</v>
      </c>
      <c r="K227" s="81">
        <f>(E227*'⚙️ Configuração'!$C$6+F227*'⚙️ Configuração'!$C$7+G227*'⚙️ Configuração'!$C$8+H227*'⚙️ Configuração'!$C$9+I227*'⚙️ Configuração'!$C$10+J227*'⚙️ Configuração'!$C$11)*IF(N227="S",2,1)</f>
        <v>0</v>
      </c>
      <c r="L227" s="90" t="s">
        <v>167</v>
      </c>
      <c r="M227" s="82">
        <f>IF(L227="AT1",'⚙️ Configuração'!$C$14,IF(L227="AT2",'⚙️ Configuração'!$C$15,IF(L227="FI",'⚙️ Configuração'!$C$16,IF(L227="FJ",'⚙️ Configuração'!$C$17,0))))</f>
        <v>0</v>
      </c>
      <c r="N227" s="91" t="s">
        <v>167</v>
      </c>
      <c r="O227" s="92"/>
      <c r="P227" s="83">
        <f>IF(O227="1",'⚙️ Configuração'!$C$21,IF(O227="2",'⚙️ Configuração'!$C$22,IF(O227="3",'⚙️ Configuração'!$C$23,IF(O227="Outro",'⚙️ Configuração'!$C$24,0))))</f>
        <v>0</v>
      </c>
      <c r="Q227" s="84">
        <f t="shared" si="17"/>
        <v>0</v>
      </c>
      <c r="R227" s="40" t="str">
        <f t="shared" si="1"/>
        <v>Semana 1 — ver 🔄</v>
      </c>
      <c r="S227" t="str" cm="1">
        <f t="array" ref="S227">IF(D227="","",IFERROR(_xlfn.SWITCH(B227,"Semana 1",IFERROR(INDEX('🔄 Rotação Duplas'!$D$8:$D$17,MATCH(D227,'🔄 Rotação Duplas'!$C$8:$C$17,0)),INDEX('🔄 Rotação Duplas'!$C$8:$C$17,MATCH(D227,'🔄 Rotação Duplas'!$D$8:$D$17,0))),"Semana 2",IFERROR(INDEX('🔄 Rotação Duplas'!$D$22:$D$31,MATCH(D227,'🔄 Rotação Duplas'!$C$22:$C$31,0)),INDEX('🔄 Rotação Duplas'!$C$22:$C$31,MATCH(D227,'🔄 Rotação Duplas'!$D$22:$D$31,0))),"Semana 3",IFERROR(INDEX('🔄 Rotação Duplas'!$D$36:$D$45,MATCH(D227,'🔄 Rotação Duplas'!$C$36:$C$45,0)),INDEX('🔄 Rotação Duplas'!$C$36:$C$45,MATCH(D227,'🔄 Rotação Duplas'!$D$36:$D$45,0))),"Semana 4",IFERROR(INDEX('🔄 Rotação Duplas'!$D$50:$D$59,MATCH(D227,'🔄 Rotação Duplas'!$C$50:$C$59,0)),INDEX('🔄 Rotação Duplas'!$C$50:$C$59,MATCH(D227,'🔄 Rotação Duplas'!$D$50:$D$59,0))),"Semana 5",IFERROR(INDEX('🔄 Rotação Duplas'!$D$64:$D$73,MATCH(D227,'🔄 Rotação Duplas'!$C$64:$C$73,0)),INDEX('🔄 Rotação Duplas'!$C$64:$C$73,MATCH(D227,'🔄 Rotação Duplas'!$D$64:$D$73,0))),"Semana 6",IFERROR(INDEX('🔄 Rotação Duplas'!$D$78:$D$87,MATCH(D227,'🔄 Rotação Duplas'!$C$78:$C$87,0)),INDEX('🔄 Rotação Duplas'!$C$78:$C$87,MATCH(D227,'🔄 Rotação Duplas'!$D$78:$D$87,0))),"Semana 7",IFERROR(INDEX('🔄 Rotação Duplas'!$D$92:$D$101,MATCH(D227,'🔄 Rotação Duplas'!$C$92:$C$101,0)),INDEX('🔄 Rotação Duplas'!$C$92:$C$101,MATCH(D227,'🔄 Rotação Duplas'!$D$92:$D$101,0))),"Semana 8",IFERROR(INDEX('🔄 Rotação Duplas'!$D$106:$D$115,MATCH(D227,'🔄 Rotação Duplas'!$C$106:$C$115,0)),INDEX('🔄 Rotação Duplas'!$C$106:$C$115,MATCH(D227,'🔄 Rotação Duplas'!$D$106:$D$115,0)))),""))</f>
        <v/>
      </c>
      <c r="T227">
        <f t="shared" si="18"/>
        <v>0</v>
      </c>
    </row>
    <row r="228" spans="2:20" ht="18" customHeight="1" x14ac:dyDescent="0.2">
      <c r="B228" s="85" t="s">
        <v>73</v>
      </c>
      <c r="C228" s="86" t="str">
        <f t="shared" si="20"/>
        <v>Desafio 12</v>
      </c>
      <c r="D228" s="87" t="str">
        <f>'⚙️ Configuração'!C31</f>
        <v>Elisabete Mendes</v>
      </c>
      <c r="E228" s="50">
        <v>0</v>
      </c>
      <c r="F228" s="50">
        <v>0</v>
      </c>
      <c r="G228" s="50">
        <v>0</v>
      </c>
      <c r="H228" s="50">
        <v>0</v>
      </c>
      <c r="I228" s="50">
        <v>0</v>
      </c>
      <c r="J228" s="50">
        <v>0</v>
      </c>
      <c r="K228" s="81">
        <f>(E228*'⚙️ Configuração'!$C$6+F228*'⚙️ Configuração'!$C$7+G228*'⚙️ Configuração'!$C$8+H228*'⚙️ Configuração'!$C$9+I228*'⚙️ Configuração'!$C$10+J228*'⚙️ Configuração'!$C$11)*IF(N228="S",2,1)</f>
        <v>0</v>
      </c>
      <c r="L228" s="90" t="s">
        <v>167</v>
      </c>
      <c r="M228" s="82">
        <f>IF(L228="AT1",'⚙️ Configuração'!$C$14,IF(L228="AT2",'⚙️ Configuração'!$C$15,IF(L228="FI",'⚙️ Configuração'!$C$16,IF(L228="FJ",'⚙️ Configuração'!$C$17,0))))</f>
        <v>0</v>
      </c>
      <c r="N228" s="91" t="s">
        <v>167</v>
      </c>
      <c r="O228" s="92"/>
      <c r="P228" s="83">
        <f>IF(O228="1",'⚙️ Configuração'!$C$21,IF(O228="2",'⚙️ Configuração'!$C$22,IF(O228="3",'⚙️ Configuração'!$C$23,IF(O228="Outro",'⚙️ Configuração'!$C$24,0))))</f>
        <v>0</v>
      </c>
      <c r="Q228" s="84">
        <f t="shared" si="17"/>
        <v>0</v>
      </c>
      <c r="R228" s="40" t="str">
        <f t="shared" si="1"/>
        <v>Semana 1 — ver 🔄</v>
      </c>
      <c r="S228" t="str" cm="1">
        <f t="array" ref="S228">IF(D228="","",IFERROR(_xlfn.SWITCH(B228,"Semana 1",IFERROR(INDEX('🔄 Rotação Duplas'!$D$8:$D$17,MATCH(D228,'🔄 Rotação Duplas'!$C$8:$C$17,0)),INDEX('🔄 Rotação Duplas'!$C$8:$C$17,MATCH(D228,'🔄 Rotação Duplas'!$D$8:$D$17,0))),"Semana 2",IFERROR(INDEX('🔄 Rotação Duplas'!$D$22:$D$31,MATCH(D228,'🔄 Rotação Duplas'!$C$22:$C$31,0)),INDEX('🔄 Rotação Duplas'!$C$22:$C$31,MATCH(D228,'🔄 Rotação Duplas'!$D$22:$D$31,0))),"Semana 3",IFERROR(INDEX('🔄 Rotação Duplas'!$D$36:$D$45,MATCH(D228,'🔄 Rotação Duplas'!$C$36:$C$45,0)),INDEX('🔄 Rotação Duplas'!$C$36:$C$45,MATCH(D228,'🔄 Rotação Duplas'!$D$36:$D$45,0))),"Semana 4",IFERROR(INDEX('🔄 Rotação Duplas'!$D$50:$D$59,MATCH(D228,'🔄 Rotação Duplas'!$C$50:$C$59,0)),INDEX('🔄 Rotação Duplas'!$C$50:$C$59,MATCH(D228,'🔄 Rotação Duplas'!$D$50:$D$59,0))),"Semana 5",IFERROR(INDEX('🔄 Rotação Duplas'!$D$64:$D$73,MATCH(D228,'🔄 Rotação Duplas'!$C$64:$C$73,0)),INDEX('🔄 Rotação Duplas'!$C$64:$C$73,MATCH(D228,'🔄 Rotação Duplas'!$D$64:$D$73,0))),"Semana 6",IFERROR(INDEX('🔄 Rotação Duplas'!$D$78:$D$87,MATCH(D228,'🔄 Rotação Duplas'!$C$78:$C$87,0)),INDEX('🔄 Rotação Duplas'!$C$78:$C$87,MATCH(D228,'🔄 Rotação Duplas'!$D$78:$D$87,0))),"Semana 7",IFERROR(INDEX('🔄 Rotação Duplas'!$D$92:$D$101,MATCH(D228,'🔄 Rotação Duplas'!$C$92:$C$101,0)),INDEX('🔄 Rotação Duplas'!$C$92:$C$101,MATCH(D228,'🔄 Rotação Duplas'!$D$92:$D$101,0))),"Semana 8",IFERROR(INDEX('🔄 Rotação Duplas'!$D$106:$D$115,MATCH(D228,'🔄 Rotação Duplas'!$C$106:$C$115,0)),INDEX('🔄 Rotação Duplas'!$C$106:$C$115,MATCH(D228,'🔄 Rotação Duplas'!$D$106:$D$115,0)))),""))</f>
        <v/>
      </c>
      <c r="T228">
        <f t="shared" si="18"/>
        <v>0</v>
      </c>
    </row>
    <row r="229" spans="2:20" ht="18" customHeight="1" x14ac:dyDescent="0.2">
      <c r="B229" s="78" t="s">
        <v>73</v>
      </c>
      <c r="C229" s="79" t="str">
        <f t="shared" si="20"/>
        <v>Desafio 12</v>
      </c>
      <c r="D229" s="80" t="str">
        <f>'⚙️ Configuração'!C32</f>
        <v>Filipa Cunha</v>
      </c>
      <c r="E229" s="50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81">
        <f>(E229*'⚙️ Configuração'!$C$6+F229*'⚙️ Configuração'!$C$7+G229*'⚙️ Configuração'!$C$8+H229*'⚙️ Configuração'!$C$9+I229*'⚙️ Configuração'!$C$10+J229*'⚙️ Configuração'!$C$11)*IF(N229="S",2,1)</f>
        <v>0</v>
      </c>
      <c r="L229" s="90" t="s">
        <v>167</v>
      </c>
      <c r="M229" s="82">
        <f>IF(L229="AT1",'⚙️ Configuração'!$C$14,IF(L229="AT2",'⚙️ Configuração'!$C$15,IF(L229="FI",'⚙️ Configuração'!$C$16,IF(L229="FJ",'⚙️ Configuração'!$C$17,0))))</f>
        <v>0</v>
      </c>
      <c r="N229" s="91" t="s">
        <v>167</v>
      </c>
      <c r="O229" s="92"/>
      <c r="P229" s="83">
        <f>IF(O229="1",'⚙️ Configuração'!$C$21,IF(O229="2",'⚙️ Configuração'!$C$22,IF(O229="3",'⚙️ Configuração'!$C$23,IF(O229="Outro",'⚙️ Configuração'!$C$24,0))))</f>
        <v>0</v>
      </c>
      <c r="Q229" s="84">
        <f t="shared" si="17"/>
        <v>0</v>
      </c>
      <c r="R229" s="40" t="str">
        <f t="shared" si="1"/>
        <v>Semana 1 — ver 🔄</v>
      </c>
      <c r="S229" t="str" cm="1">
        <f t="array" ref="S229">IF(D229="","",IFERROR(_xlfn.SWITCH(B229,"Semana 1",IFERROR(INDEX('🔄 Rotação Duplas'!$D$8:$D$17,MATCH(D229,'🔄 Rotação Duplas'!$C$8:$C$17,0)),INDEX('🔄 Rotação Duplas'!$C$8:$C$17,MATCH(D229,'🔄 Rotação Duplas'!$D$8:$D$17,0))),"Semana 2",IFERROR(INDEX('🔄 Rotação Duplas'!$D$22:$D$31,MATCH(D229,'🔄 Rotação Duplas'!$C$22:$C$31,0)),INDEX('🔄 Rotação Duplas'!$C$22:$C$31,MATCH(D229,'🔄 Rotação Duplas'!$D$22:$D$31,0))),"Semana 3",IFERROR(INDEX('🔄 Rotação Duplas'!$D$36:$D$45,MATCH(D229,'🔄 Rotação Duplas'!$C$36:$C$45,0)),INDEX('🔄 Rotação Duplas'!$C$36:$C$45,MATCH(D229,'🔄 Rotação Duplas'!$D$36:$D$45,0))),"Semana 4",IFERROR(INDEX('🔄 Rotação Duplas'!$D$50:$D$59,MATCH(D229,'🔄 Rotação Duplas'!$C$50:$C$59,0)),INDEX('🔄 Rotação Duplas'!$C$50:$C$59,MATCH(D229,'🔄 Rotação Duplas'!$D$50:$D$59,0))),"Semana 5",IFERROR(INDEX('🔄 Rotação Duplas'!$D$64:$D$73,MATCH(D229,'🔄 Rotação Duplas'!$C$64:$C$73,0)),INDEX('🔄 Rotação Duplas'!$C$64:$C$73,MATCH(D229,'🔄 Rotação Duplas'!$D$64:$D$73,0))),"Semana 6",IFERROR(INDEX('🔄 Rotação Duplas'!$D$78:$D$87,MATCH(D229,'🔄 Rotação Duplas'!$C$78:$C$87,0)),INDEX('🔄 Rotação Duplas'!$C$78:$C$87,MATCH(D229,'🔄 Rotação Duplas'!$D$78:$D$87,0))),"Semana 7",IFERROR(INDEX('🔄 Rotação Duplas'!$D$92:$D$101,MATCH(D229,'🔄 Rotação Duplas'!$C$92:$C$101,0)),INDEX('🔄 Rotação Duplas'!$C$92:$C$101,MATCH(D229,'🔄 Rotação Duplas'!$D$92:$D$101,0))),"Semana 8",IFERROR(INDEX('🔄 Rotação Duplas'!$D$106:$D$115,MATCH(D229,'🔄 Rotação Duplas'!$C$106:$C$115,0)),INDEX('🔄 Rotação Duplas'!$C$106:$C$115,MATCH(D229,'🔄 Rotação Duplas'!$D$106:$D$115,0)))),""))</f>
        <v/>
      </c>
      <c r="T229">
        <f t="shared" si="18"/>
        <v>0</v>
      </c>
    </row>
    <row r="230" spans="2:20" ht="18" customHeight="1" x14ac:dyDescent="0.2">
      <c r="B230" s="85" t="s">
        <v>73</v>
      </c>
      <c r="C230" s="86" t="str">
        <f t="shared" si="20"/>
        <v>Desafio 12</v>
      </c>
      <c r="D230" s="87" t="str">
        <f>'⚙️ Configuração'!C33</f>
        <v>Helena Rocha</v>
      </c>
      <c r="E230" s="50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81">
        <f>(E230*'⚙️ Configuração'!$C$6+F230*'⚙️ Configuração'!$C$7+G230*'⚙️ Configuração'!$C$8+H230*'⚙️ Configuração'!$C$9+I230*'⚙️ Configuração'!$C$10+J230*'⚙️ Configuração'!$C$11)*IF(N230="S",2,1)</f>
        <v>0</v>
      </c>
      <c r="L230" s="90" t="s">
        <v>167</v>
      </c>
      <c r="M230" s="82">
        <f>IF(L230="AT1",'⚙️ Configuração'!$C$14,IF(L230="AT2",'⚙️ Configuração'!$C$15,IF(L230="FI",'⚙️ Configuração'!$C$16,IF(L230="FJ",'⚙️ Configuração'!$C$17,0))))</f>
        <v>0</v>
      </c>
      <c r="N230" s="91" t="s">
        <v>167</v>
      </c>
      <c r="O230" s="92"/>
      <c r="P230" s="83">
        <f>IF(O230="1",'⚙️ Configuração'!$C$21,IF(O230="2",'⚙️ Configuração'!$C$22,IF(O230="3",'⚙️ Configuração'!$C$23,IF(O230="Outro",'⚙️ Configuração'!$C$24,0))))</f>
        <v>0</v>
      </c>
      <c r="Q230" s="84">
        <f t="shared" si="17"/>
        <v>0</v>
      </c>
      <c r="R230" s="40" t="str">
        <f t="shared" si="1"/>
        <v>Semana 1 — ver 🔄</v>
      </c>
      <c r="S230" t="str" cm="1">
        <f t="array" ref="S230">IF(D230="","",IFERROR(_xlfn.SWITCH(B230,"Semana 1",IFERROR(INDEX('🔄 Rotação Duplas'!$D$8:$D$17,MATCH(D230,'🔄 Rotação Duplas'!$C$8:$C$17,0)),INDEX('🔄 Rotação Duplas'!$C$8:$C$17,MATCH(D230,'🔄 Rotação Duplas'!$D$8:$D$17,0))),"Semana 2",IFERROR(INDEX('🔄 Rotação Duplas'!$D$22:$D$31,MATCH(D230,'🔄 Rotação Duplas'!$C$22:$C$31,0)),INDEX('🔄 Rotação Duplas'!$C$22:$C$31,MATCH(D230,'🔄 Rotação Duplas'!$D$22:$D$31,0))),"Semana 3",IFERROR(INDEX('🔄 Rotação Duplas'!$D$36:$D$45,MATCH(D230,'🔄 Rotação Duplas'!$C$36:$C$45,0)),INDEX('🔄 Rotação Duplas'!$C$36:$C$45,MATCH(D230,'🔄 Rotação Duplas'!$D$36:$D$45,0))),"Semana 4",IFERROR(INDEX('🔄 Rotação Duplas'!$D$50:$D$59,MATCH(D230,'🔄 Rotação Duplas'!$C$50:$C$59,0)),INDEX('🔄 Rotação Duplas'!$C$50:$C$59,MATCH(D230,'🔄 Rotação Duplas'!$D$50:$D$59,0))),"Semana 5",IFERROR(INDEX('🔄 Rotação Duplas'!$D$64:$D$73,MATCH(D230,'🔄 Rotação Duplas'!$C$64:$C$73,0)),INDEX('🔄 Rotação Duplas'!$C$64:$C$73,MATCH(D230,'🔄 Rotação Duplas'!$D$64:$D$73,0))),"Semana 6",IFERROR(INDEX('🔄 Rotação Duplas'!$D$78:$D$87,MATCH(D230,'🔄 Rotação Duplas'!$C$78:$C$87,0)),INDEX('🔄 Rotação Duplas'!$C$78:$C$87,MATCH(D230,'🔄 Rotação Duplas'!$D$78:$D$87,0))),"Semana 7",IFERROR(INDEX('🔄 Rotação Duplas'!$D$92:$D$101,MATCH(D230,'🔄 Rotação Duplas'!$C$92:$C$101,0)),INDEX('🔄 Rotação Duplas'!$C$92:$C$101,MATCH(D230,'🔄 Rotação Duplas'!$D$92:$D$101,0))),"Semana 8",IFERROR(INDEX('🔄 Rotação Duplas'!$D$106:$D$115,MATCH(D230,'🔄 Rotação Duplas'!$C$106:$C$115,0)),INDEX('🔄 Rotação Duplas'!$C$106:$C$115,MATCH(D230,'🔄 Rotação Duplas'!$D$106:$D$115,0)))),""))</f>
        <v/>
      </c>
      <c r="T230">
        <f t="shared" si="18"/>
        <v>0</v>
      </c>
    </row>
    <row r="231" spans="2:20" ht="18" customHeight="1" x14ac:dyDescent="0.2">
      <c r="B231" s="78" t="s">
        <v>73</v>
      </c>
      <c r="C231" s="79" t="str">
        <f t="shared" si="20"/>
        <v>Desafio 12</v>
      </c>
      <c r="D231" s="80" t="str">
        <f>'⚙️ Configuração'!C34</f>
        <v>João Xavier</v>
      </c>
      <c r="E231" s="50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81">
        <f>(E231*'⚙️ Configuração'!$C$6+F231*'⚙️ Configuração'!$C$7+G231*'⚙️ Configuração'!$C$8+H231*'⚙️ Configuração'!$C$9+I231*'⚙️ Configuração'!$C$10+J231*'⚙️ Configuração'!$C$11)*IF(N231="S",2,1)</f>
        <v>0</v>
      </c>
      <c r="L231" s="90" t="s">
        <v>167</v>
      </c>
      <c r="M231" s="82">
        <f>IF(L231="AT1",'⚙️ Configuração'!$C$14,IF(L231="AT2",'⚙️ Configuração'!$C$15,IF(L231="FI",'⚙️ Configuração'!$C$16,IF(L231="FJ",'⚙️ Configuração'!$C$17,0))))</f>
        <v>0</v>
      </c>
      <c r="N231" s="91" t="s">
        <v>167</v>
      </c>
      <c r="O231" s="92"/>
      <c r="P231" s="83">
        <f>IF(O231="1",'⚙️ Configuração'!$C$21,IF(O231="2",'⚙️ Configuração'!$C$22,IF(O231="3",'⚙️ Configuração'!$C$23,IF(O231="Outro",'⚙️ Configuração'!$C$24,0))))</f>
        <v>0</v>
      </c>
      <c r="Q231" s="84">
        <f t="shared" si="17"/>
        <v>0</v>
      </c>
      <c r="R231" s="40" t="str">
        <f t="shared" si="1"/>
        <v>Semana 1 — ver 🔄</v>
      </c>
      <c r="S231" t="str" cm="1">
        <f t="array" ref="S231">IF(D231="","",IFERROR(_xlfn.SWITCH(B231,"Semana 1",IFERROR(INDEX('🔄 Rotação Duplas'!$D$8:$D$17,MATCH(D231,'🔄 Rotação Duplas'!$C$8:$C$17,0)),INDEX('🔄 Rotação Duplas'!$C$8:$C$17,MATCH(D231,'🔄 Rotação Duplas'!$D$8:$D$17,0))),"Semana 2",IFERROR(INDEX('🔄 Rotação Duplas'!$D$22:$D$31,MATCH(D231,'🔄 Rotação Duplas'!$C$22:$C$31,0)),INDEX('🔄 Rotação Duplas'!$C$22:$C$31,MATCH(D231,'🔄 Rotação Duplas'!$D$22:$D$31,0))),"Semana 3",IFERROR(INDEX('🔄 Rotação Duplas'!$D$36:$D$45,MATCH(D231,'🔄 Rotação Duplas'!$C$36:$C$45,0)),INDEX('🔄 Rotação Duplas'!$C$36:$C$45,MATCH(D231,'🔄 Rotação Duplas'!$D$36:$D$45,0))),"Semana 4",IFERROR(INDEX('🔄 Rotação Duplas'!$D$50:$D$59,MATCH(D231,'🔄 Rotação Duplas'!$C$50:$C$59,0)),INDEX('🔄 Rotação Duplas'!$C$50:$C$59,MATCH(D231,'🔄 Rotação Duplas'!$D$50:$D$59,0))),"Semana 5",IFERROR(INDEX('🔄 Rotação Duplas'!$D$64:$D$73,MATCH(D231,'🔄 Rotação Duplas'!$C$64:$C$73,0)),INDEX('🔄 Rotação Duplas'!$C$64:$C$73,MATCH(D231,'🔄 Rotação Duplas'!$D$64:$D$73,0))),"Semana 6",IFERROR(INDEX('🔄 Rotação Duplas'!$D$78:$D$87,MATCH(D231,'🔄 Rotação Duplas'!$C$78:$C$87,0)),INDEX('🔄 Rotação Duplas'!$C$78:$C$87,MATCH(D231,'🔄 Rotação Duplas'!$D$78:$D$87,0))),"Semana 7",IFERROR(INDEX('🔄 Rotação Duplas'!$D$92:$D$101,MATCH(D231,'🔄 Rotação Duplas'!$C$92:$C$101,0)),INDEX('🔄 Rotação Duplas'!$C$92:$C$101,MATCH(D231,'🔄 Rotação Duplas'!$D$92:$D$101,0))),"Semana 8",IFERROR(INDEX('🔄 Rotação Duplas'!$D$106:$D$115,MATCH(D231,'🔄 Rotação Duplas'!$C$106:$C$115,0)),INDEX('🔄 Rotação Duplas'!$C$106:$C$115,MATCH(D231,'🔄 Rotação Duplas'!$D$106:$D$115,0)))),""))</f>
        <v/>
      </c>
      <c r="T231">
        <f t="shared" si="18"/>
        <v>0</v>
      </c>
    </row>
    <row r="232" spans="2:20" ht="18" customHeight="1" x14ac:dyDescent="0.2">
      <c r="B232" s="85" t="s">
        <v>73</v>
      </c>
      <c r="C232" s="86" t="str">
        <f t="shared" si="20"/>
        <v>Desafio 12</v>
      </c>
      <c r="D232" s="87" t="str">
        <f>'⚙️ Configuração'!C35</f>
        <v>Tomás Carlos</v>
      </c>
      <c r="E232" s="50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81">
        <f>(E232*'⚙️ Configuração'!$C$6+F232*'⚙️ Configuração'!$C$7+G232*'⚙️ Configuração'!$C$8+H232*'⚙️ Configuração'!$C$9+I232*'⚙️ Configuração'!$C$10+J232*'⚙️ Configuração'!$C$11)*IF(N232="S",2,1)</f>
        <v>0</v>
      </c>
      <c r="L232" s="90" t="s">
        <v>167</v>
      </c>
      <c r="M232" s="82">
        <f>IF(L232="AT1",'⚙️ Configuração'!$C$14,IF(L232="AT2",'⚙️ Configuração'!$C$15,IF(L232="FI",'⚙️ Configuração'!$C$16,IF(L232="FJ",'⚙️ Configuração'!$C$17,0))))</f>
        <v>0</v>
      </c>
      <c r="N232" s="91" t="s">
        <v>167</v>
      </c>
      <c r="O232" s="92"/>
      <c r="P232" s="83">
        <f>IF(O232="1",'⚙️ Configuração'!$C$21,IF(O232="2",'⚙️ Configuração'!$C$22,IF(O232="3",'⚙️ Configuração'!$C$23,IF(O232="Outro",'⚙️ Configuração'!$C$24,0))))</f>
        <v>0</v>
      </c>
      <c r="Q232" s="84">
        <f t="shared" si="17"/>
        <v>0</v>
      </c>
      <c r="R232" s="40" t="str">
        <f t="shared" si="1"/>
        <v>Semana 1 — ver 🔄</v>
      </c>
      <c r="S232" t="str" cm="1">
        <f t="array" ref="S232">IF(D232="","",IFERROR(_xlfn.SWITCH(B232,"Semana 1",IFERROR(INDEX('🔄 Rotação Duplas'!$D$8:$D$17,MATCH(D232,'🔄 Rotação Duplas'!$C$8:$C$17,0)),INDEX('🔄 Rotação Duplas'!$C$8:$C$17,MATCH(D232,'🔄 Rotação Duplas'!$D$8:$D$17,0))),"Semana 2",IFERROR(INDEX('🔄 Rotação Duplas'!$D$22:$D$31,MATCH(D232,'🔄 Rotação Duplas'!$C$22:$C$31,0)),INDEX('🔄 Rotação Duplas'!$C$22:$C$31,MATCH(D232,'🔄 Rotação Duplas'!$D$22:$D$31,0))),"Semana 3",IFERROR(INDEX('🔄 Rotação Duplas'!$D$36:$D$45,MATCH(D232,'🔄 Rotação Duplas'!$C$36:$C$45,0)),INDEX('🔄 Rotação Duplas'!$C$36:$C$45,MATCH(D232,'🔄 Rotação Duplas'!$D$36:$D$45,0))),"Semana 4",IFERROR(INDEX('🔄 Rotação Duplas'!$D$50:$D$59,MATCH(D232,'🔄 Rotação Duplas'!$C$50:$C$59,0)),INDEX('🔄 Rotação Duplas'!$C$50:$C$59,MATCH(D232,'🔄 Rotação Duplas'!$D$50:$D$59,0))),"Semana 5",IFERROR(INDEX('🔄 Rotação Duplas'!$D$64:$D$73,MATCH(D232,'🔄 Rotação Duplas'!$C$64:$C$73,0)),INDEX('🔄 Rotação Duplas'!$C$64:$C$73,MATCH(D232,'🔄 Rotação Duplas'!$D$64:$D$73,0))),"Semana 6",IFERROR(INDEX('🔄 Rotação Duplas'!$D$78:$D$87,MATCH(D232,'🔄 Rotação Duplas'!$C$78:$C$87,0)),INDEX('🔄 Rotação Duplas'!$C$78:$C$87,MATCH(D232,'🔄 Rotação Duplas'!$D$78:$D$87,0))),"Semana 7",IFERROR(INDEX('🔄 Rotação Duplas'!$D$92:$D$101,MATCH(D232,'🔄 Rotação Duplas'!$C$92:$C$101,0)),INDEX('🔄 Rotação Duplas'!$C$92:$C$101,MATCH(D232,'🔄 Rotação Duplas'!$D$92:$D$101,0))),"Semana 8",IFERROR(INDEX('🔄 Rotação Duplas'!$D$106:$D$115,MATCH(D232,'🔄 Rotação Duplas'!$C$106:$C$115,0)),INDEX('🔄 Rotação Duplas'!$C$106:$C$115,MATCH(D232,'🔄 Rotação Duplas'!$D$106:$D$115,0)))),""))</f>
        <v/>
      </c>
      <c r="T232">
        <f t="shared" si="18"/>
        <v>0</v>
      </c>
    </row>
    <row r="233" spans="2:20" ht="18" customHeight="1" x14ac:dyDescent="0.2">
      <c r="B233" s="78" t="s">
        <v>73</v>
      </c>
      <c r="C233" s="79" t="str">
        <f t="shared" si="20"/>
        <v>Desafio 12</v>
      </c>
      <c r="D233" s="80" t="str">
        <f>'⚙️ Configuração'!C36</f>
        <v>Alexandra Correia</v>
      </c>
      <c r="E233" s="50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81">
        <f>(E233*'⚙️ Configuração'!$C$6+F233*'⚙️ Configuração'!$C$7+G233*'⚙️ Configuração'!$C$8+H233*'⚙️ Configuração'!$C$9+I233*'⚙️ Configuração'!$C$10+J233*'⚙️ Configuração'!$C$11)*IF(N233="S",2,1)</f>
        <v>0</v>
      </c>
      <c r="L233" s="90" t="s">
        <v>167</v>
      </c>
      <c r="M233" s="82">
        <f>IF(L233="AT1",'⚙️ Configuração'!$C$14,IF(L233="AT2",'⚙️ Configuração'!$C$15,IF(L233="FI",'⚙️ Configuração'!$C$16,IF(L233="FJ",'⚙️ Configuração'!$C$17,0))))</f>
        <v>0</v>
      </c>
      <c r="N233" s="91" t="s">
        <v>167</v>
      </c>
      <c r="O233" s="92"/>
      <c r="P233" s="83">
        <f>IF(O233="1",'⚙️ Configuração'!$C$21,IF(O233="2",'⚙️ Configuração'!$C$22,IF(O233="3",'⚙️ Configuração'!$C$23,IF(O233="Outro",'⚙️ Configuração'!$C$24,0))))</f>
        <v>0</v>
      </c>
      <c r="Q233" s="84">
        <f t="shared" si="17"/>
        <v>0</v>
      </c>
      <c r="R233" s="40" t="str">
        <f t="shared" si="1"/>
        <v>Semana 1 — ver 🔄</v>
      </c>
      <c r="S233" t="str" cm="1">
        <f t="array" ref="S233">IF(D233="","",IFERROR(_xlfn.SWITCH(B233,"Semana 1",IFERROR(INDEX('🔄 Rotação Duplas'!$D$8:$D$17,MATCH(D233,'🔄 Rotação Duplas'!$C$8:$C$17,0)),INDEX('🔄 Rotação Duplas'!$C$8:$C$17,MATCH(D233,'🔄 Rotação Duplas'!$D$8:$D$17,0))),"Semana 2",IFERROR(INDEX('🔄 Rotação Duplas'!$D$22:$D$31,MATCH(D233,'🔄 Rotação Duplas'!$C$22:$C$31,0)),INDEX('🔄 Rotação Duplas'!$C$22:$C$31,MATCH(D233,'🔄 Rotação Duplas'!$D$22:$D$31,0))),"Semana 3",IFERROR(INDEX('🔄 Rotação Duplas'!$D$36:$D$45,MATCH(D233,'🔄 Rotação Duplas'!$C$36:$C$45,0)),INDEX('🔄 Rotação Duplas'!$C$36:$C$45,MATCH(D233,'🔄 Rotação Duplas'!$D$36:$D$45,0))),"Semana 4",IFERROR(INDEX('🔄 Rotação Duplas'!$D$50:$D$59,MATCH(D233,'🔄 Rotação Duplas'!$C$50:$C$59,0)),INDEX('🔄 Rotação Duplas'!$C$50:$C$59,MATCH(D233,'🔄 Rotação Duplas'!$D$50:$D$59,0))),"Semana 5",IFERROR(INDEX('🔄 Rotação Duplas'!$D$64:$D$73,MATCH(D233,'🔄 Rotação Duplas'!$C$64:$C$73,0)),INDEX('🔄 Rotação Duplas'!$C$64:$C$73,MATCH(D233,'🔄 Rotação Duplas'!$D$64:$D$73,0))),"Semana 6",IFERROR(INDEX('🔄 Rotação Duplas'!$D$78:$D$87,MATCH(D233,'🔄 Rotação Duplas'!$C$78:$C$87,0)),INDEX('🔄 Rotação Duplas'!$C$78:$C$87,MATCH(D233,'🔄 Rotação Duplas'!$D$78:$D$87,0))),"Semana 7",IFERROR(INDEX('🔄 Rotação Duplas'!$D$92:$D$101,MATCH(D233,'🔄 Rotação Duplas'!$C$92:$C$101,0)),INDEX('🔄 Rotação Duplas'!$C$92:$C$101,MATCH(D233,'🔄 Rotação Duplas'!$D$92:$D$101,0))),"Semana 8",IFERROR(INDEX('🔄 Rotação Duplas'!$D$106:$D$115,MATCH(D233,'🔄 Rotação Duplas'!$C$106:$C$115,0)),INDEX('🔄 Rotação Duplas'!$C$106:$C$115,MATCH(D233,'🔄 Rotação Duplas'!$D$106:$D$115,0)))),""))</f>
        <v/>
      </c>
      <c r="T233">
        <f t="shared" si="18"/>
        <v>0</v>
      </c>
    </row>
    <row r="234" spans="2:20" ht="18" customHeight="1" x14ac:dyDescent="0.2">
      <c r="B234" s="85" t="s">
        <v>73</v>
      </c>
      <c r="C234" s="86" t="str">
        <f t="shared" si="20"/>
        <v>Desafio 12</v>
      </c>
      <c r="D234" s="87" t="str">
        <f>'⚙️ Configuração'!C37</f>
        <v>Carla Barata</v>
      </c>
      <c r="E234" s="50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81">
        <f>(E234*'⚙️ Configuração'!$C$6+F234*'⚙️ Configuração'!$C$7+G234*'⚙️ Configuração'!$C$8+H234*'⚙️ Configuração'!$C$9+I234*'⚙️ Configuração'!$C$10+J234*'⚙️ Configuração'!$C$11)*IF(N234="S",2,1)</f>
        <v>0</v>
      </c>
      <c r="L234" s="90" t="s">
        <v>167</v>
      </c>
      <c r="M234" s="82">
        <f>IF(L234="AT1",'⚙️ Configuração'!$C$14,IF(L234="AT2",'⚙️ Configuração'!$C$15,IF(L234="FI",'⚙️ Configuração'!$C$16,IF(L234="FJ",'⚙️ Configuração'!$C$17,0))))</f>
        <v>0</v>
      </c>
      <c r="N234" s="91" t="s">
        <v>167</v>
      </c>
      <c r="O234" s="92"/>
      <c r="P234" s="83">
        <f>IF(O234="1",'⚙️ Configuração'!$C$21,IF(O234="2",'⚙️ Configuração'!$C$22,IF(O234="3",'⚙️ Configuração'!$C$23,IF(O234="Outro",'⚙️ Configuração'!$C$24,0))))</f>
        <v>0</v>
      </c>
      <c r="Q234" s="84">
        <f t="shared" si="17"/>
        <v>0</v>
      </c>
      <c r="R234" s="40" t="str">
        <f t="shared" si="1"/>
        <v>Semana 1 — ver 🔄</v>
      </c>
      <c r="S234" t="str" cm="1">
        <f t="array" ref="S234">IF(D234="","",IFERROR(_xlfn.SWITCH(B234,"Semana 1",IFERROR(INDEX('🔄 Rotação Duplas'!$D$8:$D$17,MATCH(D234,'🔄 Rotação Duplas'!$C$8:$C$17,0)),INDEX('🔄 Rotação Duplas'!$C$8:$C$17,MATCH(D234,'🔄 Rotação Duplas'!$D$8:$D$17,0))),"Semana 2",IFERROR(INDEX('🔄 Rotação Duplas'!$D$22:$D$31,MATCH(D234,'🔄 Rotação Duplas'!$C$22:$C$31,0)),INDEX('🔄 Rotação Duplas'!$C$22:$C$31,MATCH(D234,'🔄 Rotação Duplas'!$D$22:$D$31,0))),"Semana 3",IFERROR(INDEX('🔄 Rotação Duplas'!$D$36:$D$45,MATCH(D234,'🔄 Rotação Duplas'!$C$36:$C$45,0)),INDEX('🔄 Rotação Duplas'!$C$36:$C$45,MATCH(D234,'🔄 Rotação Duplas'!$D$36:$D$45,0))),"Semana 4",IFERROR(INDEX('🔄 Rotação Duplas'!$D$50:$D$59,MATCH(D234,'🔄 Rotação Duplas'!$C$50:$C$59,0)),INDEX('🔄 Rotação Duplas'!$C$50:$C$59,MATCH(D234,'🔄 Rotação Duplas'!$D$50:$D$59,0))),"Semana 5",IFERROR(INDEX('🔄 Rotação Duplas'!$D$64:$D$73,MATCH(D234,'🔄 Rotação Duplas'!$C$64:$C$73,0)),INDEX('🔄 Rotação Duplas'!$C$64:$C$73,MATCH(D234,'🔄 Rotação Duplas'!$D$64:$D$73,0))),"Semana 6",IFERROR(INDEX('🔄 Rotação Duplas'!$D$78:$D$87,MATCH(D234,'🔄 Rotação Duplas'!$C$78:$C$87,0)),INDEX('🔄 Rotação Duplas'!$C$78:$C$87,MATCH(D234,'🔄 Rotação Duplas'!$D$78:$D$87,0))),"Semana 7",IFERROR(INDEX('🔄 Rotação Duplas'!$D$92:$D$101,MATCH(D234,'🔄 Rotação Duplas'!$C$92:$C$101,0)),INDEX('🔄 Rotação Duplas'!$C$92:$C$101,MATCH(D234,'🔄 Rotação Duplas'!$D$92:$D$101,0))),"Semana 8",IFERROR(INDEX('🔄 Rotação Duplas'!$D$106:$D$115,MATCH(D234,'🔄 Rotação Duplas'!$C$106:$C$115,0)),INDEX('🔄 Rotação Duplas'!$C$106:$C$115,MATCH(D234,'🔄 Rotação Duplas'!$D$106:$D$115,0)))),""))</f>
        <v/>
      </c>
      <c r="T234">
        <f t="shared" si="18"/>
        <v>0</v>
      </c>
    </row>
    <row r="235" spans="2:20" ht="18" customHeight="1" x14ac:dyDescent="0.2">
      <c r="B235" s="78" t="s">
        <v>73</v>
      </c>
      <c r="C235" s="79" t="str">
        <f t="shared" si="20"/>
        <v>Desafio 12</v>
      </c>
      <c r="D235" s="80" t="str">
        <f>'⚙️ Configuração'!C38</f>
        <v>Denise Filipe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81">
        <f>(E235*'⚙️ Configuração'!$C$6+F235*'⚙️ Configuração'!$C$7+G235*'⚙️ Configuração'!$C$8+H235*'⚙️ Configuração'!$C$9+I235*'⚙️ Configuração'!$C$10+J235*'⚙️ Configuração'!$C$11)*IF(N235="S",2,1)</f>
        <v>0</v>
      </c>
      <c r="L235" s="90" t="s">
        <v>167</v>
      </c>
      <c r="M235" s="82">
        <f>IF(L235="AT1",'⚙️ Configuração'!$C$14,IF(L235="AT2",'⚙️ Configuração'!$C$15,IF(L235="FI",'⚙️ Configuração'!$C$16,IF(L235="FJ",'⚙️ Configuração'!$C$17,0))))</f>
        <v>0</v>
      </c>
      <c r="N235" s="91" t="s">
        <v>167</v>
      </c>
      <c r="O235" s="92"/>
      <c r="P235" s="83">
        <f>IF(O235="1",'⚙️ Configuração'!$C$21,IF(O235="2",'⚙️ Configuração'!$C$22,IF(O235="3",'⚙️ Configuração'!$C$23,IF(O235="Outro",'⚙️ Configuração'!$C$24,0))))</f>
        <v>0</v>
      </c>
      <c r="Q235" s="84">
        <f t="shared" si="17"/>
        <v>0</v>
      </c>
      <c r="R235" s="40" t="str">
        <f t="shared" si="1"/>
        <v>Semana 1 — ver 🔄</v>
      </c>
      <c r="S235" t="str" cm="1">
        <f t="array" ref="S235">IF(D235="","",IFERROR(_xlfn.SWITCH(B235,"Semana 1",IFERROR(INDEX('🔄 Rotação Duplas'!$D$8:$D$17,MATCH(D235,'🔄 Rotação Duplas'!$C$8:$C$17,0)),INDEX('🔄 Rotação Duplas'!$C$8:$C$17,MATCH(D235,'🔄 Rotação Duplas'!$D$8:$D$17,0))),"Semana 2",IFERROR(INDEX('🔄 Rotação Duplas'!$D$22:$D$31,MATCH(D235,'🔄 Rotação Duplas'!$C$22:$C$31,0)),INDEX('🔄 Rotação Duplas'!$C$22:$C$31,MATCH(D235,'🔄 Rotação Duplas'!$D$22:$D$31,0))),"Semana 3",IFERROR(INDEX('🔄 Rotação Duplas'!$D$36:$D$45,MATCH(D235,'🔄 Rotação Duplas'!$C$36:$C$45,0)),INDEX('🔄 Rotação Duplas'!$C$36:$C$45,MATCH(D235,'🔄 Rotação Duplas'!$D$36:$D$45,0))),"Semana 4",IFERROR(INDEX('🔄 Rotação Duplas'!$D$50:$D$59,MATCH(D235,'🔄 Rotação Duplas'!$C$50:$C$59,0)),INDEX('🔄 Rotação Duplas'!$C$50:$C$59,MATCH(D235,'🔄 Rotação Duplas'!$D$50:$D$59,0))),"Semana 5",IFERROR(INDEX('🔄 Rotação Duplas'!$D$64:$D$73,MATCH(D235,'🔄 Rotação Duplas'!$C$64:$C$73,0)),INDEX('🔄 Rotação Duplas'!$C$64:$C$73,MATCH(D235,'🔄 Rotação Duplas'!$D$64:$D$73,0))),"Semana 6",IFERROR(INDEX('🔄 Rotação Duplas'!$D$78:$D$87,MATCH(D235,'🔄 Rotação Duplas'!$C$78:$C$87,0)),INDEX('🔄 Rotação Duplas'!$C$78:$C$87,MATCH(D235,'🔄 Rotação Duplas'!$D$78:$D$87,0))),"Semana 7",IFERROR(INDEX('🔄 Rotação Duplas'!$D$92:$D$101,MATCH(D235,'🔄 Rotação Duplas'!$C$92:$C$101,0)),INDEX('🔄 Rotação Duplas'!$C$92:$C$101,MATCH(D235,'🔄 Rotação Duplas'!$D$92:$D$101,0))),"Semana 8",IFERROR(INDEX('🔄 Rotação Duplas'!$D$106:$D$115,MATCH(D235,'🔄 Rotação Duplas'!$C$106:$C$115,0)),INDEX('🔄 Rotação Duplas'!$C$106:$C$115,MATCH(D235,'🔄 Rotação Duplas'!$D$106:$D$115,0)))),""))</f>
        <v/>
      </c>
      <c r="T235">
        <f t="shared" si="18"/>
        <v>0</v>
      </c>
    </row>
    <row r="236" spans="2:20" ht="18" customHeight="1" x14ac:dyDescent="0.2">
      <c r="B236" s="85" t="s">
        <v>73</v>
      </c>
      <c r="C236" s="86" t="str">
        <f t="shared" si="20"/>
        <v>Desafio 12</v>
      </c>
      <c r="D236" s="87" t="str">
        <f>'⚙️ Configuração'!C39</f>
        <v>Fátima Rodriguez</v>
      </c>
      <c r="E236" s="50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81">
        <f>(E236*'⚙️ Configuração'!$C$6+F236*'⚙️ Configuração'!$C$7+G236*'⚙️ Configuração'!$C$8+H236*'⚙️ Configuração'!$C$9+I236*'⚙️ Configuração'!$C$10+J236*'⚙️ Configuração'!$C$11)*IF(N236="S",2,1)</f>
        <v>0</v>
      </c>
      <c r="L236" s="90" t="s">
        <v>167</v>
      </c>
      <c r="M236" s="82">
        <f>IF(L236="AT1",'⚙️ Configuração'!$C$14,IF(L236="AT2",'⚙️ Configuração'!$C$15,IF(L236="FI",'⚙️ Configuração'!$C$16,IF(L236="FJ",'⚙️ Configuração'!$C$17,0))))</f>
        <v>0</v>
      </c>
      <c r="N236" s="91" t="s">
        <v>167</v>
      </c>
      <c r="O236" s="92"/>
      <c r="P236" s="83">
        <f>IF(O236="1",'⚙️ Configuração'!$C$21,IF(O236="2",'⚙️ Configuração'!$C$22,IF(O236="3",'⚙️ Configuração'!$C$23,IF(O236="Outro",'⚙️ Configuração'!$C$24,0))))</f>
        <v>0</v>
      </c>
      <c r="Q236" s="84">
        <f t="shared" si="17"/>
        <v>0</v>
      </c>
      <c r="R236" s="40" t="str">
        <f t="shared" si="1"/>
        <v>Semana 1 — ver 🔄</v>
      </c>
      <c r="S236" t="str" cm="1">
        <f t="array" ref="S236">IF(D236="","",IFERROR(_xlfn.SWITCH(B236,"Semana 1",IFERROR(INDEX('🔄 Rotação Duplas'!$D$8:$D$17,MATCH(D236,'🔄 Rotação Duplas'!$C$8:$C$17,0)),INDEX('🔄 Rotação Duplas'!$C$8:$C$17,MATCH(D236,'🔄 Rotação Duplas'!$D$8:$D$17,0))),"Semana 2",IFERROR(INDEX('🔄 Rotação Duplas'!$D$22:$D$31,MATCH(D236,'🔄 Rotação Duplas'!$C$22:$C$31,0)),INDEX('🔄 Rotação Duplas'!$C$22:$C$31,MATCH(D236,'🔄 Rotação Duplas'!$D$22:$D$31,0))),"Semana 3",IFERROR(INDEX('🔄 Rotação Duplas'!$D$36:$D$45,MATCH(D236,'🔄 Rotação Duplas'!$C$36:$C$45,0)),INDEX('🔄 Rotação Duplas'!$C$36:$C$45,MATCH(D236,'🔄 Rotação Duplas'!$D$36:$D$45,0))),"Semana 4",IFERROR(INDEX('🔄 Rotação Duplas'!$D$50:$D$59,MATCH(D236,'🔄 Rotação Duplas'!$C$50:$C$59,0)),INDEX('🔄 Rotação Duplas'!$C$50:$C$59,MATCH(D236,'🔄 Rotação Duplas'!$D$50:$D$59,0))),"Semana 5",IFERROR(INDEX('🔄 Rotação Duplas'!$D$64:$D$73,MATCH(D236,'🔄 Rotação Duplas'!$C$64:$C$73,0)),INDEX('🔄 Rotação Duplas'!$C$64:$C$73,MATCH(D236,'🔄 Rotação Duplas'!$D$64:$D$73,0))),"Semana 6",IFERROR(INDEX('🔄 Rotação Duplas'!$D$78:$D$87,MATCH(D236,'🔄 Rotação Duplas'!$C$78:$C$87,0)),INDEX('🔄 Rotação Duplas'!$C$78:$C$87,MATCH(D236,'🔄 Rotação Duplas'!$D$78:$D$87,0))),"Semana 7",IFERROR(INDEX('🔄 Rotação Duplas'!$D$92:$D$101,MATCH(D236,'🔄 Rotação Duplas'!$C$92:$C$101,0)),INDEX('🔄 Rotação Duplas'!$C$92:$C$101,MATCH(D236,'🔄 Rotação Duplas'!$D$92:$D$101,0))),"Semana 8",IFERROR(INDEX('🔄 Rotação Duplas'!$D$106:$D$115,MATCH(D236,'🔄 Rotação Duplas'!$C$106:$C$115,0)),INDEX('🔄 Rotação Duplas'!$C$106:$C$115,MATCH(D236,'🔄 Rotação Duplas'!$D$106:$D$115,0)))),""))</f>
        <v/>
      </c>
      <c r="T236">
        <f t="shared" si="18"/>
        <v>0</v>
      </c>
    </row>
    <row r="237" spans="2:20" ht="18" customHeight="1" x14ac:dyDescent="0.2">
      <c r="B237" s="78" t="s">
        <v>73</v>
      </c>
      <c r="C237" s="79" t="str">
        <f t="shared" si="20"/>
        <v>Desafio 12</v>
      </c>
      <c r="D237" s="80" t="str">
        <f>'⚙️ Configuração'!C40</f>
        <v>Maria João Travassos</v>
      </c>
      <c r="E237" s="50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81">
        <f>(E237*'⚙️ Configuração'!$C$6+F237*'⚙️ Configuração'!$C$7+G237*'⚙️ Configuração'!$C$8+H237*'⚙️ Configuração'!$C$9+I237*'⚙️ Configuração'!$C$10+J237*'⚙️ Configuração'!$C$11)*IF(N237="S",2,1)</f>
        <v>0</v>
      </c>
      <c r="L237" s="90" t="s">
        <v>167</v>
      </c>
      <c r="M237" s="82">
        <f>IF(L237="AT1",'⚙️ Configuração'!$C$14,IF(L237="AT2",'⚙️ Configuração'!$C$15,IF(L237="FI",'⚙️ Configuração'!$C$16,IF(L237="FJ",'⚙️ Configuração'!$C$17,0))))</f>
        <v>0</v>
      </c>
      <c r="N237" s="91" t="s">
        <v>167</v>
      </c>
      <c r="O237" s="92"/>
      <c r="P237" s="83">
        <f>IF(O237="1",'⚙️ Configuração'!$C$21,IF(O237="2",'⚙️ Configuração'!$C$22,IF(O237="3",'⚙️ Configuração'!$C$23,IF(O237="Outro",'⚙️ Configuração'!$C$24,0))))</f>
        <v>0</v>
      </c>
      <c r="Q237" s="84">
        <f t="shared" si="17"/>
        <v>0</v>
      </c>
      <c r="R237" s="40" t="str">
        <f t="shared" si="1"/>
        <v>Semana 1 — ver 🔄</v>
      </c>
      <c r="S237" t="str" cm="1">
        <f t="array" ref="S237">IF(D237="","",IFERROR(_xlfn.SWITCH(B237,"Semana 1",IFERROR(INDEX('🔄 Rotação Duplas'!$D$8:$D$17,MATCH(D237,'🔄 Rotação Duplas'!$C$8:$C$17,0)),INDEX('🔄 Rotação Duplas'!$C$8:$C$17,MATCH(D237,'🔄 Rotação Duplas'!$D$8:$D$17,0))),"Semana 2",IFERROR(INDEX('🔄 Rotação Duplas'!$D$22:$D$31,MATCH(D237,'🔄 Rotação Duplas'!$C$22:$C$31,0)),INDEX('🔄 Rotação Duplas'!$C$22:$C$31,MATCH(D237,'🔄 Rotação Duplas'!$D$22:$D$31,0))),"Semana 3",IFERROR(INDEX('🔄 Rotação Duplas'!$D$36:$D$45,MATCH(D237,'🔄 Rotação Duplas'!$C$36:$C$45,0)),INDEX('🔄 Rotação Duplas'!$C$36:$C$45,MATCH(D237,'🔄 Rotação Duplas'!$D$36:$D$45,0))),"Semana 4",IFERROR(INDEX('🔄 Rotação Duplas'!$D$50:$D$59,MATCH(D237,'🔄 Rotação Duplas'!$C$50:$C$59,0)),INDEX('🔄 Rotação Duplas'!$C$50:$C$59,MATCH(D237,'🔄 Rotação Duplas'!$D$50:$D$59,0))),"Semana 5",IFERROR(INDEX('🔄 Rotação Duplas'!$D$64:$D$73,MATCH(D237,'🔄 Rotação Duplas'!$C$64:$C$73,0)),INDEX('🔄 Rotação Duplas'!$C$64:$C$73,MATCH(D237,'🔄 Rotação Duplas'!$D$64:$D$73,0))),"Semana 6",IFERROR(INDEX('🔄 Rotação Duplas'!$D$78:$D$87,MATCH(D237,'🔄 Rotação Duplas'!$C$78:$C$87,0)),INDEX('🔄 Rotação Duplas'!$C$78:$C$87,MATCH(D237,'🔄 Rotação Duplas'!$D$78:$D$87,0))),"Semana 7",IFERROR(INDEX('🔄 Rotação Duplas'!$D$92:$D$101,MATCH(D237,'🔄 Rotação Duplas'!$C$92:$C$101,0)),INDEX('🔄 Rotação Duplas'!$C$92:$C$101,MATCH(D237,'🔄 Rotação Duplas'!$D$92:$D$101,0))),"Semana 8",IFERROR(INDEX('🔄 Rotação Duplas'!$D$106:$D$115,MATCH(D237,'🔄 Rotação Duplas'!$C$106:$C$115,0)),INDEX('🔄 Rotação Duplas'!$C$106:$C$115,MATCH(D237,'🔄 Rotação Duplas'!$D$106:$D$115,0)))),""))</f>
        <v/>
      </c>
      <c r="T237">
        <f t="shared" si="18"/>
        <v>0</v>
      </c>
    </row>
    <row r="238" spans="2:20" ht="18" customHeight="1" x14ac:dyDescent="0.2">
      <c r="B238" s="85" t="s">
        <v>73</v>
      </c>
      <c r="C238" s="86" t="str">
        <f t="shared" si="20"/>
        <v>Desafio 12</v>
      </c>
      <c r="D238" s="87" t="str">
        <f>'⚙️ Configuração'!C41</f>
        <v>Marta Torres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81">
        <f>(E238*'⚙️ Configuração'!$C$6+F238*'⚙️ Configuração'!$C$7+G238*'⚙️ Configuração'!$C$8+H238*'⚙️ Configuração'!$C$9+I238*'⚙️ Configuração'!$C$10+J238*'⚙️ Configuração'!$C$11)*IF(N238="S",2,1)</f>
        <v>0</v>
      </c>
      <c r="L238" s="90" t="s">
        <v>167</v>
      </c>
      <c r="M238" s="82">
        <f>IF(L238="AT1",'⚙️ Configuração'!$C$14,IF(L238="AT2",'⚙️ Configuração'!$C$15,IF(L238="FI",'⚙️ Configuração'!$C$16,IF(L238="FJ",'⚙️ Configuração'!$C$17,0))))</f>
        <v>0</v>
      </c>
      <c r="N238" s="91" t="s">
        <v>167</v>
      </c>
      <c r="O238" s="92"/>
      <c r="P238" s="83">
        <f>IF(O238="1",'⚙️ Configuração'!$C$21,IF(O238="2",'⚙️ Configuração'!$C$22,IF(O238="3",'⚙️ Configuração'!$C$23,IF(O238="Outro",'⚙️ Configuração'!$C$24,0))))</f>
        <v>0</v>
      </c>
      <c r="Q238" s="84">
        <f t="shared" si="17"/>
        <v>0</v>
      </c>
      <c r="R238" s="40" t="str">
        <f t="shared" si="1"/>
        <v>Semana 1 — ver 🔄</v>
      </c>
      <c r="S238" t="str" cm="1">
        <f t="array" ref="S238">IF(D238="","",IFERROR(_xlfn.SWITCH(B238,"Semana 1",IFERROR(INDEX('🔄 Rotação Duplas'!$D$8:$D$17,MATCH(D238,'🔄 Rotação Duplas'!$C$8:$C$17,0)),INDEX('🔄 Rotação Duplas'!$C$8:$C$17,MATCH(D238,'🔄 Rotação Duplas'!$D$8:$D$17,0))),"Semana 2",IFERROR(INDEX('🔄 Rotação Duplas'!$D$22:$D$31,MATCH(D238,'🔄 Rotação Duplas'!$C$22:$C$31,0)),INDEX('🔄 Rotação Duplas'!$C$22:$C$31,MATCH(D238,'🔄 Rotação Duplas'!$D$22:$D$31,0))),"Semana 3",IFERROR(INDEX('🔄 Rotação Duplas'!$D$36:$D$45,MATCH(D238,'🔄 Rotação Duplas'!$C$36:$C$45,0)),INDEX('🔄 Rotação Duplas'!$C$36:$C$45,MATCH(D238,'🔄 Rotação Duplas'!$D$36:$D$45,0))),"Semana 4",IFERROR(INDEX('🔄 Rotação Duplas'!$D$50:$D$59,MATCH(D238,'🔄 Rotação Duplas'!$C$50:$C$59,0)),INDEX('🔄 Rotação Duplas'!$C$50:$C$59,MATCH(D238,'🔄 Rotação Duplas'!$D$50:$D$59,0))),"Semana 5",IFERROR(INDEX('🔄 Rotação Duplas'!$D$64:$D$73,MATCH(D238,'🔄 Rotação Duplas'!$C$64:$C$73,0)),INDEX('🔄 Rotação Duplas'!$C$64:$C$73,MATCH(D238,'🔄 Rotação Duplas'!$D$64:$D$73,0))),"Semana 6",IFERROR(INDEX('🔄 Rotação Duplas'!$D$78:$D$87,MATCH(D238,'🔄 Rotação Duplas'!$C$78:$C$87,0)),INDEX('🔄 Rotação Duplas'!$C$78:$C$87,MATCH(D238,'🔄 Rotação Duplas'!$D$78:$D$87,0))),"Semana 7",IFERROR(INDEX('🔄 Rotação Duplas'!$D$92:$D$101,MATCH(D238,'🔄 Rotação Duplas'!$C$92:$C$101,0)),INDEX('🔄 Rotação Duplas'!$C$92:$C$101,MATCH(D238,'🔄 Rotação Duplas'!$D$92:$D$101,0))),"Semana 8",IFERROR(INDEX('🔄 Rotação Duplas'!$D$106:$D$115,MATCH(D238,'🔄 Rotação Duplas'!$C$106:$C$115,0)),INDEX('🔄 Rotação Duplas'!$C$106:$C$115,MATCH(D238,'🔄 Rotação Duplas'!$D$106:$D$115,0)))),""))</f>
        <v/>
      </c>
      <c r="T238">
        <f t="shared" si="18"/>
        <v>0</v>
      </c>
    </row>
    <row r="239" spans="2:20" ht="18" customHeight="1" x14ac:dyDescent="0.2">
      <c r="B239" s="78" t="s">
        <v>73</v>
      </c>
      <c r="C239" s="79" t="str">
        <f t="shared" si="20"/>
        <v>Desafio 12</v>
      </c>
      <c r="D239" s="80" t="str">
        <f>'⚙️ Configuração'!C42</f>
        <v>Patricia Isabel Silva</v>
      </c>
      <c r="E239" s="50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81">
        <f>(E239*'⚙️ Configuração'!$C$6+F239*'⚙️ Configuração'!$C$7+G239*'⚙️ Configuração'!$C$8+H239*'⚙️ Configuração'!$C$9+I239*'⚙️ Configuração'!$C$10+J239*'⚙️ Configuração'!$C$11)*IF(N239="S",2,1)</f>
        <v>0</v>
      </c>
      <c r="L239" s="90" t="s">
        <v>167</v>
      </c>
      <c r="M239" s="82">
        <f>IF(L239="AT1",'⚙️ Configuração'!$C$14,IF(L239="AT2",'⚙️ Configuração'!$C$15,IF(L239="FI",'⚙️ Configuração'!$C$16,IF(L239="FJ",'⚙️ Configuração'!$C$17,0))))</f>
        <v>0</v>
      </c>
      <c r="N239" s="91" t="s">
        <v>167</v>
      </c>
      <c r="O239" s="92"/>
      <c r="P239" s="83">
        <f>IF(O239="1",'⚙️ Configuração'!$C$21,IF(O239="2",'⚙️ Configuração'!$C$22,IF(O239="3",'⚙️ Configuração'!$C$23,IF(O239="Outro",'⚙️ Configuração'!$C$24,0))))</f>
        <v>0</v>
      </c>
      <c r="Q239" s="84">
        <f t="shared" si="17"/>
        <v>0</v>
      </c>
      <c r="R239" s="40" t="str">
        <f t="shared" si="1"/>
        <v>Semana 1 — ver 🔄</v>
      </c>
      <c r="S239" t="str" cm="1">
        <f t="array" ref="S239">IF(D239="","",IFERROR(_xlfn.SWITCH(B239,"Semana 1",IFERROR(INDEX('🔄 Rotação Duplas'!$D$8:$D$17,MATCH(D239,'🔄 Rotação Duplas'!$C$8:$C$17,0)),INDEX('🔄 Rotação Duplas'!$C$8:$C$17,MATCH(D239,'🔄 Rotação Duplas'!$D$8:$D$17,0))),"Semana 2",IFERROR(INDEX('🔄 Rotação Duplas'!$D$22:$D$31,MATCH(D239,'🔄 Rotação Duplas'!$C$22:$C$31,0)),INDEX('🔄 Rotação Duplas'!$C$22:$C$31,MATCH(D239,'🔄 Rotação Duplas'!$D$22:$D$31,0))),"Semana 3",IFERROR(INDEX('🔄 Rotação Duplas'!$D$36:$D$45,MATCH(D239,'🔄 Rotação Duplas'!$C$36:$C$45,0)),INDEX('🔄 Rotação Duplas'!$C$36:$C$45,MATCH(D239,'🔄 Rotação Duplas'!$D$36:$D$45,0))),"Semana 4",IFERROR(INDEX('🔄 Rotação Duplas'!$D$50:$D$59,MATCH(D239,'🔄 Rotação Duplas'!$C$50:$C$59,0)),INDEX('🔄 Rotação Duplas'!$C$50:$C$59,MATCH(D239,'🔄 Rotação Duplas'!$D$50:$D$59,0))),"Semana 5",IFERROR(INDEX('🔄 Rotação Duplas'!$D$64:$D$73,MATCH(D239,'🔄 Rotação Duplas'!$C$64:$C$73,0)),INDEX('🔄 Rotação Duplas'!$C$64:$C$73,MATCH(D239,'🔄 Rotação Duplas'!$D$64:$D$73,0))),"Semana 6",IFERROR(INDEX('🔄 Rotação Duplas'!$D$78:$D$87,MATCH(D239,'🔄 Rotação Duplas'!$C$78:$C$87,0)),INDEX('🔄 Rotação Duplas'!$C$78:$C$87,MATCH(D239,'🔄 Rotação Duplas'!$D$78:$D$87,0))),"Semana 7",IFERROR(INDEX('🔄 Rotação Duplas'!$D$92:$D$101,MATCH(D239,'🔄 Rotação Duplas'!$C$92:$C$101,0)),INDEX('🔄 Rotação Duplas'!$C$92:$C$101,MATCH(D239,'🔄 Rotação Duplas'!$D$92:$D$101,0))),"Semana 8",IFERROR(INDEX('🔄 Rotação Duplas'!$D$106:$D$115,MATCH(D239,'🔄 Rotação Duplas'!$C$106:$C$115,0)),INDEX('🔄 Rotação Duplas'!$C$106:$C$115,MATCH(D239,'🔄 Rotação Duplas'!$D$106:$D$115,0)))),""))</f>
        <v/>
      </c>
      <c r="T239">
        <f t="shared" si="18"/>
        <v>0</v>
      </c>
    </row>
    <row r="240" spans="2:20" ht="18" customHeight="1" x14ac:dyDescent="0.2">
      <c r="B240" s="85" t="s">
        <v>73</v>
      </c>
      <c r="C240" s="86" t="str">
        <f t="shared" si="20"/>
        <v>Desafio 12</v>
      </c>
      <c r="D240" s="87" t="str">
        <f>'⚙️ Configuração'!C43</f>
        <v>Paula Martins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81">
        <f>(E240*'⚙️ Configuração'!$C$6+F240*'⚙️ Configuração'!$C$7+G240*'⚙️ Configuração'!$C$8+H240*'⚙️ Configuração'!$C$9+I240*'⚙️ Configuração'!$C$10+J240*'⚙️ Configuração'!$C$11)*IF(N240="S",2,1)</f>
        <v>0</v>
      </c>
      <c r="L240" s="90" t="s">
        <v>167</v>
      </c>
      <c r="M240" s="82">
        <f>IF(L240="AT1",'⚙️ Configuração'!$C$14,IF(L240="AT2",'⚙️ Configuração'!$C$15,IF(L240="FI",'⚙️ Configuração'!$C$16,IF(L240="FJ",'⚙️ Configuração'!$C$17,0))))</f>
        <v>0</v>
      </c>
      <c r="N240" s="91" t="s">
        <v>167</v>
      </c>
      <c r="O240" s="92"/>
      <c r="P240" s="83">
        <f>IF(O240="1",'⚙️ Configuração'!$C$21,IF(O240="2",'⚙️ Configuração'!$C$22,IF(O240="3",'⚙️ Configuração'!$C$23,IF(O240="Outro",'⚙️ Configuração'!$C$24,0))))</f>
        <v>0</v>
      </c>
      <c r="Q240" s="84">
        <f t="shared" si="17"/>
        <v>0</v>
      </c>
      <c r="R240" s="40" t="str">
        <f t="shared" si="1"/>
        <v>Semana 1 — ver 🔄</v>
      </c>
      <c r="S240" t="str" cm="1">
        <f t="array" ref="S240">IF(D240="","",IFERROR(_xlfn.SWITCH(B240,"Semana 1",IFERROR(INDEX('🔄 Rotação Duplas'!$D$8:$D$17,MATCH(D240,'🔄 Rotação Duplas'!$C$8:$C$17,0)),INDEX('🔄 Rotação Duplas'!$C$8:$C$17,MATCH(D240,'🔄 Rotação Duplas'!$D$8:$D$17,0))),"Semana 2",IFERROR(INDEX('🔄 Rotação Duplas'!$D$22:$D$31,MATCH(D240,'🔄 Rotação Duplas'!$C$22:$C$31,0)),INDEX('🔄 Rotação Duplas'!$C$22:$C$31,MATCH(D240,'🔄 Rotação Duplas'!$D$22:$D$31,0))),"Semana 3",IFERROR(INDEX('🔄 Rotação Duplas'!$D$36:$D$45,MATCH(D240,'🔄 Rotação Duplas'!$C$36:$C$45,0)),INDEX('🔄 Rotação Duplas'!$C$36:$C$45,MATCH(D240,'🔄 Rotação Duplas'!$D$36:$D$45,0))),"Semana 4",IFERROR(INDEX('🔄 Rotação Duplas'!$D$50:$D$59,MATCH(D240,'🔄 Rotação Duplas'!$C$50:$C$59,0)),INDEX('🔄 Rotação Duplas'!$C$50:$C$59,MATCH(D240,'🔄 Rotação Duplas'!$D$50:$D$59,0))),"Semana 5",IFERROR(INDEX('🔄 Rotação Duplas'!$D$64:$D$73,MATCH(D240,'🔄 Rotação Duplas'!$C$64:$C$73,0)),INDEX('🔄 Rotação Duplas'!$C$64:$C$73,MATCH(D240,'🔄 Rotação Duplas'!$D$64:$D$73,0))),"Semana 6",IFERROR(INDEX('🔄 Rotação Duplas'!$D$78:$D$87,MATCH(D240,'🔄 Rotação Duplas'!$C$78:$C$87,0)),INDEX('🔄 Rotação Duplas'!$C$78:$C$87,MATCH(D240,'🔄 Rotação Duplas'!$D$78:$D$87,0))),"Semana 7",IFERROR(INDEX('🔄 Rotação Duplas'!$D$92:$D$101,MATCH(D240,'🔄 Rotação Duplas'!$C$92:$C$101,0)),INDEX('🔄 Rotação Duplas'!$C$92:$C$101,MATCH(D240,'🔄 Rotação Duplas'!$D$92:$D$101,0))),"Semana 8",IFERROR(INDEX('🔄 Rotação Duplas'!$D$106:$D$115,MATCH(D240,'🔄 Rotação Duplas'!$C$106:$C$115,0)),INDEX('🔄 Rotação Duplas'!$C$106:$C$115,MATCH(D240,'🔄 Rotação Duplas'!$D$106:$D$115,0)))),""))</f>
        <v/>
      </c>
      <c r="T240">
        <f t="shared" si="18"/>
        <v>0</v>
      </c>
    </row>
    <row r="241" spans="2:20" ht="18" customHeight="1" x14ac:dyDescent="0.2">
      <c r="B241" s="78" t="s">
        <v>73</v>
      </c>
      <c r="C241" s="79" t="str">
        <f t="shared" si="20"/>
        <v>Desafio 12</v>
      </c>
      <c r="D241" s="80" t="str">
        <f>'⚙️ Configuração'!C44</f>
        <v>Paula Miabara</v>
      </c>
      <c r="E241" s="50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81">
        <f>(E241*'⚙️ Configuração'!$C$6+F241*'⚙️ Configuração'!$C$7+G241*'⚙️ Configuração'!$C$8+H241*'⚙️ Configuração'!$C$9+I241*'⚙️ Configuração'!$C$10+J241*'⚙️ Configuração'!$C$11)*IF(N241="S",2,1)</f>
        <v>0</v>
      </c>
      <c r="L241" s="90" t="s">
        <v>167</v>
      </c>
      <c r="M241" s="82">
        <f>IF(L241="AT1",'⚙️ Configuração'!$C$14,IF(L241="AT2",'⚙️ Configuração'!$C$15,IF(L241="FI",'⚙️ Configuração'!$C$16,IF(L241="FJ",'⚙️ Configuração'!$C$17,0))))</f>
        <v>0</v>
      </c>
      <c r="N241" s="91" t="s">
        <v>167</v>
      </c>
      <c r="O241" s="92"/>
      <c r="P241" s="83">
        <f>IF(O241="1",'⚙️ Configuração'!$C$21,IF(O241="2",'⚙️ Configuração'!$C$22,IF(O241="3",'⚙️ Configuração'!$C$23,IF(O241="Outro",'⚙️ Configuração'!$C$24,0))))</f>
        <v>0</v>
      </c>
      <c r="Q241" s="84">
        <f t="shared" si="17"/>
        <v>0</v>
      </c>
      <c r="R241" s="40" t="str">
        <f t="shared" si="1"/>
        <v>Semana 1 — ver 🔄</v>
      </c>
      <c r="S241" t="str" cm="1">
        <f t="array" ref="S241">IF(D241="","",IFERROR(_xlfn.SWITCH(B241,"Semana 1",IFERROR(INDEX('🔄 Rotação Duplas'!$D$8:$D$17,MATCH(D241,'🔄 Rotação Duplas'!$C$8:$C$17,0)),INDEX('🔄 Rotação Duplas'!$C$8:$C$17,MATCH(D241,'🔄 Rotação Duplas'!$D$8:$D$17,0))),"Semana 2",IFERROR(INDEX('🔄 Rotação Duplas'!$D$22:$D$31,MATCH(D241,'🔄 Rotação Duplas'!$C$22:$C$31,0)),INDEX('🔄 Rotação Duplas'!$C$22:$C$31,MATCH(D241,'🔄 Rotação Duplas'!$D$22:$D$31,0))),"Semana 3",IFERROR(INDEX('🔄 Rotação Duplas'!$D$36:$D$45,MATCH(D241,'🔄 Rotação Duplas'!$C$36:$C$45,0)),INDEX('🔄 Rotação Duplas'!$C$36:$C$45,MATCH(D241,'🔄 Rotação Duplas'!$D$36:$D$45,0))),"Semana 4",IFERROR(INDEX('🔄 Rotação Duplas'!$D$50:$D$59,MATCH(D241,'🔄 Rotação Duplas'!$C$50:$C$59,0)),INDEX('🔄 Rotação Duplas'!$C$50:$C$59,MATCH(D241,'🔄 Rotação Duplas'!$D$50:$D$59,0))),"Semana 5",IFERROR(INDEX('🔄 Rotação Duplas'!$D$64:$D$73,MATCH(D241,'🔄 Rotação Duplas'!$C$64:$C$73,0)),INDEX('🔄 Rotação Duplas'!$C$64:$C$73,MATCH(D241,'🔄 Rotação Duplas'!$D$64:$D$73,0))),"Semana 6",IFERROR(INDEX('🔄 Rotação Duplas'!$D$78:$D$87,MATCH(D241,'🔄 Rotação Duplas'!$C$78:$C$87,0)),INDEX('🔄 Rotação Duplas'!$C$78:$C$87,MATCH(D241,'🔄 Rotação Duplas'!$D$78:$D$87,0))),"Semana 7",IFERROR(INDEX('🔄 Rotação Duplas'!$D$92:$D$101,MATCH(D241,'🔄 Rotação Duplas'!$C$92:$C$101,0)),INDEX('🔄 Rotação Duplas'!$C$92:$C$101,MATCH(D241,'🔄 Rotação Duplas'!$D$92:$D$101,0))),"Semana 8",IFERROR(INDEX('🔄 Rotação Duplas'!$D$106:$D$115,MATCH(D241,'🔄 Rotação Duplas'!$C$106:$C$115,0)),INDEX('🔄 Rotação Duplas'!$C$106:$C$115,MATCH(D241,'🔄 Rotação Duplas'!$D$106:$D$115,0)))),""))</f>
        <v/>
      </c>
      <c r="T241">
        <f t="shared" si="18"/>
        <v>0</v>
      </c>
    </row>
    <row r="242" spans="2:20" ht="18" customHeight="1" x14ac:dyDescent="0.2">
      <c r="B242" s="85" t="s">
        <v>73</v>
      </c>
      <c r="C242" s="86" t="str">
        <f t="shared" si="20"/>
        <v>Desafio 12</v>
      </c>
      <c r="D242" s="87" t="str">
        <f>'⚙️ Configuração'!C45</f>
        <v>Rita Carmo</v>
      </c>
      <c r="E242" s="50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81">
        <f>(E242*'⚙️ Configuração'!$C$6+F242*'⚙️ Configuração'!$C$7+G242*'⚙️ Configuração'!$C$8+H242*'⚙️ Configuração'!$C$9+I242*'⚙️ Configuração'!$C$10+J242*'⚙️ Configuração'!$C$11)*IF(N242="S",2,1)</f>
        <v>0</v>
      </c>
      <c r="L242" s="90" t="s">
        <v>167</v>
      </c>
      <c r="M242" s="82">
        <f>IF(L242="AT1",'⚙️ Configuração'!$C$14,IF(L242="AT2",'⚙️ Configuração'!$C$15,IF(L242="FI",'⚙️ Configuração'!$C$16,IF(L242="FJ",'⚙️ Configuração'!$C$17,0))))</f>
        <v>0</v>
      </c>
      <c r="N242" s="91" t="s">
        <v>167</v>
      </c>
      <c r="O242" s="92"/>
      <c r="P242" s="83">
        <f>IF(O242="1",'⚙️ Configuração'!$C$21,IF(O242="2",'⚙️ Configuração'!$C$22,IF(O242="3",'⚙️ Configuração'!$C$23,IF(O242="Outro",'⚙️ Configuração'!$C$24,0))))</f>
        <v>0</v>
      </c>
      <c r="Q242" s="84">
        <f t="shared" si="17"/>
        <v>0</v>
      </c>
      <c r="R242" s="40" t="str">
        <f t="shared" si="1"/>
        <v>Semana 1 — ver 🔄</v>
      </c>
      <c r="S242" t="str" cm="1">
        <f t="array" ref="S242">IF(D242="","",IFERROR(_xlfn.SWITCH(B242,"Semana 1",IFERROR(INDEX('🔄 Rotação Duplas'!$D$8:$D$17,MATCH(D242,'🔄 Rotação Duplas'!$C$8:$C$17,0)),INDEX('🔄 Rotação Duplas'!$C$8:$C$17,MATCH(D242,'🔄 Rotação Duplas'!$D$8:$D$17,0))),"Semana 2",IFERROR(INDEX('🔄 Rotação Duplas'!$D$22:$D$31,MATCH(D242,'🔄 Rotação Duplas'!$C$22:$C$31,0)),INDEX('🔄 Rotação Duplas'!$C$22:$C$31,MATCH(D242,'🔄 Rotação Duplas'!$D$22:$D$31,0))),"Semana 3",IFERROR(INDEX('🔄 Rotação Duplas'!$D$36:$D$45,MATCH(D242,'🔄 Rotação Duplas'!$C$36:$C$45,0)),INDEX('🔄 Rotação Duplas'!$C$36:$C$45,MATCH(D242,'🔄 Rotação Duplas'!$D$36:$D$45,0))),"Semana 4",IFERROR(INDEX('🔄 Rotação Duplas'!$D$50:$D$59,MATCH(D242,'🔄 Rotação Duplas'!$C$50:$C$59,0)),INDEX('🔄 Rotação Duplas'!$C$50:$C$59,MATCH(D242,'🔄 Rotação Duplas'!$D$50:$D$59,0))),"Semana 5",IFERROR(INDEX('🔄 Rotação Duplas'!$D$64:$D$73,MATCH(D242,'🔄 Rotação Duplas'!$C$64:$C$73,0)),INDEX('🔄 Rotação Duplas'!$C$64:$C$73,MATCH(D242,'🔄 Rotação Duplas'!$D$64:$D$73,0))),"Semana 6",IFERROR(INDEX('🔄 Rotação Duplas'!$D$78:$D$87,MATCH(D242,'🔄 Rotação Duplas'!$C$78:$C$87,0)),INDEX('🔄 Rotação Duplas'!$C$78:$C$87,MATCH(D242,'🔄 Rotação Duplas'!$D$78:$D$87,0))),"Semana 7",IFERROR(INDEX('🔄 Rotação Duplas'!$D$92:$D$101,MATCH(D242,'🔄 Rotação Duplas'!$C$92:$C$101,0)),INDEX('🔄 Rotação Duplas'!$C$92:$C$101,MATCH(D242,'🔄 Rotação Duplas'!$D$92:$D$101,0))),"Semana 8",IFERROR(INDEX('🔄 Rotação Duplas'!$D$106:$D$115,MATCH(D242,'🔄 Rotação Duplas'!$C$106:$C$115,0)),INDEX('🔄 Rotação Duplas'!$C$106:$C$115,MATCH(D242,'🔄 Rotação Duplas'!$D$106:$D$115,0)))),""))</f>
        <v/>
      </c>
      <c r="T242">
        <f t="shared" si="18"/>
        <v>0</v>
      </c>
    </row>
    <row r="243" spans="2:20" ht="18" customHeight="1" x14ac:dyDescent="0.2">
      <c r="B243" s="78" t="s">
        <v>73</v>
      </c>
      <c r="C243" s="79" t="str">
        <f t="shared" si="20"/>
        <v>Desafio 12</v>
      </c>
      <c r="D243" s="80" t="str">
        <f>'⚙️ Configuração'!C46</f>
        <v>William Fernandes</v>
      </c>
      <c r="E243" s="50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81">
        <f>(E243*'⚙️ Configuração'!$C$6+F243*'⚙️ Configuração'!$C$7+G243*'⚙️ Configuração'!$C$8+H243*'⚙️ Configuração'!$C$9+I243*'⚙️ Configuração'!$C$10+J243*'⚙️ Configuração'!$C$11)*IF(N243="S",2,1)</f>
        <v>0</v>
      </c>
      <c r="L243" s="90" t="s">
        <v>167</v>
      </c>
      <c r="M243" s="82">
        <f>IF(L243="AT1",'⚙️ Configuração'!$C$14,IF(L243="AT2",'⚙️ Configuração'!$C$15,IF(L243="FI",'⚙️ Configuração'!$C$16,IF(L243="FJ",'⚙️ Configuração'!$C$17,0))))</f>
        <v>0</v>
      </c>
      <c r="N243" s="91" t="s">
        <v>167</v>
      </c>
      <c r="O243" s="92"/>
      <c r="P243" s="83">
        <f>IF(O243="1",'⚙️ Configuração'!$C$21,IF(O243="2",'⚙️ Configuração'!$C$22,IF(O243="3",'⚙️ Configuração'!$C$23,IF(O243="Outro",'⚙️ Configuração'!$C$24,0))))</f>
        <v>0</v>
      </c>
      <c r="Q243" s="84">
        <f t="shared" si="17"/>
        <v>0</v>
      </c>
      <c r="R243" s="40" t="str">
        <f t="shared" si="1"/>
        <v>Semana 1 — ver 🔄</v>
      </c>
      <c r="S243" t="str" cm="1">
        <f t="array" ref="S243">IF(D243="","",IFERROR(_xlfn.SWITCH(B243,"Semana 1",IFERROR(INDEX('🔄 Rotação Duplas'!$D$8:$D$17,MATCH(D243,'🔄 Rotação Duplas'!$C$8:$C$17,0)),INDEX('🔄 Rotação Duplas'!$C$8:$C$17,MATCH(D243,'🔄 Rotação Duplas'!$D$8:$D$17,0))),"Semana 2",IFERROR(INDEX('🔄 Rotação Duplas'!$D$22:$D$31,MATCH(D243,'🔄 Rotação Duplas'!$C$22:$C$31,0)),INDEX('🔄 Rotação Duplas'!$C$22:$C$31,MATCH(D243,'🔄 Rotação Duplas'!$D$22:$D$31,0))),"Semana 3",IFERROR(INDEX('🔄 Rotação Duplas'!$D$36:$D$45,MATCH(D243,'🔄 Rotação Duplas'!$C$36:$C$45,0)),INDEX('🔄 Rotação Duplas'!$C$36:$C$45,MATCH(D243,'🔄 Rotação Duplas'!$D$36:$D$45,0))),"Semana 4",IFERROR(INDEX('🔄 Rotação Duplas'!$D$50:$D$59,MATCH(D243,'🔄 Rotação Duplas'!$C$50:$C$59,0)),INDEX('🔄 Rotação Duplas'!$C$50:$C$59,MATCH(D243,'🔄 Rotação Duplas'!$D$50:$D$59,0))),"Semana 5",IFERROR(INDEX('🔄 Rotação Duplas'!$D$64:$D$73,MATCH(D243,'🔄 Rotação Duplas'!$C$64:$C$73,0)),INDEX('🔄 Rotação Duplas'!$C$64:$C$73,MATCH(D243,'🔄 Rotação Duplas'!$D$64:$D$73,0))),"Semana 6",IFERROR(INDEX('🔄 Rotação Duplas'!$D$78:$D$87,MATCH(D243,'🔄 Rotação Duplas'!$C$78:$C$87,0)),INDEX('🔄 Rotação Duplas'!$C$78:$C$87,MATCH(D243,'🔄 Rotação Duplas'!$D$78:$D$87,0))),"Semana 7",IFERROR(INDEX('🔄 Rotação Duplas'!$D$92:$D$101,MATCH(D243,'🔄 Rotação Duplas'!$C$92:$C$101,0)),INDEX('🔄 Rotação Duplas'!$C$92:$C$101,MATCH(D243,'🔄 Rotação Duplas'!$D$92:$D$101,0))),"Semana 8",IFERROR(INDEX('🔄 Rotação Duplas'!$D$106:$D$115,MATCH(D243,'🔄 Rotação Duplas'!$C$106:$C$115,0)),INDEX('🔄 Rotação Duplas'!$C$106:$C$115,MATCH(D243,'🔄 Rotação Duplas'!$D$106:$D$115,0)))),""))</f>
        <v/>
      </c>
      <c r="T243">
        <f t="shared" si="18"/>
        <v>0</v>
      </c>
    </row>
    <row r="244" spans="2:20" ht="18" customHeight="1" x14ac:dyDescent="0.2">
      <c r="B244" s="85" t="s">
        <v>73</v>
      </c>
      <c r="C244" s="86" t="str">
        <f t="shared" si="20"/>
        <v>Desafio 12</v>
      </c>
      <c r="D244" s="87" t="str">
        <f>'⚙️ Configuração'!C47</f>
        <v>-</v>
      </c>
      <c r="E244" s="50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81">
        <f>(E244*'⚙️ Configuração'!$C$6+F244*'⚙️ Configuração'!$C$7+G244*'⚙️ Configuração'!$C$8+H244*'⚙️ Configuração'!$C$9+I244*'⚙️ Configuração'!$C$10+J244*'⚙️ Configuração'!$C$11)*IF(N244="S",2,1)</f>
        <v>0</v>
      </c>
      <c r="L244" s="90" t="s">
        <v>167</v>
      </c>
      <c r="M244" s="82">
        <f>IF(L244="AT1",'⚙️ Configuração'!$C$14,IF(L244="AT2",'⚙️ Configuração'!$C$15,IF(L244="FI",'⚙️ Configuração'!$C$16,IF(L244="FJ",'⚙️ Configuração'!$C$17,0))))</f>
        <v>0</v>
      </c>
      <c r="N244" s="91" t="s">
        <v>167</v>
      </c>
      <c r="O244" s="92"/>
      <c r="P244" s="83">
        <f>IF(O244="1",'⚙️ Configuração'!$C$21,IF(O244="2",'⚙️ Configuração'!$C$22,IF(O244="3",'⚙️ Configuração'!$C$23,IF(O244="Outro",'⚙️ Configuração'!$C$24,0))))</f>
        <v>0</v>
      </c>
      <c r="Q244" s="84">
        <f t="shared" si="17"/>
        <v>0</v>
      </c>
      <c r="R244" s="40" t="str">
        <f t="shared" si="1"/>
        <v>Semana 1 — ver 🔄</v>
      </c>
      <c r="S244" t="str" cm="1">
        <f t="array" ref="S244">IF(D244="","",IFERROR(_xlfn.SWITCH(B244,"Semana 1",IFERROR(INDEX('🔄 Rotação Duplas'!$D$8:$D$17,MATCH(D244,'🔄 Rotação Duplas'!$C$8:$C$17,0)),INDEX('🔄 Rotação Duplas'!$C$8:$C$17,MATCH(D244,'🔄 Rotação Duplas'!$D$8:$D$17,0))),"Semana 2",IFERROR(INDEX('🔄 Rotação Duplas'!$D$22:$D$31,MATCH(D244,'🔄 Rotação Duplas'!$C$22:$C$31,0)),INDEX('🔄 Rotação Duplas'!$C$22:$C$31,MATCH(D244,'🔄 Rotação Duplas'!$D$22:$D$31,0))),"Semana 3",IFERROR(INDEX('🔄 Rotação Duplas'!$D$36:$D$45,MATCH(D244,'🔄 Rotação Duplas'!$C$36:$C$45,0)),INDEX('🔄 Rotação Duplas'!$C$36:$C$45,MATCH(D244,'🔄 Rotação Duplas'!$D$36:$D$45,0))),"Semana 4",IFERROR(INDEX('🔄 Rotação Duplas'!$D$50:$D$59,MATCH(D244,'🔄 Rotação Duplas'!$C$50:$C$59,0)),INDEX('🔄 Rotação Duplas'!$C$50:$C$59,MATCH(D244,'🔄 Rotação Duplas'!$D$50:$D$59,0))),"Semana 5",IFERROR(INDEX('🔄 Rotação Duplas'!$D$64:$D$73,MATCH(D244,'🔄 Rotação Duplas'!$C$64:$C$73,0)),INDEX('🔄 Rotação Duplas'!$C$64:$C$73,MATCH(D244,'🔄 Rotação Duplas'!$D$64:$D$73,0))),"Semana 6",IFERROR(INDEX('🔄 Rotação Duplas'!$D$78:$D$87,MATCH(D244,'🔄 Rotação Duplas'!$C$78:$C$87,0)),INDEX('🔄 Rotação Duplas'!$C$78:$C$87,MATCH(D244,'🔄 Rotação Duplas'!$D$78:$D$87,0))),"Semana 7",IFERROR(INDEX('🔄 Rotação Duplas'!$D$92:$D$101,MATCH(D244,'🔄 Rotação Duplas'!$C$92:$C$101,0)),INDEX('🔄 Rotação Duplas'!$C$92:$C$101,MATCH(D244,'🔄 Rotação Duplas'!$D$92:$D$101,0))),"Semana 8",IFERROR(INDEX('🔄 Rotação Duplas'!$D$106:$D$115,MATCH(D244,'🔄 Rotação Duplas'!$C$106:$C$115,0)),INDEX('🔄 Rotação Duplas'!$C$106:$C$115,MATCH(D244,'🔄 Rotação Duplas'!$D$106:$D$115,0)))),""))</f>
        <v/>
      </c>
      <c r="T244">
        <f t="shared" si="18"/>
        <v>0</v>
      </c>
    </row>
    <row r="245" spans="2:20" ht="18" customHeight="1" x14ac:dyDescent="0.2">
      <c r="B245" s="78" t="s">
        <v>73</v>
      </c>
      <c r="C245" s="79" t="str">
        <f t="shared" si="20"/>
        <v>Desafio 12</v>
      </c>
      <c r="D245" s="80" t="str">
        <f>'⚙️ Configuração'!C48</f>
        <v>-</v>
      </c>
      <c r="E245" s="50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81">
        <f>(E245*'⚙️ Configuração'!$C$6+F245*'⚙️ Configuração'!$C$7+G245*'⚙️ Configuração'!$C$8+H245*'⚙️ Configuração'!$C$9+I245*'⚙️ Configuração'!$C$10+J245*'⚙️ Configuração'!$C$11)*IF(N245="S",2,1)</f>
        <v>0</v>
      </c>
      <c r="L245" s="90" t="s">
        <v>167</v>
      </c>
      <c r="M245" s="82">
        <f>IF(L245="AT1",'⚙️ Configuração'!$C$14,IF(L245="AT2",'⚙️ Configuração'!$C$15,IF(L245="FI",'⚙️ Configuração'!$C$16,IF(L245="FJ",'⚙️ Configuração'!$C$17,0))))</f>
        <v>0</v>
      </c>
      <c r="N245" s="91" t="s">
        <v>167</v>
      </c>
      <c r="O245" s="92"/>
      <c r="P245" s="83">
        <f>IF(O245="1",'⚙️ Configuração'!$C$21,IF(O245="2",'⚙️ Configuração'!$C$22,IF(O245="3",'⚙️ Configuração'!$C$23,IF(O245="Outro",'⚙️ Configuração'!$C$24,0))))</f>
        <v>0</v>
      </c>
      <c r="Q245" s="84">
        <f t="shared" si="17"/>
        <v>0</v>
      </c>
      <c r="R245" s="40" t="str">
        <f t="shared" si="1"/>
        <v>Semana 1 — ver 🔄</v>
      </c>
      <c r="S245" t="str" cm="1">
        <f t="array" ref="S245">IF(D245="","",IFERROR(_xlfn.SWITCH(B245,"Semana 1",IFERROR(INDEX('🔄 Rotação Duplas'!$D$8:$D$17,MATCH(D245,'🔄 Rotação Duplas'!$C$8:$C$17,0)),INDEX('🔄 Rotação Duplas'!$C$8:$C$17,MATCH(D245,'🔄 Rotação Duplas'!$D$8:$D$17,0))),"Semana 2",IFERROR(INDEX('🔄 Rotação Duplas'!$D$22:$D$31,MATCH(D245,'🔄 Rotação Duplas'!$C$22:$C$31,0)),INDEX('🔄 Rotação Duplas'!$C$22:$C$31,MATCH(D245,'🔄 Rotação Duplas'!$D$22:$D$31,0))),"Semana 3",IFERROR(INDEX('🔄 Rotação Duplas'!$D$36:$D$45,MATCH(D245,'🔄 Rotação Duplas'!$C$36:$C$45,0)),INDEX('🔄 Rotação Duplas'!$C$36:$C$45,MATCH(D245,'🔄 Rotação Duplas'!$D$36:$D$45,0))),"Semana 4",IFERROR(INDEX('🔄 Rotação Duplas'!$D$50:$D$59,MATCH(D245,'🔄 Rotação Duplas'!$C$50:$C$59,0)),INDEX('🔄 Rotação Duplas'!$C$50:$C$59,MATCH(D245,'🔄 Rotação Duplas'!$D$50:$D$59,0))),"Semana 5",IFERROR(INDEX('🔄 Rotação Duplas'!$D$64:$D$73,MATCH(D245,'🔄 Rotação Duplas'!$C$64:$C$73,0)),INDEX('🔄 Rotação Duplas'!$C$64:$C$73,MATCH(D245,'🔄 Rotação Duplas'!$D$64:$D$73,0))),"Semana 6",IFERROR(INDEX('🔄 Rotação Duplas'!$D$78:$D$87,MATCH(D245,'🔄 Rotação Duplas'!$C$78:$C$87,0)),INDEX('🔄 Rotação Duplas'!$C$78:$C$87,MATCH(D245,'🔄 Rotação Duplas'!$D$78:$D$87,0))),"Semana 7",IFERROR(INDEX('🔄 Rotação Duplas'!$D$92:$D$101,MATCH(D245,'🔄 Rotação Duplas'!$C$92:$C$101,0)),INDEX('🔄 Rotação Duplas'!$C$92:$C$101,MATCH(D245,'🔄 Rotação Duplas'!$D$92:$D$101,0))),"Semana 8",IFERROR(INDEX('🔄 Rotação Duplas'!$D$106:$D$115,MATCH(D245,'🔄 Rotação Duplas'!$C$106:$C$115,0)),INDEX('🔄 Rotação Duplas'!$C$106:$C$115,MATCH(D245,'🔄 Rotação Duplas'!$D$106:$D$115,0)))),""))</f>
        <v/>
      </c>
      <c r="T245">
        <f t="shared" si="18"/>
        <v>0</v>
      </c>
    </row>
    <row r="246" spans="2:20" ht="18" customHeight="1" x14ac:dyDescent="0.2">
      <c r="B246" s="85" t="s">
        <v>73</v>
      </c>
      <c r="C246" s="86" t="str">
        <f t="shared" si="20"/>
        <v>Desafio 12</v>
      </c>
      <c r="D246" s="87" t="str">
        <f>'⚙️ Configuração'!C49</f>
        <v>-</v>
      </c>
      <c r="E246" s="50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81">
        <f>(E246*'⚙️ Configuração'!$C$6+F246*'⚙️ Configuração'!$C$7+G246*'⚙️ Configuração'!$C$8+H246*'⚙️ Configuração'!$C$9+I246*'⚙️ Configuração'!$C$10+J246*'⚙️ Configuração'!$C$11)*IF(N246="S",2,1)</f>
        <v>0</v>
      </c>
      <c r="L246" s="90" t="s">
        <v>167</v>
      </c>
      <c r="M246" s="82">
        <f>IF(L246="AT1",'⚙️ Configuração'!$C$14,IF(L246="AT2",'⚙️ Configuração'!$C$15,IF(L246="FI",'⚙️ Configuração'!$C$16,IF(L246="FJ",'⚙️ Configuração'!$C$17,0))))</f>
        <v>0</v>
      </c>
      <c r="N246" s="91" t="s">
        <v>167</v>
      </c>
      <c r="O246" s="92"/>
      <c r="P246" s="83">
        <f>IF(O246="1",'⚙️ Configuração'!$C$21,IF(O246="2",'⚙️ Configuração'!$C$22,IF(O246="3",'⚙️ Configuração'!$C$23,IF(O246="Outro",'⚙️ Configuração'!$C$24,0))))</f>
        <v>0</v>
      </c>
      <c r="Q246" s="84">
        <f t="shared" si="17"/>
        <v>0</v>
      </c>
      <c r="R246" s="40" t="str">
        <f t="shared" si="1"/>
        <v>Semana 1 — ver 🔄</v>
      </c>
      <c r="S246" t="str" cm="1">
        <f t="array" ref="S246">IF(D246="","",IFERROR(_xlfn.SWITCH(B246,"Semana 1",IFERROR(INDEX('🔄 Rotação Duplas'!$D$8:$D$17,MATCH(D246,'🔄 Rotação Duplas'!$C$8:$C$17,0)),INDEX('🔄 Rotação Duplas'!$C$8:$C$17,MATCH(D246,'🔄 Rotação Duplas'!$D$8:$D$17,0))),"Semana 2",IFERROR(INDEX('🔄 Rotação Duplas'!$D$22:$D$31,MATCH(D246,'🔄 Rotação Duplas'!$C$22:$C$31,0)),INDEX('🔄 Rotação Duplas'!$C$22:$C$31,MATCH(D246,'🔄 Rotação Duplas'!$D$22:$D$31,0))),"Semana 3",IFERROR(INDEX('🔄 Rotação Duplas'!$D$36:$D$45,MATCH(D246,'🔄 Rotação Duplas'!$C$36:$C$45,0)),INDEX('🔄 Rotação Duplas'!$C$36:$C$45,MATCH(D246,'🔄 Rotação Duplas'!$D$36:$D$45,0))),"Semana 4",IFERROR(INDEX('🔄 Rotação Duplas'!$D$50:$D$59,MATCH(D246,'🔄 Rotação Duplas'!$C$50:$C$59,0)),INDEX('🔄 Rotação Duplas'!$C$50:$C$59,MATCH(D246,'🔄 Rotação Duplas'!$D$50:$D$59,0))),"Semana 5",IFERROR(INDEX('🔄 Rotação Duplas'!$D$64:$D$73,MATCH(D246,'🔄 Rotação Duplas'!$C$64:$C$73,0)),INDEX('🔄 Rotação Duplas'!$C$64:$C$73,MATCH(D246,'🔄 Rotação Duplas'!$D$64:$D$73,0))),"Semana 6",IFERROR(INDEX('🔄 Rotação Duplas'!$D$78:$D$87,MATCH(D246,'🔄 Rotação Duplas'!$C$78:$C$87,0)),INDEX('🔄 Rotação Duplas'!$C$78:$C$87,MATCH(D246,'🔄 Rotação Duplas'!$D$78:$D$87,0))),"Semana 7",IFERROR(INDEX('🔄 Rotação Duplas'!$D$92:$D$101,MATCH(D246,'🔄 Rotação Duplas'!$C$92:$C$101,0)),INDEX('🔄 Rotação Duplas'!$C$92:$C$101,MATCH(D246,'🔄 Rotação Duplas'!$D$92:$D$101,0))),"Semana 8",IFERROR(INDEX('🔄 Rotação Duplas'!$D$106:$D$115,MATCH(D246,'🔄 Rotação Duplas'!$C$106:$C$115,0)),INDEX('🔄 Rotação Duplas'!$C$106:$C$115,MATCH(D246,'🔄 Rotação Duplas'!$D$106:$D$115,0)))),""))</f>
        <v/>
      </c>
      <c r="T246">
        <f t="shared" si="18"/>
        <v>0</v>
      </c>
    </row>
    <row r="247" spans="2:20" ht="18" customHeight="1" x14ac:dyDescent="0.2">
      <c r="B247" s="78" t="s">
        <v>87</v>
      </c>
      <c r="C247" s="79" t="str">
        <f t="shared" ref="C247:C266" si="21">"Desafio 13"</f>
        <v>Desafio 13</v>
      </c>
      <c r="D247" s="80" t="str">
        <f>'⚙️ Configuração'!C30</f>
        <v>Carla Cantante</v>
      </c>
      <c r="E247" s="50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81">
        <f>(E247*'⚙️ Configuração'!$C$6+F247*'⚙️ Configuração'!$C$7+G247*'⚙️ Configuração'!$C$8+H247*'⚙️ Configuração'!$C$9+I247*'⚙️ Configuração'!$C$10+J247*'⚙️ Configuração'!$C$11)*IF(N247="S",2,1)</f>
        <v>0</v>
      </c>
      <c r="L247" s="90" t="s">
        <v>167</v>
      </c>
      <c r="M247" s="82">
        <f>IF(L247="AT1",'⚙️ Configuração'!$C$14,IF(L247="AT2",'⚙️ Configuração'!$C$15,IF(L247="FI",'⚙️ Configuração'!$C$16,IF(L247="FJ",'⚙️ Configuração'!$C$17,0))))</f>
        <v>0</v>
      </c>
      <c r="N247" s="91" t="s">
        <v>167</v>
      </c>
      <c r="O247" s="92"/>
      <c r="P247" s="83">
        <f>IF(O247="1",'⚙️ Configuração'!$C$21,IF(O247="2",'⚙️ Configuração'!$C$22,IF(O247="3",'⚙️ Configuração'!$C$23,IF(O247="Outro",'⚙️ Configuração'!$C$24,0))))</f>
        <v>0</v>
      </c>
      <c r="Q247" s="84">
        <f t="shared" si="17"/>
        <v>0</v>
      </c>
      <c r="R247" s="40" t="str">
        <f t="shared" si="1"/>
        <v>Semana 1 — ver 🔄</v>
      </c>
      <c r="S247" t="str" cm="1">
        <f t="array" ref="S247">IF(D247="","",IFERROR(_xlfn.SWITCH(B247,"Semana 1",IFERROR(INDEX('🔄 Rotação Duplas'!$D$8:$D$17,MATCH(D247,'🔄 Rotação Duplas'!$C$8:$C$17,0)),INDEX('🔄 Rotação Duplas'!$C$8:$C$17,MATCH(D247,'🔄 Rotação Duplas'!$D$8:$D$17,0))),"Semana 2",IFERROR(INDEX('🔄 Rotação Duplas'!$D$22:$D$31,MATCH(D247,'🔄 Rotação Duplas'!$C$22:$C$31,0)),INDEX('🔄 Rotação Duplas'!$C$22:$C$31,MATCH(D247,'🔄 Rotação Duplas'!$D$22:$D$31,0))),"Semana 3",IFERROR(INDEX('🔄 Rotação Duplas'!$D$36:$D$45,MATCH(D247,'🔄 Rotação Duplas'!$C$36:$C$45,0)),INDEX('🔄 Rotação Duplas'!$C$36:$C$45,MATCH(D247,'🔄 Rotação Duplas'!$D$36:$D$45,0))),"Semana 4",IFERROR(INDEX('🔄 Rotação Duplas'!$D$50:$D$59,MATCH(D247,'🔄 Rotação Duplas'!$C$50:$C$59,0)),INDEX('🔄 Rotação Duplas'!$C$50:$C$59,MATCH(D247,'🔄 Rotação Duplas'!$D$50:$D$59,0))),"Semana 5",IFERROR(INDEX('🔄 Rotação Duplas'!$D$64:$D$73,MATCH(D247,'🔄 Rotação Duplas'!$C$64:$C$73,0)),INDEX('🔄 Rotação Duplas'!$C$64:$C$73,MATCH(D247,'🔄 Rotação Duplas'!$D$64:$D$73,0))),"Semana 6",IFERROR(INDEX('🔄 Rotação Duplas'!$D$78:$D$87,MATCH(D247,'🔄 Rotação Duplas'!$C$78:$C$87,0)),INDEX('🔄 Rotação Duplas'!$C$78:$C$87,MATCH(D247,'🔄 Rotação Duplas'!$D$78:$D$87,0))),"Semana 7",IFERROR(INDEX('🔄 Rotação Duplas'!$D$92:$D$101,MATCH(D247,'🔄 Rotação Duplas'!$C$92:$C$101,0)),INDEX('🔄 Rotação Duplas'!$C$92:$C$101,MATCH(D247,'🔄 Rotação Duplas'!$D$92:$D$101,0))),"Semana 8",IFERROR(INDEX('🔄 Rotação Duplas'!$D$106:$D$115,MATCH(D247,'🔄 Rotação Duplas'!$C$106:$C$115,0)),INDEX('🔄 Rotação Duplas'!$C$106:$C$115,MATCH(D247,'🔄 Rotação Duplas'!$D$106:$D$115,0)))),""))</f>
        <v/>
      </c>
      <c r="T247">
        <f t="shared" si="18"/>
        <v>0</v>
      </c>
    </row>
    <row r="248" spans="2:20" ht="18" customHeight="1" x14ac:dyDescent="0.2">
      <c r="B248" s="85" t="s">
        <v>87</v>
      </c>
      <c r="C248" s="86" t="str">
        <f t="shared" si="21"/>
        <v>Desafio 13</v>
      </c>
      <c r="D248" s="87" t="str">
        <f>'⚙️ Configuração'!C31</f>
        <v>Elisabete Mendes</v>
      </c>
      <c r="E248" s="50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81">
        <f>(E248*'⚙️ Configuração'!$C$6+F248*'⚙️ Configuração'!$C$7+G248*'⚙️ Configuração'!$C$8+H248*'⚙️ Configuração'!$C$9+I248*'⚙️ Configuração'!$C$10+J248*'⚙️ Configuração'!$C$11)*IF(N248="S",2,1)</f>
        <v>0</v>
      </c>
      <c r="L248" s="90" t="s">
        <v>167</v>
      </c>
      <c r="M248" s="82">
        <f>IF(L248="AT1",'⚙️ Configuração'!$C$14,IF(L248="AT2",'⚙️ Configuração'!$C$15,IF(L248="FI",'⚙️ Configuração'!$C$16,IF(L248="FJ",'⚙️ Configuração'!$C$17,0))))</f>
        <v>0</v>
      </c>
      <c r="N248" s="91" t="s">
        <v>167</v>
      </c>
      <c r="O248" s="92"/>
      <c r="P248" s="83">
        <f>IF(O248="1",'⚙️ Configuração'!$C$21,IF(O248="2",'⚙️ Configuração'!$C$22,IF(O248="3",'⚙️ Configuração'!$C$23,IF(O248="Outro",'⚙️ Configuração'!$C$24,0))))</f>
        <v>0</v>
      </c>
      <c r="Q248" s="84">
        <f t="shared" si="17"/>
        <v>0</v>
      </c>
      <c r="R248" s="40" t="str">
        <f t="shared" si="1"/>
        <v>Semana 1 — ver 🔄</v>
      </c>
      <c r="S248" t="str" cm="1">
        <f t="array" ref="S248">IF(D248="","",IFERROR(_xlfn.SWITCH(B248,"Semana 1",IFERROR(INDEX('🔄 Rotação Duplas'!$D$8:$D$17,MATCH(D248,'🔄 Rotação Duplas'!$C$8:$C$17,0)),INDEX('🔄 Rotação Duplas'!$C$8:$C$17,MATCH(D248,'🔄 Rotação Duplas'!$D$8:$D$17,0))),"Semana 2",IFERROR(INDEX('🔄 Rotação Duplas'!$D$22:$D$31,MATCH(D248,'🔄 Rotação Duplas'!$C$22:$C$31,0)),INDEX('🔄 Rotação Duplas'!$C$22:$C$31,MATCH(D248,'🔄 Rotação Duplas'!$D$22:$D$31,0))),"Semana 3",IFERROR(INDEX('🔄 Rotação Duplas'!$D$36:$D$45,MATCH(D248,'🔄 Rotação Duplas'!$C$36:$C$45,0)),INDEX('🔄 Rotação Duplas'!$C$36:$C$45,MATCH(D248,'🔄 Rotação Duplas'!$D$36:$D$45,0))),"Semana 4",IFERROR(INDEX('🔄 Rotação Duplas'!$D$50:$D$59,MATCH(D248,'🔄 Rotação Duplas'!$C$50:$C$59,0)),INDEX('🔄 Rotação Duplas'!$C$50:$C$59,MATCH(D248,'🔄 Rotação Duplas'!$D$50:$D$59,0))),"Semana 5",IFERROR(INDEX('🔄 Rotação Duplas'!$D$64:$D$73,MATCH(D248,'🔄 Rotação Duplas'!$C$64:$C$73,0)),INDEX('🔄 Rotação Duplas'!$C$64:$C$73,MATCH(D248,'🔄 Rotação Duplas'!$D$64:$D$73,0))),"Semana 6",IFERROR(INDEX('🔄 Rotação Duplas'!$D$78:$D$87,MATCH(D248,'🔄 Rotação Duplas'!$C$78:$C$87,0)),INDEX('🔄 Rotação Duplas'!$C$78:$C$87,MATCH(D248,'🔄 Rotação Duplas'!$D$78:$D$87,0))),"Semana 7",IFERROR(INDEX('🔄 Rotação Duplas'!$D$92:$D$101,MATCH(D248,'🔄 Rotação Duplas'!$C$92:$C$101,0)),INDEX('🔄 Rotação Duplas'!$C$92:$C$101,MATCH(D248,'🔄 Rotação Duplas'!$D$92:$D$101,0))),"Semana 8",IFERROR(INDEX('🔄 Rotação Duplas'!$D$106:$D$115,MATCH(D248,'🔄 Rotação Duplas'!$C$106:$C$115,0)),INDEX('🔄 Rotação Duplas'!$C$106:$C$115,MATCH(D248,'🔄 Rotação Duplas'!$D$106:$D$115,0)))),""))</f>
        <v/>
      </c>
      <c r="T248">
        <f t="shared" si="18"/>
        <v>0</v>
      </c>
    </row>
    <row r="249" spans="2:20" ht="18" customHeight="1" x14ac:dyDescent="0.2">
      <c r="B249" s="78" t="s">
        <v>87</v>
      </c>
      <c r="C249" s="79" t="str">
        <f t="shared" si="21"/>
        <v>Desafio 13</v>
      </c>
      <c r="D249" s="80" t="str">
        <f>'⚙️ Configuração'!C32</f>
        <v>Filipa Cunha</v>
      </c>
      <c r="E249" s="50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81">
        <f>(E249*'⚙️ Configuração'!$C$6+F249*'⚙️ Configuração'!$C$7+G249*'⚙️ Configuração'!$C$8+H249*'⚙️ Configuração'!$C$9+I249*'⚙️ Configuração'!$C$10+J249*'⚙️ Configuração'!$C$11)*IF(N249="S",2,1)</f>
        <v>0</v>
      </c>
      <c r="L249" s="90" t="s">
        <v>167</v>
      </c>
      <c r="M249" s="82">
        <f>IF(L249="AT1",'⚙️ Configuração'!$C$14,IF(L249="AT2",'⚙️ Configuração'!$C$15,IF(L249="FI",'⚙️ Configuração'!$C$16,IF(L249="FJ",'⚙️ Configuração'!$C$17,0))))</f>
        <v>0</v>
      </c>
      <c r="N249" s="91" t="s">
        <v>167</v>
      </c>
      <c r="O249" s="92"/>
      <c r="P249" s="83">
        <f>IF(O249="1",'⚙️ Configuração'!$C$21,IF(O249="2",'⚙️ Configuração'!$C$22,IF(O249="3",'⚙️ Configuração'!$C$23,IF(O249="Outro",'⚙️ Configuração'!$C$24,0))))</f>
        <v>0</v>
      </c>
      <c r="Q249" s="84">
        <f t="shared" si="17"/>
        <v>0</v>
      </c>
      <c r="R249" s="40" t="str">
        <f t="shared" si="1"/>
        <v>Semana 1 — ver 🔄</v>
      </c>
      <c r="S249" t="str" cm="1">
        <f t="array" ref="S249">IF(D249="","",IFERROR(_xlfn.SWITCH(B249,"Semana 1",IFERROR(INDEX('🔄 Rotação Duplas'!$D$8:$D$17,MATCH(D249,'🔄 Rotação Duplas'!$C$8:$C$17,0)),INDEX('🔄 Rotação Duplas'!$C$8:$C$17,MATCH(D249,'🔄 Rotação Duplas'!$D$8:$D$17,0))),"Semana 2",IFERROR(INDEX('🔄 Rotação Duplas'!$D$22:$D$31,MATCH(D249,'🔄 Rotação Duplas'!$C$22:$C$31,0)),INDEX('🔄 Rotação Duplas'!$C$22:$C$31,MATCH(D249,'🔄 Rotação Duplas'!$D$22:$D$31,0))),"Semana 3",IFERROR(INDEX('🔄 Rotação Duplas'!$D$36:$D$45,MATCH(D249,'🔄 Rotação Duplas'!$C$36:$C$45,0)),INDEX('🔄 Rotação Duplas'!$C$36:$C$45,MATCH(D249,'🔄 Rotação Duplas'!$D$36:$D$45,0))),"Semana 4",IFERROR(INDEX('🔄 Rotação Duplas'!$D$50:$D$59,MATCH(D249,'🔄 Rotação Duplas'!$C$50:$C$59,0)),INDEX('🔄 Rotação Duplas'!$C$50:$C$59,MATCH(D249,'🔄 Rotação Duplas'!$D$50:$D$59,0))),"Semana 5",IFERROR(INDEX('🔄 Rotação Duplas'!$D$64:$D$73,MATCH(D249,'🔄 Rotação Duplas'!$C$64:$C$73,0)),INDEX('🔄 Rotação Duplas'!$C$64:$C$73,MATCH(D249,'🔄 Rotação Duplas'!$D$64:$D$73,0))),"Semana 6",IFERROR(INDEX('🔄 Rotação Duplas'!$D$78:$D$87,MATCH(D249,'🔄 Rotação Duplas'!$C$78:$C$87,0)),INDEX('🔄 Rotação Duplas'!$C$78:$C$87,MATCH(D249,'🔄 Rotação Duplas'!$D$78:$D$87,0))),"Semana 7",IFERROR(INDEX('🔄 Rotação Duplas'!$D$92:$D$101,MATCH(D249,'🔄 Rotação Duplas'!$C$92:$C$101,0)),INDEX('🔄 Rotação Duplas'!$C$92:$C$101,MATCH(D249,'🔄 Rotação Duplas'!$D$92:$D$101,0))),"Semana 8",IFERROR(INDEX('🔄 Rotação Duplas'!$D$106:$D$115,MATCH(D249,'🔄 Rotação Duplas'!$C$106:$C$115,0)),INDEX('🔄 Rotação Duplas'!$C$106:$C$115,MATCH(D249,'🔄 Rotação Duplas'!$D$106:$D$115,0)))),""))</f>
        <v/>
      </c>
      <c r="T249">
        <f t="shared" si="18"/>
        <v>0</v>
      </c>
    </row>
    <row r="250" spans="2:20" ht="18" customHeight="1" x14ac:dyDescent="0.2">
      <c r="B250" s="85" t="s">
        <v>87</v>
      </c>
      <c r="C250" s="86" t="str">
        <f t="shared" si="21"/>
        <v>Desafio 13</v>
      </c>
      <c r="D250" s="87" t="str">
        <f>'⚙️ Configuração'!C33</f>
        <v>Helena Rocha</v>
      </c>
      <c r="E250" s="50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81">
        <f>(E250*'⚙️ Configuração'!$C$6+F250*'⚙️ Configuração'!$C$7+G250*'⚙️ Configuração'!$C$8+H250*'⚙️ Configuração'!$C$9+I250*'⚙️ Configuração'!$C$10+J250*'⚙️ Configuração'!$C$11)*IF(N250="S",2,1)</f>
        <v>0</v>
      </c>
      <c r="L250" s="90" t="s">
        <v>167</v>
      </c>
      <c r="M250" s="82">
        <f>IF(L250="AT1",'⚙️ Configuração'!$C$14,IF(L250="AT2",'⚙️ Configuração'!$C$15,IF(L250="FI",'⚙️ Configuração'!$C$16,IF(L250="FJ",'⚙️ Configuração'!$C$17,0))))</f>
        <v>0</v>
      </c>
      <c r="N250" s="91" t="s">
        <v>167</v>
      </c>
      <c r="O250" s="92"/>
      <c r="P250" s="83">
        <f>IF(O250="1",'⚙️ Configuração'!$C$21,IF(O250="2",'⚙️ Configuração'!$C$22,IF(O250="3",'⚙️ Configuração'!$C$23,IF(O250="Outro",'⚙️ Configuração'!$C$24,0))))</f>
        <v>0</v>
      </c>
      <c r="Q250" s="84">
        <f t="shared" si="17"/>
        <v>0</v>
      </c>
      <c r="R250" s="40" t="str">
        <f t="shared" si="1"/>
        <v>Semana 1 — ver 🔄</v>
      </c>
      <c r="S250" t="str" cm="1">
        <f t="array" ref="S250">IF(D250="","",IFERROR(_xlfn.SWITCH(B250,"Semana 1",IFERROR(INDEX('🔄 Rotação Duplas'!$D$8:$D$17,MATCH(D250,'🔄 Rotação Duplas'!$C$8:$C$17,0)),INDEX('🔄 Rotação Duplas'!$C$8:$C$17,MATCH(D250,'🔄 Rotação Duplas'!$D$8:$D$17,0))),"Semana 2",IFERROR(INDEX('🔄 Rotação Duplas'!$D$22:$D$31,MATCH(D250,'🔄 Rotação Duplas'!$C$22:$C$31,0)),INDEX('🔄 Rotação Duplas'!$C$22:$C$31,MATCH(D250,'🔄 Rotação Duplas'!$D$22:$D$31,0))),"Semana 3",IFERROR(INDEX('🔄 Rotação Duplas'!$D$36:$D$45,MATCH(D250,'🔄 Rotação Duplas'!$C$36:$C$45,0)),INDEX('🔄 Rotação Duplas'!$C$36:$C$45,MATCH(D250,'🔄 Rotação Duplas'!$D$36:$D$45,0))),"Semana 4",IFERROR(INDEX('🔄 Rotação Duplas'!$D$50:$D$59,MATCH(D250,'🔄 Rotação Duplas'!$C$50:$C$59,0)),INDEX('🔄 Rotação Duplas'!$C$50:$C$59,MATCH(D250,'🔄 Rotação Duplas'!$D$50:$D$59,0))),"Semana 5",IFERROR(INDEX('🔄 Rotação Duplas'!$D$64:$D$73,MATCH(D250,'🔄 Rotação Duplas'!$C$64:$C$73,0)),INDEX('🔄 Rotação Duplas'!$C$64:$C$73,MATCH(D250,'🔄 Rotação Duplas'!$D$64:$D$73,0))),"Semana 6",IFERROR(INDEX('🔄 Rotação Duplas'!$D$78:$D$87,MATCH(D250,'🔄 Rotação Duplas'!$C$78:$C$87,0)),INDEX('🔄 Rotação Duplas'!$C$78:$C$87,MATCH(D250,'🔄 Rotação Duplas'!$D$78:$D$87,0))),"Semana 7",IFERROR(INDEX('🔄 Rotação Duplas'!$D$92:$D$101,MATCH(D250,'🔄 Rotação Duplas'!$C$92:$C$101,0)),INDEX('🔄 Rotação Duplas'!$C$92:$C$101,MATCH(D250,'🔄 Rotação Duplas'!$D$92:$D$101,0))),"Semana 8",IFERROR(INDEX('🔄 Rotação Duplas'!$D$106:$D$115,MATCH(D250,'🔄 Rotação Duplas'!$C$106:$C$115,0)),INDEX('🔄 Rotação Duplas'!$C$106:$C$115,MATCH(D250,'🔄 Rotação Duplas'!$D$106:$D$115,0)))),""))</f>
        <v/>
      </c>
      <c r="T250">
        <f t="shared" si="18"/>
        <v>0</v>
      </c>
    </row>
    <row r="251" spans="2:20" ht="18" customHeight="1" x14ac:dyDescent="0.2">
      <c r="B251" s="78" t="s">
        <v>87</v>
      </c>
      <c r="C251" s="79" t="str">
        <f t="shared" si="21"/>
        <v>Desafio 13</v>
      </c>
      <c r="D251" s="80" t="str">
        <f>'⚙️ Configuração'!C34</f>
        <v>João Xavier</v>
      </c>
      <c r="E251" s="50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81">
        <f>(E251*'⚙️ Configuração'!$C$6+F251*'⚙️ Configuração'!$C$7+G251*'⚙️ Configuração'!$C$8+H251*'⚙️ Configuração'!$C$9+I251*'⚙️ Configuração'!$C$10+J251*'⚙️ Configuração'!$C$11)*IF(N251="S",2,1)</f>
        <v>0</v>
      </c>
      <c r="L251" s="90" t="s">
        <v>167</v>
      </c>
      <c r="M251" s="82">
        <f>IF(L251="AT1",'⚙️ Configuração'!$C$14,IF(L251="AT2",'⚙️ Configuração'!$C$15,IF(L251="FI",'⚙️ Configuração'!$C$16,IF(L251="FJ",'⚙️ Configuração'!$C$17,0))))</f>
        <v>0</v>
      </c>
      <c r="N251" s="91" t="s">
        <v>167</v>
      </c>
      <c r="O251" s="92"/>
      <c r="P251" s="83">
        <f>IF(O251="1",'⚙️ Configuração'!$C$21,IF(O251="2",'⚙️ Configuração'!$C$22,IF(O251="3",'⚙️ Configuração'!$C$23,IF(O251="Outro",'⚙️ Configuração'!$C$24,0))))</f>
        <v>0</v>
      </c>
      <c r="Q251" s="84">
        <f t="shared" si="17"/>
        <v>0</v>
      </c>
      <c r="R251" s="40" t="str">
        <f t="shared" si="1"/>
        <v>Semana 1 — ver 🔄</v>
      </c>
      <c r="S251" t="str" cm="1">
        <f t="array" ref="S251">IF(D251="","",IFERROR(_xlfn.SWITCH(B251,"Semana 1",IFERROR(INDEX('🔄 Rotação Duplas'!$D$8:$D$17,MATCH(D251,'🔄 Rotação Duplas'!$C$8:$C$17,0)),INDEX('🔄 Rotação Duplas'!$C$8:$C$17,MATCH(D251,'🔄 Rotação Duplas'!$D$8:$D$17,0))),"Semana 2",IFERROR(INDEX('🔄 Rotação Duplas'!$D$22:$D$31,MATCH(D251,'🔄 Rotação Duplas'!$C$22:$C$31,0)),INDEX('🔄 Rotação Duplas'!$C$22:$C$31,MATCH(D251,'🔄 Rotação Duplas'!$D$22:$D$31,0))),"Semana 3",IFERROR(INDEX('🔄 Rotação Duplas'!$D$36:$D$45,MATCH(D251,'🔄 Rotação Duplas'!$C$36:$C$45,0)),INDEX('🔄 Rotação Duplas'!$C$36:$C$45,MATCH(D251,'🔄 Rotação Duplas'!$D$36:$D$45,0))),"Semana 4",IFERROR(INDEX('🔄 Rotação Duplas'!$D$50:$D$59,MATCH(D251,'🔄 Rotação Duplas'!$C$50:$C$59,0)),INDEX('🔄 Rotação Duplas'!$C$50:$C$59,MATCH(D251,'🔄 Rotação Duplas'!$D$50:$D$59,0))),"Semana 5",IFERROR(INDEX('🔄 Rotação Duplas'!$D$64:$D$73,MATCH(D251,'🔄 Rotação Duplas'!$C$64:$C$73,0)),INDEX('🔄 Rotação Duplas'!$C$64:$C$73,MATCH(D251,'🔄 Rotação Duplas'!$D$64:$D$73,0))),"Semana 6",IFERROR(INDEX('🔄 Rotação Duplas'!$D$78:$D$87,MATCH(D251,'🔄 Rotação Duplas'!$C$78:$C$87,0)),INDEX('🔄 Rotação Duplas'!$C$78:$C$87,MATCH(D251,'🔄 Rotação Duplas'!$D$78:$D$87,0))),"Semana 7",IFERROR(INDEX('🔄 Rotação Duplas'!$D$92:$D$101,MATCH(D251,'🔄 Rotação Duplas'!$C$92:$C$101,0)),INDEX('🔄 Rotação Duplas'!$C$92:$C$101,MATCH(D251,'🔄 Rotação Duplas'!$D$92:$D$101,0))),"Semana 8",IFERROR(INDEX('🔄 Rotação Duplas'!$D$106:$D$115,MATCH(D251,'🔄 Rotação Duplas'!$C$106:$C$115,0)),INDEX('🔄 Rotação Duplas'!$C$106:$C$115,MATCH(D251,'🔄 Rotação Duplas'!$D$106:$D$115,0)))),""))</f>
        <v/>
      </c>
      <c r="T251">
        <f t="shared" si="18"/>
        <v>0</v>
      </c>
    </row>
    <row r="252" spans="2:20" ht="18" customHeight="1" x14ac:dyDescent="0.2">
      <c r="B252" s="85" t="s">
        <v>87</v>
      </c>
      <c r="C252" s="86" t="str">
        <f t="shared" si="21"/>
        <v>Desafio 13</v>
      </c>
      <c r="D252" s="87" t="str">
        <f>'⚙️ Configuração'!C35</f>
        <v>Tomás Carlos</v>
      </c>
      <c r="E252" s="50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81">
        <f>(E252*'⚙️ Configuração'!$C$6+F252*'⚙️ Configuração'!$C$7+G252*'⚙️ Configuração'!$C$8+H252*'⚙️ Configuração'!$C$9+I252*'⚙️ Configuração'!$C$10+J252*'⚙️ Configuração'!$C$11)*IF(N252="S",2,1)</f>
        <v>0</v>
      </c>
      <c r="L252" s="90" t="s">
        <v>167</v>
      </c>
      <c r="M252" s="82">
        <f>IF(L252="AT1",'⚙️ Configuração'!$C$14,IF(L252="AT2",'⚙️ Configuração'!$C$15,IF(L252="FI",'⚙️ Configuração'!$C$16,IF(L252="FJ",'⚙️ Configuração'!$C$17,0))))</f>
        <v>0</v>
      </c>
      <c r="N252" s="91" t="s">
        <v>167</v>
      </c>
      <c r="O252" s="92"/>
      <c r="P252" s="83">
        <f>IF(O252="1",'⚙️ Configuração'!$C$21,IF(O252="2",'⚙️ Configuração'!$C$22,IF(O252="3",'⚙️ Configuração'!$C$23,IF(O252="Outro",'⚙️ Configuração'!$C$24,0))))</f>
        <v>0</v>
      </c>
      <c r="Q252" s="84">
        <f t="shared" si="17"/>
        <v>0</v>
      </c>
      <c r="R252" s="40" t="str">
        <f t="shared" si="1"/>
        <v>Semana 1 — ver 🔄</v>
      </c>
      <c r="S252" t="str" cm="1">
        <f t="array" ref="S252">IF(D252="","",IFERROR(_xlfn.SWITCH(B252,"Semana 1",IFERROR(INDEX('🔄 Rotação Duplas'!$D$8:$D$17,MATCH(D252,'🔄 Rotação Duplas'!$C$8:$C$17,0)),INDEX('🔄 Rotação Duplas'!$C$8:$C$17,MATCH(D252,'🔄 Rotação Duplas'!$D$8:$D$17,0))),"Semana 2",IFERROR(INDEX('🔄 Rotação Duplas'!$D$22:$D$31,MATCH(D252,'🔄 Rotação Duplas'!$C$22:$C$31,0)),INDEX('🔄 Rotação Duplas'!$C$22:$C$31,MATCH(D252,'🔄 Rotação Duplas'!$D$22:$D$31,0))),"Semana 3",IFERROR(INDEX('🔄 Rotação Duplas'!$D$36:$D$45,MATCH(D252,'🔄 Rotação Duplas'!$C$36:$C$45,0)),INDEX('🔄 Rotação Duplas'!$C$36:$C$45,MATCH(D252,'🔄 Rotação Duplas'!$D$36:$D$45,0))),"Semana 4",IFERROR(INDEX('🔄 Rotação Duplas'!$D$50:$D$59,MATCH(D252,'🔄 Rotação Duplas'!$C$50:$C$59,0)),INDEX('🔄 Rotação Duplas'!$C$50:$C$59,MATCH(D252,'🔄 Rotação Duplas'!$D$50:$D$59,0))),"Semana 5",IFERROR(INDEX('🔄 Rotação Duplas'!$D$64:$D$73,MATCH(D252,'🔄 Rotação Duplas'!$C$64:$C$73,0)),INDEX('🔄 Rotação Duplas'!$C$64:$C$73,MATCH(D252,'🔄 Rotação Duplas'!$D$64:$D$73,0))),"Semana 6",IFERROR(INDEX('🔄 Rotação Duplas'!$D$78:$D$87,MATCH(D252,'🔄 Rotação Duplas'!$C$78:$C$87,0)),INDEX('🔄 Rotação Duplas'!$C$78:$C$87,MATCH(D252,'🔄 Rotação Duplas'!$D$78:$D$87,0))),"Semana 7",IFERROR(INDEX('🔄 Rotação Duplas'!$D$92:$D$101,MATCH(D252,'🔄 Rotação Duplas'!$C$92:$C$101,0)),INDEX('🔄 Rotação Duplas'!$C$92:$C$101,MATCH(D252,'🔄 Rotação Duplas'!$D$92:$D$101,0))),"Semana 8",IFERROR(INDEX('🔄 Rotação Duplas'!$D$106:$D$115,MATCH(D252,'🔄 Rotação Duplas'!$C$106:$C$115,0)),INDEX('🔄 Rotação Duplas'!$C$106:$C$115,MATCH(D252,'🔄 Rotação Duplas'!$D$106:$D$115,0)))),""))</f>
        <v/>
      </c>
      <c r="T252">
        <f t="shared" si="18"/>
        <v>0</v>
      </c>
    </row>
    <row r="253" spans="2:20" ht="18" customHeight="1" x14ac:dyDescent="0.2">
      <c r="B253" s="78" t="s">
        <v>87</v>
      </c>
      <c r="C253" s="79" t="str">
        <f t="shared" si="21"/>
        <v>Desafio 13</v>
      </c>
      <c r="D253" s="80" t="str">
        <f>'⚙️ Configuração'!C36</f>
        <v>Alexandra Correia</v>
      </c>
      <c r="E253" s="50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81">
        <f>(E253*'⚙️ Configuração'!$C$6+F253*'⚙️ Configuração'!$C$7+G253*'⚙️ Configuração'!$C$8+H253*'⚙️ Configuração'!$C$9+I253*'⚙️ Configuração'!$C$10+J253*'⚙️ Configuração'!$C$11)*IF(N253="S",2,1)</f>
        <v>0</v>
      </c>
      <c r="L253" s="90" t="s">
        <v>167</v>
      </c>
      <c r="M253" s="82">
        <f>IF(L253="AT1",'⚙️ Configuração'!$C$14,IF(L253="AT2",'⚙️ Configuração'!$C$15,IF(L253="FI",'⚙️ Configuração'!$C$16,IF(L253="FJ",'⚙️ Configuração'!$C$17,0))))</f>
        <v>0</v>
      </c>
      <c r="N253" s="91" t="s">
        <v>167</v>
      </c>
      <c r="O253" s="92"/>
      <c r="P253" s="83">
        <f>IF(O253="1",'⚙️ Configuração'!$C$21,IF(O253="2",'⚙️ Configuração'!$C$22,IF(O253="3",'⚙️ Configuração'!$C$23,IF(O253="Outro",'⚙️ Configuração'!$C$24,0))))</f>
        <v>0</v>
      </c>
      <c r="Q253" s="84">
        <f t="shared" si="17"/>
        <v>0</v>
      </c>
      <c r="R253" s="40" t="str">
        <f t="shared" si="1"/>
        <v>Semana 1 — ver 🔄</v>
      </c>
      <c r="S253" t="str" cm="1">
        <f t="array" ref="S253">IF(D253="","",IFERROR(_xlfn.SWITCH(B253,"Semana 1",IFERROR(INDEX('🔄 Rotação Duplas'!$D$8:$D$17,MATCH(D253,'🔄 Rotação Duplas'!$C$8:$C$17,0)),INDEX('🔄 Rotação Duplas'!$C$8:$C$17,MATCH(D253,'🔄 Rotação Duplas'!$D$8:$D$17,0))),"Semana 2",IFERROR(INDEX('🔄 Rotação Duplas'!$D$22:$D$31,MATCH(D253,'🔄 Rotação Duplas'!$C$22:$C$31,0)),INDEX('🔄 Rotação Duplas'!$C$22:$C$31,MATCH(D253,'🔄 Rotação Duplas'!$D$22:$D$31,0))),"Semana 3",IFERROR(INDEX('🔄 Rotação Duplas'!$D$36:$D$45,MATCH(D253,'🔄 Rotação Duplas'!$C$36:$C$45,0)),INDEX('🔄 Rotação Duplas'!$C$36:$C$45,MATCH(D253,'🔄 Rotação Duplas'!$D$36:$D$45,0))),"Semana 4",IFERROR(INDEX('🔄 Rotação Duplas'!$D$50:$D$59,MATCH(D253,'🔄 Rotação Duplas'!$C$50:$C$59,0)),INDEX('🔄 Rotação Duplas'!$C$50:$C$59,MATCH(D253,'🔄 Rotação Duplas'!$D$50:$D$59,0))),"Semana 5",IFERROR(INDEX('🔄 Rotação Duplas'!$D$64:$D$73,MATCH(D253,'🔄 Rotação Duplas'!$C$64:$C$73,0)),INDEX('🔄 Rotação Duplas'!$C$64:$C$73,MATCH(D253,'🔄 Rotação Duplas'!$D$64:$D$73,0))),"Semana 6",IFERROR(INDEX('🔄 Rotação Duplas'!$D$78:$D$87,MATCH(D253,'🔄 Rotação Duplas'!$C$78:$C$87,0)),INDEX('🔄 Rotação Duplas'!$C$78:$C$87,MATCH(D253,'🔄 Rotação Duplas'!$D$78:$D$87,0))),"Semana 7",IFERROR(INDEX('🔄 Rotação Duplas'!$D$92:$D$101,MATCH(D253,'🔄 Rotação Duplas'!$C$92:$C$101,0)),INDEX('🔄 Rotação Duplas'!$C$92:$C$101,MATCH(D253,'🔄 Rotação Duplas'!$D$92:$D$101,0))),"Semana 8",IFERROR(INDEX('🔄 Rotação Duplas'!$D$106:$D$115,MATCH(D253,'🔄 Rotação Duplas'!$C$106:$C$115,0)),INDEX('🔄 Rotação Duplas'!$C$106:$C$115,MATCH(D253,'🔄 Rotação Duplas'!$D$106:$D$115,0)))),""))</f>
        <v/>
      </c>
      <c r="T253">
        <f t="shared" si="18"/>
        <v>0</v>
      </c>
    </row>
    <row r="254" spans="2:20" ht="18" customHeight="1" x14ac:dyDescent="0.2">
      <c r="B254" s="85" t="s">
        <v>87</v>
      </c>
      <c r="C254" s="86" t="str">
        <f t="shared" si="21"/>
        <v>Desafio 13</v>
      </c>
      <c r="D254" s="87" t="str">
        <f>'⚙️ Configuração'!C37</f>
        <v>Carla Barata</v>
      </c>
      <c r="E254" s="50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81">
        <f>(E254*'⚙️ Configuração'!$C$6+F254*'⚙️ Configuração'!$C$7+G254*'⚙️ Configuração'!$C$8+H254*'⚙️ Configuração'!$C$9+I254*'⚙️ Configuração'!$C$10+J254*'⚙️ Configuração'!$C$11)*IF(N254="S",2,1)</f>
        <v>0</v>
      </c>
      <c r="L254" s="90" t="s">
        <v>167</v>
      </c>
      <c r="M254" s="82">
        <f>IF(L254="AT1",'⚙️ Configuração'!$C$14,IF(L254="AT2",'⚙️ Configuração'!$C$15,IF(L254="FI",'⚙️ Configuração'!$C$16,IF(L254="FJ",'⚙️ Configuração'!$C$17,0))))</f>
        <v>0</v>
      </c>
      <c r="N254" s="91" t="s">
        <v>167</v>
      </c>
      <c r="O254" s="92"/>
      <c r="P254" s="83">
        <f>IF(O254="1",'⚙️ Configuração'!$C$21,IF(O254="2",'⚙️ Configuração'!$C$22,IF(O254="3",'⚙️ Configuração'!$C$23,IF(O254="Outro",'⚙️ Configuração'!$C$24,0))))</f>
        <v>0</v>
      </c>
      <c r="Q254" s="84">
        <f t="shared" si="17"/>
        <v>0</v>
      </c>
      <c r="R254" s="40" t="str">
        <f t="shared" si="1"/>
        <v>Semana 1 — ver 🔄</v>
      </c>
      <c r="S254" t="str" cm="1">
        <f t="array" ref="S254">IF(D254="","",IFERROR(_xlfn.SWITCH(B254,"Semana 1",IFERROR(INDEX('🔄 Rotação Duplas'!$D$8:$D$17,MATCH(D254,'🔄 Rotação Duplas'!$C$8:$C$17,0)),INDEX('🔄 Rotação Duplas'!$C$8:$C$17,MATCH(D254,'🔄 Rotação Duplas'!$D$8:$D$17,0))),"Semana 2",IFERROR(INDEX('🔄 Rotação Duplas'!$D$22:$D$31,MATCH(D254,'🔄 Rotação Duplas'!$C$22:$C$31,0)),INDEX('🔄 Rotação Duplas'!$C$22:$C$31,MATCH(D254,'🔄 Rotação Duplas'!$D$22:$D$31,0))),"Semana 3",IFERROR(INDEX('🔄 Rotação Duplas'!$D$36:$D$45,MATCH(D254,'🔄 Rotação Duplas'!$C$36:$C$45,0)),INDEX('🔄 Rotação Duplas'!$C$36:$C$45,MATCH(D254,'🔄 Rotação Duplas'!$D$36:$D$45,0))),"Semana 4",IFERROR(INDEX('🔄 Rotação Duplas'!$D$50:$D$59,MATCH(D254,'🔄 Rotação Duplas'!$C$50:$C$59,0)),INDEX('🔄 Rotação Duplas'!$C$50:$C$59,MATCH(D254,'🔄 Rotação Duplas'!$D$50:$D$59,0))),"Semana 5",IFERROR(INDEX('🔄 Rotação Duplas'!$D$64:$D$73,MATCH(D254,'🔄 Rotação Duplas'!$C$64:$C$73,0)),INDEX('🔄 Rotação Duplas'!$C$64:$C$73,MATCH(D254,'🔄 Rotação Duplas'!$D$64:$D$73,0))),"Semana 6",IFERROR(INDEX('🔄 Rotação Duplas'!$D$78:$D$87,MATCH(D254,'🔄 Rotação Duplas'!$C$78:$C$87,0)),INDEX('🔄 Rotação Duplas'!$C$78:$C$87,MATCH(D254,'🔄 Rotação Duplas'!$D$78:$D$87,0))),"Semana 7",IFERROR(INDEX('🔄 Rotação Duplas'!$D$92:$D$101,MATCH(D254,'🔄 Rotação Duplas'!$C$92:$C$101,0)),INDEX('🔄 Rotação Duplas'!$C$92:$C$101,MATCH(D254,'🔄 Rotação Duplas'!$D$92:$D$101,0))),"Semana 8",IFERROR(INDEX('🔄 Rotação Duplas'!$D$106:$D$115,MATCH(D254,'🔄 Rotação Duplas'!$C$106:$C$115,0)),INDEX('🔄 Rotação Duplas'!$C$106:$C$115,MATCH(D254,'🔄 Rotação Duplas'!$D$106:$D$115,0)))),""))</f>
        <v/>
      </c>
      <c r="T254">
        <f t="shared" si="18"/>
        <v>0</v>
      </c>
    </row>
    <row r="255" spans="2:20" ht="18" customHeight="1" x14ac:dyDescent="0.2">
      <c r="B255" s="78" t="s">
        <v>87</v>
      </c>
      <c r="C255" s="79" t="str">
        <f t="shared" si="21"/>
        <v>Desafio 13</v>
      </c>
      <c r="D255" s="80" t="str">
        <f>'⚙️ Configuração'!C38</f>
        <v>Denise Filipe</v>
      </c>
      <c r="E255" s="50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81">
        <f>(E255*'⚙️ Configuração'!$C$6+F255*'⚙️ Configuração'!$C$7+G255*'⚙️ Configuração'!$C$8+H255*'⚙️ Configuração'!$C$9+I255*'⚙️ Configuração'!$C$10+J255*'⚙️ Configuração'!$C$11)*IF(N255="S",2,1)</f>
        <v>0</v>
      </c>
      <c r="L255" s="90" t="s">
        <v>167</v>
      </c>
      <c r="M255" s="82">
        <f>IF(L255="AT1",'⚙️ Configuração'!$C$14,IF(L255="AT2",'⚙️ Configuração'!$C$15,IF(L255="FI",'⚙️ Configuração'!$C$16,IF(L255="FJ",'⚙️ Configuração'!$C$17,0))))</f>
        <v>0</v>
      </c>
      <c r="N255" s="91" t="s">
        <v>167</v>
      </c>
      <c r="O255" s="92"/>
      <c r="P255" s="83">
        <f>IF(O255="1",'⚙️ Configuração'!$C$21,IF(O255="2",'⚙️ Configuração'!$C$22,IF(O255="3",'⚙️ Configuração'!$C$23,IF(O255="Outro",'⚙️ Configuração'!$C$24,0))))</f>
        <v>0</v>
      </c>
      <c r="Q255" s="84">
        <f t="shared" si="17"/>
        <v>0</v>
      </c>
      <c r="R255" s="40" t="str">
        <f t="shared" si="1"/>
        <v>Semana 1 — ver 🔄</v>
      </c>
      <c r="S255" t="str" cm="1">
        <f t="array" ref="S255">IF(D255="","",IFERROR(_xlfn.SWITCH(B255,"Semana 1",IFERROR(INDEX('🔄 Rotação Duplas'!$D$8:$D$17,MATCH(D255,'🔄 Rotação Duplas'!$C$8:$C$17,0)),INDEX('🔄 Rotação Duplas'!$C$8:$C$17,MATCH(D255,'🔄 Rotação Duplas'!$D$8:$D$17,0))),"Semana 2",IFERROR(INDEX('🔄 Rotação Duplas'!$D$22:$D$31,MATCH(D255,'🔄 Rotação Duplas'!$C$22:$C$31,0)),INDEX('🔄 Rotação Duplas'!$C$22:$C$31,MATCH(D255,'🔄 Rotação Duplas'!$D$22:$D$31,0))),"Semana 3",IFERROR(INDEX('🔄 Rotação Duplas'!$D$36:$D$45,MATCH(D255,'🔄 Rotação Duplas'!$C$36:$C$45,0)),INDEX('🔄 Rotação Duplas'!$C$36:$C$45,MATCH(D255,'🔄 Rotação Duplas'!$D$36:$D$45,0))),"Semana 4",IFERROR(INDEX('🔄 Rotação Duplas'!$D$50:$D$59,MATCH(D255,'🔄 Rotação Duplas'!$C$50:$C$59,0)),INDEX('🔄 Rotação Duplas'!$C$50:$C$59,MATCH(D255,'🔄 Rotação Duplas'!$D$50:$D$59,0))),"Semana 5",IFERROR(INDEX('🔄 Rotação Duplas'!$D$64:$D$73,MATCH(D255,'🔄 Rotação Duplas'!$C$64:$C$73,0)),INDEX('🔄 Rotação Duplas'!$C$64:$C$73,MATCH(D255,'🔄 Rotação Duplas'!$D$64:$D$73,0))),"Semana 6",IFERROR(INDEX('🔄 Rotação Duplas'!$D$78:$D$87,MATCH(D255,'🔄 Rotação Duplas'!$C$78:$C$87,0)),INDEX('🔄 Rotação Duplas'!$C$78:$C$87,MATCH(D255,'🔄 Rotação Duplas'!$D$78:$D$87,0))),"Semana 7",IFERROR(INDEX('🔄 Rotação Duplas'!$D$92:$D$101,MATCH(D255,'🔄 Rotação Duplas'!$C$92:$C$101,0)),INDEX('🔄 Rotação Duplas'!$C$92:$C$101,MATCH(D255,'🔄 Rotação Duplas'!$D$92:$D$101,0))),"Semana 8",IFERROR(INDEX('🔄 Rotação Duplas'!$D$106:$D$115,MATCH(D255,'🔄 Rotação Duplas'!$C$106:$C$115,0)),INDEX('🔄 Rotação Duplas'!$C$106:$C$115,MATCH(D255,'🔄 Rotação Duplas'!$D$106:$D$115,0)))),""))</f>
        <v/>
      </c>
      <c r="T255">
        <f t="shared" si="18"/>
        <v>0</v>
      </c>
    </row>
    <row r="256" spans="2:20" ht="18" customHeight="1" x14ac:dyDescent="0.2">
      <c r="B256" s="85" t="s">
        <v>87</v>
      </c>
      <c r="C256" s="86" t="str">
        <f t="shared" si="21"/>
        <v>Desafio 13</v>
      </c>
      <c r="D256" s="87" t="str">
        <f>'⚙️ Configuração'!C39</f>
        <v>Fátima Rodriguez</v>
      </c>
      <c r="E256" s="50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81">
        <f>(E256*'⚙️ Configuração'!$C$6+F256*'⚙️ Configuração'!$C$7+G256*'⚙️ Configuração'!$C$8+H256*'⚙️ Configuração'!$C$9+I256*'⚙️ Configuração'!$C$10+J256*'⚙️ Configuração'!$C$11)*IF(N256="S",2,1)</f>
        <v>0</v>
      </c>
      <c r="L256" s="90" t="s">
        <v>167</v>
      </c>
      <c r="M256" s="82">
        <f>IF(L256="AT1",'⚙️ Configuração'!$C$14,IF(L256="AT2",'⚙️ Configuração'!$C$15,IF(L256="FI",'⚙️ Configuração'!$C$16,IF(L256="FJ",'⚙️ Configuração'!$C$17,0))))</f>
        <v>0</v>
      </c>
      <c r="N256" s="91" t="s">
        <v>167</v>
      </c>
      <c r="O256" s="92"/>
      <c r="P256" s="83">
        <f>IF(O256="1",'⚙️ Configuração'!$C$21,IF(O256="2",'⚙️ Configuração'!$C$22,IF(O256="3",'⚙️ Configuração'!$C$23,IF(O256="Outro",'⚙️ Configuração'!$C$24,0))))</f>
        <v>0</v>
      </c>
      <c r="Q256" s="84">
        <f t="shared" si="17"/>
        <v>0</v>
      </c>
      <c r="R256" s="40" t="str">
        <f t="shared" si="1"/>
        <v>Semana 1 — ver 🔄</v>
      </c>
      <c r="S256" t="str" cm="1">
        <f t="array" ref="S256">IF(D256="","",IFERROR(_xlfn.SWITCH(B256,"Semana 1",IFERROR(INDEX('🔄 Rotação Duplas'!$D$8:$D$17,MATCH(D256,'🔄 Rotação Duplas'!$C$8:$C$17,0)),INDEX('🔄 Rotação Duplas'!$C$8:$C$17,MATCH(D256,'🔄 Rotação Duplas'!$D$8:$D$17,0))),"Semana 2",IFERROR(INDEX('🔄 Rotação Duplas'!$D$22:$D$31,MATCH(D256,'🔄 Rotação Duplas'!$C$22:$C$31,0)),INDEX('🔄 Rotação Duplas'!$C$22:$C$31,MATCH(D256,'🔄 Rotação Duplas'!$D$22:$D$31,0))),"Semana 3",IFERROR(INDEX('🔄 Rotação Duplas'!$D$36:$D$45,MATCH(D256,'🔄 Rotação Duplas'!$C$36:$C$45,0)),INDEX('🔄 Rotação Duplas'!$C$36:$C$45,MATCH(D256,'🔄 Rotação Duplas'!$D$36:$D$45,0))),"Semana 4",IFERROR(INDEX('🔄 Rotação Duplas'!$D$50:$D$59,MATCH(D256,'🔄 Rotação Duplas'!$C$50:$C$59,0)),INDEX('🔄 Rotação Duplas'!$C$50:$C$59,MATCH(D256,'🔄 Rotação Duplas'!$D$50:$D$59,0))),"Semana 5",IFERROR(INDEX('🔄 Rotação Duplas'!$D$64:$D$73,MATCH(D256,'🔄 Rotação Duplas'!$C$64:$C$73,0)),INDEX('🔄 Rotação Duplas'!$C$64:$C$73,MATCH(D256,'🔄 Rotação Duplas'!$D$64:$D$73,0))),"Semana 6",IFERROR(INDEX('🔄 Rotação Duplas'!$D$78:$D$87,MATCH(D256,'🔄 Rotação Duplas'!$C$78:$C$87,0)),INDEX('🔄 Rotação Duplas'!$C$78:$C$87,MATCH(D256,'🔄 Rotação Duplas'!$D$78:$D$87,0))),"Semana 7",IFERROR(INDEX('🔄 Rotação Duplas'!$D$92:$D$101,MATCH(D256,'🔄 Rotação Duplas'!$C$92:$C$101,0)),INDEX('🔄 Rotação Duplas'!$C$92:$C$101,MATCH(D256,'🔄 Rotação Duplas'!$D$92:$D$101,0))),"Semana 8",IFERROR(INDEX('🔄 Rotação Duplas'!$D$106:$D$115,MATCH(D256,'🔄 Rotação Duplas'!$C$106:$C$115,0)),INDEX('🔄 Rotação Duplas'!$C$106:$C$115,MATCH(D256,'🔄 Rotação Duplas'!$D$106:$D$115,0)))),""))</f>
        <v/>
      </c>
      <c r="T256">
        <f t="shared" si="18"/>
        <v>0</v>
      </c>
    </row>
    <row r="257" spans="2:20" ht="18" customHeight="1" x14ac:dyDescent="0.2">
      <c r="B257" s="78" t="s">
        <v>87</v>
      </c>
      <c r="C257" s="79" t="str">
        <f t="shared" si="21"/>
        <v>Desafio 13</v>
      </c>
      <c r="D257" s="80" t="str">
        <f>'⚙️ Configuração'!C40</f>
        <v>Maria João Travassos</v>
      </c>
      <c r="E257" s="50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81">
        <f>(E257*'⚙️ Configuração'!$C$6+F257*'⚙️ Configuração'!$C$7+G257*'⚙️ Configuração'!$C$8+H257*'⚙️ Configuração'!$C$9+I257*'⚙️ Configuração'!$C$10+J257*'⚙️ Configuração'!$C$11)*IF(N257="S",2,1)</f>
        <v>0</v>
      </c>
      <c r="L257" s="90" t="s">
        <v>167</v>
      </c>
      <c r="M257" s="82">
        <f>IF(L257="AT1",'⚙️ Configuração'!$C$14,IF(L257="AT2",'⚙️ Configuração'!$C$15,IF(L257="FI",'⚙️ Configuração'!$C$16,IF(L257="FJ",'⚙️ Configuração'!$C$17,0))))</f>
        <v>0</v>
      </c>
      <c r="N257" s="91" t="s">
        <v>167</v>
      </c>
      <c r="O257" s="92"/>
      <c r="P257" s="83">
        <f>IF(O257="1",'⚙️ Configuração'!$C$21,IF(O257="2",'⚙️ Configuração'!$C$22,IF(O257="3",'⚙️ Configuração'!$C$23,IF(O257="Outro",'⚙️ Configuração'!$C$24,0))))</f>
        <v>0</v>
      </c>
      <c r="Q257" s="84">
        <f t="shared" si="17"/>
        <v>0</v>
      </c>
      <c r="R257" s="40" t="str">
        <f t="shared" si="1"/>
        <v>Semana 1 — ver 🔄</v>
      </c>
      <c r="S257" t="str" cm="1">
        <f t="array" ref="S257">IF(D257="","",IFERROR(_xlfn.SWITCH(B257,"Semana 1",IFERROR(INDEX('🔄 Rotação Duplas'!$D$8:$D$17,MATCH(D257,'🔄 Rotação Duplas'!$C$8:$C$17,0)),INDEX('🔄 Rotação Duplas'!$C$8:$C$17,MATCH(D257,'🔄 Rotação Duplas'!$D$8:$D$17,0))),"Semana 2",IFERROR(INDEX('🔄 Rotação Duplas'!$D$22:$D$31,MATCH(D257,'🔄 Rotação Duplas'!$C$22:$C$31,0)),INDEX('🔄 Rotação Duplas'!$C$22:$C$31,MATCH(D257,'🔄 Rotação Duplas'!$D$22:$D$31,0))),"Semana 3",IFERROR(INDEX('🔄 Rotação Duplas'!$D$36:$D$45,MATCH(D257,'🔄 Rotação Duplas'!$C$36:$C$45,0)),INDEX('🔄 Rotação Duplas'!$C$36:$C$45,MATCH(D257,'🔄 Rotação Duplas'!$D$36:$D$45,0))),"Semana 4",IFERROR(INDEX('🔄 Rotação Duplas'!$D$50:$D$59,MATCH(D257,'🔄 Rotação Duplas'!$C$50:$C$59,0)),INDEX('🔄 Rotação Duplas'!$C$50:$C$59,MATCH(D257,'🔄 Rotação Duplas'!$D$50:$D$59,0))),"Semana 5",IFERROR(INDEX('🔄 Rotação Duplas'!$D$64:$D$73,MATCH(D257,'🔄 Rotação Duplas'!$C$64:$C$73,0)),INDEX('🔄 Rotação Duplas'!$C$64:$C$73,MATCH(D257,'🔄 Rotação Duplas'!$D$64:$D$73,0))),"Semana 6",IFERROR(INDEX('🔄 Rotação Duplas'!$D$78:$D$87,MATCH(D257,'🔄 Rotação Duplas'!$C$78:$C$87,0)),INDEX('🔄 Rotação Duplas'!$C$78:$C$87,MATCH(D257,'🔄 Rotação Duplas'!$D$78:$D$87,0))),"Semana 7",IFERROR(INDEX('🔄 Rotação Duplas'!$D$92:$D$101,MATCH(D257,'🔄 Rotação Duplas'!$C$92:$C$101,0)),INDEX('🔄 Rotação Duplas'!$C$92:$C$101,MATCH(D257,'🔄 Rotação Duplas'!$D$92:$D$101,0))),"Semana 8",IFERROR(INDEX('🔄 Rotação Duplas'!$D$106:$D$115,MATCH(D257,'🔄 Rotação Duplas'!$C$106:$C$115,0)),INDEX('🔄 Rotação Duplas'!$C$106:$C$115,MATCH(D257,'🔄 Rotação Duplas'!$D$106:$D$115,0)))),""))</f>
        <v/>
      </c>
      <c r="T257">
        <f t="shared" si="18"/>
        <v>0</v>
      </c>
    </row>
    <row r="258" spans="2:20" ht="18" customHeight="1" x14ac:dyDescent="0.2">
      <c r="B258" s="85" t="s">
        <v>87</v>
      </c>
      <c r="C258" s="86" t="str">
        <f t="shared" si="21"/>
        <v>Desafio 13</v>
      </c>
      <c r="D258" s="87" t="str">
        <f>'⚙️ Configuração'!C41</f>
        <v>Marta Torres</v>
      </c>
      <c r="E258" s="50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81">
        <f>(E258*'⚙️ Configuração'!$C$6+F258*'⚙️ Configuração'!$C$7+G258*'⚙️ Configuração'!$C$8+H258*'⚙️ Configuração'!$C$9+I258*'⚙️ Configuração'!$C$10+J258*'⚙️ Configuração'!$C$11)*IF(N258="S",2,1)</f>
        <v>0</v>
      </c>
      <c r="L258" s="90" t="s">
        <v>167</v>
      </c>
      <c r="M258" s="82">
        <f>IF(L258="AT1",'⚙️ Configuração'!$C$14,IF(L258="AT2",'⚙️ Configuração'!$C$15,IF(L258="FI",'⚙️ Configuração'!$C$16,IF(L258="FJ",'⚙️ Configuração'!$C$17,0))))</f>
        <v>0</v>
      </c>
      <c r="N258" s="91" t="s">
        <v>167</v>
      </c>
      <c r="O258" s="92"/>
      <c r="P258" s="83">
        <f>IF(O258="1",'⚙️ Configuração'!$C$21,IF(O258="2",'⚙️ Configuração'!$C$22,IF(O258="3",'⚙️ Configuração'!$C$23,IF(O258="Outro",'⚙️ Configuração'!$C$24,0))))</f>
        <v>0</v>
      </c>
      <c r="Q258" s="84">
        <f t="shared" si="17"/>
        <v>0</v>
      </c>
      <c r="R258" s="40" t="str">
        <f t="shared" si="1"/>
        <v>Semana 1 — ver 🔄</v>
      </c>
      <c r="S258" t="str" cm="1">
        <f t="array" ref="S258">IF(D258="","",IFERROR(_xlfn.SWITCH(B258,"Semana 1",IFERROR(INDEX('🔄 Rotação Duplas'!$D$8:$D$17,MATCH(D258,'🔄 Rotação Duplas'!$C$8:$C$17,0)),INDEX('🔄 Rotação Duplas'!$C$8:$C$17,MATCH(D258,'🔄 Rotação Duplas'!$D$8:$D$17,0))),"Semana 2",IFERROR(INDEX('🔄 Rotação Duplas'!$D$22:$D$31,MATCH(D258,'🔄 Rotação Duplas'!$C$22:$C$31,0)),INDEX('🔄 Rotação Duplas'!$C$22:$C$31,MATCH(D258,'🔄 Rotação Duplas'!$D$22:$D$31,0))),"Semana 3",IFERROR(INDEX('🔄 Rotação Duplas'!$D$36:$D$45,MATCH(D258,'🔄 Rotação Duplas'!$C$36:$C$45,0)),INDEX('🔄 Rotação Duplas'!$C$36:$C$45,MATCH(D258,'🔄 Rotação Duplas'!$D$36:$D$45,0))),"Semana 4",IFERROR(INDEX('🔄 Rotação Duplas'!$D$50:$D$59,MATCH(D258,'🔄 Rotação Duplas'!$C$50:$C$59,0)),INDEX('🔄 Rotação Duplas'!$C$50:$C$59,MATCH(D258,'🔄 Rotação Duplas'!$D$50:$D$59,0))),"Semana 5",IFERROR(INDEX('🔄 Rotação Duplas'!$D$64:$D$73,MATCH(D258,'🔄 Rotação Duplas'!$C$64:$C$73,0)),INDEX('🔄 Rotação Duplas'!$C$64:$C$73,MATCH(D258,'🔄 Rotação Duplas'!$D$64:$D$73,0))),"Semana 6",IFERROR(INDEX('🔄 Rotação Duplas'!$D$78:$D$87,MATCH(D258,'🔄 Rotação Duplas'!$C$78:$C$87,0)),INDEX('🔄 Rotação Duplas'!$C$78:$C$87,MATCH(D258,'🔄 Rotação Duplas'!$D$78:$D$87,0))),"Semana 7",IFERROR(INDEX('🔄 Rotação Duplas'!$D$92:$D$101,MATCH(D258,'🔄 Rotação Duplas'!$C$92:$C$101,0)),INDEX('🔄 Rotação Duplas'!$C$92:$C$101,MATCH(D258,'🔄 Rotação Duplas'!$D$92:$D$101,0))),"Semana 8",IFERROR(INDEX('🔄 Rotação Duplas'!$D$106:$D$115,MATCH(D258,'🔄 Rotação Duplas'!$C$106:$C$115,0)),INDEX('🔄 Rotação Duplas'!$C$106:$C$115,MATCH(D258,'🔄 Rotação Duplas'!$D$106:$D$115,0)))),""))</f>
        <v/>
      </c>
      <c r="T258">
        <f t="shared" si="18"/>
        <v>0</v>
      </c>
    </row>
    <row r="259" spans="2:20" ht="18" customHeight="1" x14ac:dyDescent="0.2">
      <c r="B259" s="78" t="s">
        <v>87</v>
      </c>
      <c r="C259" s="79" t="str">
        <f t="shared" si="21"/>
        <v>Desafio 13</v>
      </c>
      <c r="D259" s="80" t="str">
        <f>'⚙️ Configuração'!C42</f>
        <v>Patricia Isabel Silva</v>
      </c>
      <c r="E259" s="50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81">
        <f>(E259*'⚙️ Configuração'!$C$6+F259*'⚙️ Configuração'!$C$7+G259*'⚙️ Configuração'!$C$8+H259*'⚙️ Configuração'!$C$9+I259*'⚙️ Configuração'!$C$10+J259*'⚙️ Configuração'!$C$11)*IF(N259="S",2,1)</f>
        <v>0</v>
      </c>
      <c r="L259" s="90" t="s">
        <v>167</v>
      </c>
      <c r="M259" s="82">
        <f>IF(L259="AT1",'⚙️ Configuração'!$C$14,IF(L259="AT2",'⚙️ Configuração'!$C$15,IF(L259="FI",'⚙️ Configuração'!$C$16,IF(L259="FJ",'⚙️ Configuração'!$C$17,0))))</f>
        <v>0</v>
      </c>
      <c r="N259" s="91" t="s">
        <v>167</v>
      </c>
      <c r="O259" s="92"/>
      <c r="P259" s="83">
        <f>IF(O259="1",'⚙️ Configuração'!$C$21,IF(O259="2",'⚙️ Configuração'!$C$22,IF(O259="3",'⚙️ Configuração'!$C$23,IF(O259="Outro",'⚙️ Configuração'!$C$24,0))))</f>
        <v>0</v>
      </c>
      <c r="Q259" s="84">
        <f t="shared" si="17"/>
        <v>0</v>
      </c>
      <c r="R259" s="40" t="str">
        <f t="shared" si="1"/>
        <v>Semana 1 — ver 🔄</v>
      </c>
      <c r="S259" t="str" cm="1">
        <f t="array" ref="S259">IF(D259="","",IFERROR(_xlfn.SWITCH(B259,"Semana 1",IFERROR(INDEX('🔄 Rotação Duplas'!$D$8:$D$17,MATCH(D259,'🔄 Rotação Duplas'!$C$8:$C$17,0)),INDEX('🔄 Rotação Duplas'!$C$8:$C$17,MATCH(D259,'🔄 Rotação Duplas'!$D$8:$D$17,0))),"Semana 2",IFERROR(INDEX('🔄 Rotação Duplas'!$D$22:$D$31,MATCH(D259,'🔄 Rotação Duplas'!$C$22:$C$31,0)),INDEX('🔄 Rotação Duplas'!$C$22:$C$31,MATCH(D259,'🔄 Rotação Duplas'!$D$22:$D$31,0))),"Semana 3",IFERROR(INDEX('🔄 Rotação Duplas'!$D$36:$D$45,MATCH(D259,'🔄 Rotação Duplas'!$C$36:$C$45,0)),INDEX('🔄 Rotação Duplas'!$C$36:$C$45,MATCH(D259,'🔄 Rotação Duplas'!$D$36:$D$45,0))),"Semana 4",IFERROR(INDEX('🔄 Rotação Duplas'!$D$50:$D$59,MATCH(D259,'🔄 Rotação Duplas'!$C$50:$C$59,0)),INDEX('🔄 Rotação Duplas'!$C$50:$C$59,MATCH(D259,'🔄 Rotação Duplas'!$D$50:$D$59,0))),"Semana 5",IFERROR(INDEX('🔄 Rotação Duplas'!$D$64:$D$73,MATCH(D259,'🔄 Rotação Duplas'!$C$64:$C$73,0)),INDEX('🔄 Rotação Duplas'!$C$64:$C$73,MATCH(D259,'🔄 Rotação Duplas'!$D$64:$D$73,0))),"Semana 6",IFERROR(INDEX('🔄 Rotação Duplas'!$D$78:$D$87,MATCH(D259,'🔄 Rotação Duplas'!$C$78:$C$87,0)),INDEX('🔄 Rotação Duplas'!$C$78:$C$87,MATCH(D259,'🔄 Rotação Duplas'!$D$78:$D$87,0))),"Semana 7",IFERROR(INDEX('🔄 Rotação Duplas'!$D$92:$D$101,MATCH(D259,'🔄 Rotação Duplas'!$C$92:$C$101,0)),INDEX('🔄 Rotação Duplas'!$C$92:$C$101,MATCH(D259,'🔄 Rotação Duplas'!$D$92:$D$101,0))),"Semana 8",IFERROR(INDEX('🔄 Rotação Duplas'!$D$106:$D$115,MATCH(D259,'🔄 Rotação Duplas'!$C$106:$C$115,0)),INDEX('🔄 Rotação Duplas'!$C$106:$C$115,MATCH(D259,'🔄 Rotação Duplas'!$D$106:$D$115,0)))),""))</f>
        <v/>
      </c>
      <c r="T259">
        <f t="shared" si="18"/>
        <v>0</v>
      </c>
    </row>
    <row r="260" spans="2:20" ht="18" customHeight="1" x14ac:dyDescent="0.2">
      <c r="B260" s="85" t="s">
        <v>87</v>
      </c>
      <c r="C260" s="86" t="str">
        <f t="shared" si="21"/>
        <v>Desafio 13</v>
      </c>
      <c r="D260" s="87" t="str">
        <f>'⚙️ Configuração'!C43</f>
        <v>Paula Martins</v>
      </c>
      <c r="E260" s="50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81">
        <f>(E260*'⚙️ Configuração'!$C$6+F260*'⚙️ Configuração'!$C$7+G260*'⚙️ Configuração'!$C$8+H260*'⚙️ Configuração'!$C$9+I260*'⚙️ Configuração'!$C$10+J260*'⚙️ Configuração'!$C$11)*IF(N260="S",2,1)</f>
        <v>0</v>
      </c>
      <c r="L260" s="90" t="s">
        <v>167</v>
      </c>
      <c r="M260" s="82">
        <f>IF(L260="AT1",'⚙️ Configuração'!$C$14,IF(L260="AT2",'⚙️ Configuração'!$C$15,IF(L260="FI",'⚙️ Configuração'!$C$16,IF(L260="FJ",'⚙️ Configuração'!$C$17,0))))</f>
        <v>0</v>
      </c>
      <c r="N260" s="91" t="s">
        <v>167</v>
      </c>
      <c r="O260" s="92"/>
      <c r="P260" s="83">
        <f>IF(O260="1",'⚙️ Configuração'!$C$21,IF(O260="2",'⚙️ Configuração'!$C$22,IF(O260="3",'⚙️ Configuração'!$C$23,IF(O260="Outro",'⚙️ Configuração'!$C$24,0))))</f>
        <v>0</v>
      </c>
      <c r="Q260" s="84">
        <f t="shared" si="17"/>
        <v>0</v>
      </c>
      <c r="R260" s="40" t="str">
        <f t="shared" si="1"/>
        <v>Semana 1 — ver 🔄</v>
      </c>
      <c r="S260" t="str" cm="1">
        <f t="array" ref="S260">IF(D260="","",IFERROR(_xlfn.SWITCH(B260,"Semana 1",IFERROR(INDEX('🔄 Rotação Duplas'!$D$8:$D$17,MATCH(D260,'🔄 Rotação Duplas'!$C$8:$C$17,0)),INDEX('🔄 Rotação Duplas'!$C$8:$C$17,MATCH(D260,'🔄 Rotação Duplas'!$D$8:$D$17,0))),"Semana 2",IFERROR(INDEX('🔄 Rotação Duplas'!$D$22:$D$31,MATCH(D260,'🔄 Rotação Duplas'!$C$22:$C$31,0)),INDEX('🔄 Rotação Duplas'!$C$22:$C$31,MATCH(D260,'🔄 Rotação Duplas'!$D$22:$D$31,0))),"Semana 3",IFERROR(INDEX('🔄 Rotação Duplas'!$D$36:$D$45,MATCH(D260,'🔄 Rotação Duplas'!$C$36:$C$45,0)),INDEX('🔄 Rotação Duplas'!$C$36:$C$45,MATCH(D260,'🔄 Rotação Duplas'!$D$36:$D$45,0))),"Semana 4",IFERROR(INDEX('🔄 Rotação Duplas'!$D$50:$D$59,MATCH(D260,'🔄 Rotação Duplas'!$C$50:$C$59,0)),INDEX('🔄 Rotação Duplas'!$C$50:$C$59,MATCH(D260,'🔄 Rotação Duplas'!$D$50:$D$59,0))),"Semana 5",IFERROR(INDEX('🔄 Rotação Duplas'!$D$64:$D$73,MATCH(D260,'🔄 Rotação Duplas'!$C$64:$C$73,0)),INDEX('🔄 Rotação Duplas'!$C$64:$C$73,MATCH(D260,'🔄 Rotação Duplas'!$D$64:$D$73,0))),"Semana 6",IFERROR(INDEX('🔄 Rotação Duplas'!$D$78:$D$87,MATCH(D260,'🔄 Rotação Duplas'!$C$78:$C$87,0)),INDEX('🔄 Rotação Duplas'!$C$78:$C$87,MATCH(D260,'🔄 Rotação Duplas'!$D$78:$D$87,0))),"Semana 7",IFERROR(INDEX('🔄 Rotação Duplas'!$D$92:$D$101,MATCH(D260,'🔄 Rotação Duplas'!$C$92:$C$101,0)),INDEX('🔄 Rotação Duplas'!$C$92:$C$101,MATCH(D260,'🔄 Rotação Duplas'!$D$92:$D$101,0))),"Semana 8",IFERROR(INDEX('🔄 Rotação Duplas'!$D$106:$D$115,MATCH(D260,'🔄 Rotação Duplas'!$C$106:$C$115,0)),INDEX('🔄 Rotação Duplas'!$C$106:$C$115,MATCH(D260,'🔄 Rotação Duplas'!$D$106:$D$115,0)))),""))</f>
        <v/>
      </c>
      <c r="T260">
        <f t="shared" si="18"/>
        <v>0</v>
      </c>
    </row>
    <row r="261" spans="2:20" ht="18" customHeight="1" x14ac:dyDescent="0.2">
      <c r="B261" s="78" t="s">
        <v>87</v>
      </c>
      <c r="C261" s="79" t="str">
        <f t="shared" si="21"/>
        <v>Desafio 13</v>
      </c>
      <c r="D261" s="80" t="str">
        <f>'⚙️ Configuração'!C44</f>
        <v>Paula Miabara</v>
      </c>
      <c r="E261" s="50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81">
        <f>(E261*'⚙️ Configuração'!$C$6+F261*'⚙️ Configuração'!$C$7+G261*'⚙️ Configuração'!$C$8+H261*'⚙️ Configuração'!$C$9+I261*'⚙️ Configuração'!$C$10+J261*'⚙️ Configuração'!$C$11)*IF(N261="S",2,1)</f>
        <v>0</v>
      </c>
      <c r="L261" s="90" t="s">
        <v>167</v>
      </c>
      <c r="M261" s="82">
        <f>IF(L261="AT1",'⚙️ Configuração'!$C$14,IF(L261="AT2",'⚙️ Configuração'!$C$15,IF(L261="FI",'⚙️ Configuração'!$C$16,IF(L261="FJ",'⚙️ Configuração'!$C$17,0))))</f>
        <v>0</v>
      </c>
      <c r="N261" s="91" t="s">
        <v>167</v>
      </c>
      <c r="O261" s="92"/>
      <c r="P261" s="83">
        <f>IF(O261="1",'⚙️ Configuração'!$C$21,IF(O261="2",'⚙️ Configuração'!$C$22,IF(O261="3",'⚙️ Configuração'!$C$23,IF(O261="Outro",'⚙️ Configuração'!$C$24,0))))</f>
        <v>0</v>
      </c>
      <c r="Q261" s="84">
        <f t="shared" si="17"/>
        <v>0</v>
      </c>
      <c r="R261" s="40" t="str">
        <f t="shared" si="1"/>
        <v>Semana 1 — ver 🔄</v>
      </c>
      <c r="S261" t="str" cm="1">
        <f t="array" ref="S261">IF(D261="","",IFERROR(_xlfn.SWITCH(B261,"Semana 1",IFERROR(INDEX('🔄 Rotação Duplas'!$D$8:$D$17,MATCH(D261,'🔄 Rotação Duplas'!$C$8:$C$17,0)),INDEX('🔄 Rotação Duplas'!$C$8:$C$17,MATCH(D261,'🔄 Rotação Duplas'!$D$8:$D$17,0))),"Semana 2",IFERROR(INDEX('🔄 Rotação Duplas'!$D$22:$D$31,MATCH(D261,'🔄 Rotação Duplas'!$C$22:$C$31,0)),INDEX('🔄 Rotação Duplas'!$C$22:$C$31,MATCH(D261,'🔄 Rotação Duplas'!$D$22:$D$31,0))),"Semana 3",IFERROR(INDEX('🔄 Rotação Duplas'!$D$36:$D$45,MATCH(D261,'🔄 Rotação Duplas'!$C$36:$C$45,0)),INDEX('🔄 Rotação Duplas'!$C$36:$C$45,MATCH(D261,'🔄 Rotação Duplas'!$D$36:$D$45,0))),"Semana 4",IFERROR(INDEX('🔄 Rotação Duplas'!$D$50:$D$59,MATCH(D261,'🔄 Rotação Duplas'!$C$50:$C$59,0)),INDEX('🔄 Rotação Duplas'!$C$50:$C$59,MATCH(D261,'🔄 Rotação Duplas'!$D$50:$D$59,0))),"Semana 5",IFERROR(INDEX('🔄 Rotação Duplas'!$D$64:$D$73,MATCH(D261,'🔄 Rotação Duplas'!$C$64:$C$73,0)),INDEX('🔄 Rotação Duplas'!$C$64:$C$73,MATCH(D261,'🔄 Rotação Duplas'!$D$64:$D$73,0))),"Semana 6",IFERROR(INDEX('🔄 Rotação Duplas'!$D$78:$D$87,MATCH(D261,'🔄 Rotação Duplas'!$C$78:$C$87,0)),INDEX('🔄 Rotação Duplas'!$C$78:$C$87,MATCH(D261,'🔄 Rotação Duplas'!$D$78:$D$87,0))),"Semana 7",IFERROR(INDEX('🔄 Rotação Duplas'!$D$92:$D$101,MATCH(D261,'🔄 Rotação Duplas'!$C$92:$C$101,0)),INDEX('🔄 Rotação Duplas'!$C$92:$C$101,MATCH(D261,'🔄 Rotação Duplas'!$D$92:$D$101,0))),"Semana 8",IFERROR(INDEX('🔄 Rotação Duplas'!$D$106:$D$115,MATCH(D261,'🔄 Rotação Duplas'!$C$106:$C$115,0)),INDEX('🔄 Rotação Duplas'!$C$106:$C$115,MATCH(D261,'🔄 Rotação Duplas'!$D$106:$D$115,0)))),""))</f>
        <v/>
      </c>
      <c r="T261">
        <f t="shared" si="18"/>
        <v>0</v>
      </c>
    </row>
    <row r="262" spans="2:20" ht="18" customHeight="1" x14ac:dyDescent="0.2">
      <c r="B262" s="85" t="s">
        <v>87</v>
      </c>
      <c r="C262" s="86" t="str">
        <f t="shared" si="21"/>
        <v>Desafio 13</v>
      </c>
      <c r="D262" s="87" t="str">
        <f>'⚙️ Configuração'!C45</f>
        <v>Rita Carmo</v>
      </c>
      <c r="E262" s="50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81">
        <f>(E262*'⚙️ Configuração'!$C$6+F262*'⚙️ Configuração'!$C$7+G262*'⚙️ Configuração'!$C$8+H262*'⚙️ Configuração'!$C$9+I262*'⚙️ Configuração'!$C$10+J262*'⚙️ Configuração'!$C$11)*IF(N262="S",2,1)</f>
        <v>0</v>
      </c>
      <c r="L262" s="90" t="s">
        <v>167</v>
      </c>
      <c r="M262" s="82">
        <f>IF(L262="AT1",'⚙️ Configuração'!$C$14,IF(L262="AT2",'⚙️ Configuração'!$C$15,IF(L262="FI",'⚙️ Configuração'!$C$16,IF(L262="FJ",'⚙️ Configuração'!$C$17,0))))</f>
        <v>0</v>
      </c>
      <c r="N262" s="91" t="s">
        <v>167</v>
      </c>
      <c r="O262" s="92"/>
      <c r="P262" s="83">
        <f>IF(O262="1",'⚙️ Configuração'!$C$21,IF(O262="2",'⚙️ Configuração'!$C$22,IF(O262="3",'⚙️ Configuração'!$C$23,IF(O262="Outro",'⚙️ Configuração'!$C$24,0))))</f>
        <v>0</v>
      </c>
      <c r="Q262" s="84">
        <f t="shared" si="17"/>
        <v>0</v>
      </c>
      <c r="R262" s="40" t="str">
        <f t="shared" ref="R262:R516" si="22">"Semana 1 — ver 🔄"</f>
        <v>Semana 1 — ver 🔄</v>
      </c>
      <c r="S262" t="str" cm="1">
        <f t="array" ref="S262">IF(D262="","",IFERROR(_xlfn.SWITCH(B262,"Semana 1",IFERROR(INDEX('🔄 Rotação Duplas'!$D$8:$D$17,MATCH(D262,'🔄 Rotação Duplas'!$C$8:$C$17,0)),INDEX('🔄 Rotação Duplas'!$C$8:$C$17,MATCH(D262,'🔄 Rotação Duplas'!$D$8:$D$17,0))),"Semana 2",IFERROR(INDEX('🔄 Rotação Duplas'!$D$22:$D$31,MATCH(D262,'🔄 Rotação Duplas'!$C$22:$C$31,0)),INDEX('🔄 Rotação Duplas'!$C$22:$C$31,MATCH(D262,'🔄 Rotação Duplas'!$D$22:$D$31,0))),"Semana 3",IFERROR(INDEX('🔄 Rotação Duplas'!$D$36:$D$45,MATCH(D262,'🔄 Rotação Duplas'!$C$36:$C$45,0)),INDEX('🔄 Rotação Duplas'!$C$36:$C$45,MATCH(D262,'🔄 Rotação Duplas'!$D$36:$D$45,0))),"Semana 4",IFERROR(INDEX('🔄 Rotação Duplas'!$D$50:$D$59,MATCH(D262,'🔄 Rotação Duplas'!$C$50:$C$59,0)),INDEX('🔄 Rotação Duplas'!$C$50:$C$59,MATCH(D262,'🔄 Rotação Duplas'!$D$50:$D$59,0))),"Semana 5",IFERROR(INDEX('🔄 Rotação Duplas'!$D$64:$D$73,MATCH(D262,'🔄 Rotação Duplas'!$C$64:$C$73,0)),INDEX('🔄 Rotação Duplas'!$C$64:$C$73,MATCH(D262,'🔄 Rotação Duplas'!$D$64:$D$73,0))),"Semana 6",IFERROR(INDEX('🔄 Rotação Duplas'!$D$78:$D$87,MATCH(D262,'🔄 Rotação Duplas'!$C$78:$C$87,0)),INDEX('🔄 Rotação Duplas'!$C$78:$C$87,MATCH(D262,'🔄 Rotação Duplas'!$D$78:$D$87,0))),"Semana 7",IFERROR(INDEX('🔄 Rotação Duplas'!$D$92:$D$101,MATCH(D262,'🔄 Rotação Duplas'!$C$92:$C$101,0)),INDEX('🔄 Rotação Duplas'!$C$92:$C$101,MATCH(D262,'🔄 Rotação Duplas'!$D$92:$D$101,0))),"Semana 8",IFERROR(INDEX('🔄 Rotação Duplas'!$D$106:$D$115,MATCH(D262,'🔄 Rotação Duplas'!$C$106:$C$115,0)),INDEX('🔄 Rotação Duplas'!$C$106:$C$115,MATCH(D262,'🔄 Rotação Duplas'!$D$106:$D$115,0)))),""))</f>
        <v/>
      </c>
      <c r="T262">
        <f t="shared" si="18"/>
        <v>0</v>
      </c>
    </row>
    <row r="263" spans="2:20" ht="18" customHeight="1" x14ac:dyDescent="0.2">
      <c r="B263" s="78" t="s">
        <v>87</v>
      </c>
      <c r="C263" s="79" t="str">
        <f t="shared" si="21"/>
        <v>Desafio 13</v>
      </c>
      <c r="D263" s="80" t="str">
        <f>'⚙️ Configuração'!C46</f>
        <v>William Fernandes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81">
        <f>(E263*'⚙️ Configuração'!$C$6+F263*'⚙️ Configuração'!$C$7+G263*'⚙️ Configuração'!$C$8+H263*'⚙️ Configuração'!$C$9+I263*'⚙️ Configuração'!$C$10+J263*'⚙️ Configuração'!$C$11)*IF(N263="S",2,1)</f>
        <v>0</v>
      </c>
      <c r="L263" s="90" t="s">
        <v>167</v>
      </c>
      <c r="M263" s="82">
        <f>IF(L263="AT1",'⚙️ Configuração'!$C$14,IF(L263="AT2",'⚙️ Configuração'!$C$15,IF(L263="FI",'⚙️ Configuração'!$C$16,IF(L263="FJ",'⚙️ Configuração'!$C$17,0))))</f>
        <v>0</v>
      </c>
      <c r="N263" s="91" t="s">
        <v>167</v>
      </c>
      <c r="O263" s="92"/>
      <c r="P263" s="83">
        <f>IF(O263="1",'⚙️ Configuração'!$C$21,IF(O263="2",'⚙️ Configuração'!$C$22,IF(O263="3",'⚙️ Configuração'!$C$23,IF(O263="Outro",'⚙️ Configuração'!$C$24,0))))</f>
        <v>0</v>
      </c>
      <c r="Q263" s="84">
        <f t="shared" si="17"/>
        <v>0</v>
      </c>
      <c r="R263" s="40" t="str">
        <f t="shared" si="22"/>
        <v>Semana 1 — ver 🔄</v>
      </c>
      <c r="S263" t="str" cm="1">
        <f t="array" ref="S263">IF(D263="","",IFERROR(_xlfn.SWITCH(B263,"Semana 1",IFERROR(INDEX('🔄 Rotação Duplas'!$D$8:$D$17,MATCH(D263,'🔄 Rotação Duplas'!$C$8:$C$17,0)),INDEX('🔄 Rotação Duplas'!$C$8:$C$17,MATCH(D263,'🔄 Rotação Duplas'!$D$8:$D$17,0))),"Semana 2",IFERROR(INDEX('🔄 Rotação Duplas'!$D$22:$D$31,MATCH(D263,'🔄 Rotação Duplas'!$C$22:$C$31,0)),INDEX('🔄 Rotação Duplas'!$C$22:$C$31,MATCH(D263,'🔄 Rotação Duplas'!$D$22:$D$31,0))),"Semana 3",IFERROR(INDEX('🔄 Rotação Duplas'!$D$36:$D$45,MATCH(D263,'🔄 Rotação Duplas'!$C$36:$C$45,0)),INDEX('🔄 Rotação Duplas'!$C$36:$C$45,MATCH(D263,'🔄 Rotação Duplas'!$D$36:$D$45,0))),"Semana 4",IFERROR(INDEX('🔄 Rotação Duplas'!$D$50:$D$59,MATCH(D263,'🔄 Rotação Duplas'!$C$50:$C$59,0)),INDEX('🔄 Rotação Duplas'!$C$50:$C$59,MATCH(D263,'🔄 Rotação Duplas'!$D$50:$D$59,0))),"Semana 5",IFERROR(INDEX('🔄 Rotação Duplas'!$D$64:$D$73,MATCH(D263,'🔄 Rotação Duplas'!$C$64:$C$73,0)),INDEX('🔄 Rotação Duplas'!$C$64:$C$73,MATCH(D263,'🔄 Rotação Duplas'!$D$64:$D$73,0))),"Semana 6",IFERROR(INDEX('🔄 Rotação Duplas'!$D$78:$D$87,MATCH(D263,'🔄 Rotação Duplas'!$C$78:$C$87,0)),INDEX('🔄 Rotação Duplas'!$C$78:$C$87,MATCH(D263,'🔄 Rotação Duplas'!$D$78:$D$87,0))),"Semana 7",IFERROR(INDEX('🔄 Rotação Duplas'!$D$92:$D$101,MATCH(D263,'🔄 Rotação Duplas'!$C$92:$C$101,0)),INDEX('🔄 Rotação Duplas'!$C$92:$C$101,MATCH(D263,'🔄 Rotação Duplas'!$D$92:$D$101,0))),"Semana 8",IFERROR(INDEX('🔄 Rotação Duplas'!$D$106:$D$115,MATCH(D263,'🔄 Rotação Duplas'!$C$106:$C$115,0)),INDEX('🔄 Rotação Duplas'!$C$106:$C$115,MATCH(D263,'🔄 Rotação Duplas'!$D$106:$D$115,0)))),""))</f>
        <v/>
      </c>
      <c r="T263">
        <f t="shared" si="18"/>
        <v>0</v>
      </c>
    </row>
    <row r="264" spans="2:20" ht="18" customHeight="1" x14ac:dyDescent="0.2">
      <c r="B264" s="85" t="s">
        <v>87</v>
      </c>
      <c r="C264" s="86" t="str">
        <f t="shared" si="21"/>
        <v>Desafio 13</v>
      </c>
      <c r="D264" s="87" t="str">
        <f>'⚙️ Configuração'!C47</f>
        <v>-</v>
      </c>
      <c r="E264" s="50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81">
        <f>(E264*'⚙️ Configuração'!$C$6+F264*'⚙️ Configuração'!$C$7+G264*'⚙️ Configuração'!$C$8+H264*'⚙️ Configuração'!$C$9+I264*'⚙️ Configuração'!$C$10+J264*'⚙️ Configuração'!$C$11)*IF(N264="S",2,1)</f>
        <v>0</v>
      </c>
      <c r="L264" s="90" t="s">
        <v>167</v>
      </c>
      <c r="M264" s="82">
        <f>IF(L264="AT1",'⚙️ Configuração'!$C$14,IF(L264="AT2",'⚙️ Configuração'!$C$15,IF(L264="FI",'⚙️ Configuração'!$C$16,IF(L264="FJ",'⚙️ Configuração'!$C$17,0))))</f>
        <v>0</v>
      </c>
      <c r="N264" s="91" t="s">
        <v>167</v>
      </c>
      <c r="O264" s="92"/>
      <c r="P264" s="83">
        <f>IF(O264="1",'⚙️ Configuração'!$C$21,IF(O264="2",'⚙️ Configuração'!$C$22,IF(O264="3",'⚙️ Configuração'!$C$23,IF(O264="Outro",'⚙️ Configuração'!$C$24,0))))</f>
        <v>0</v>
      </c>
      <c r="Q264" s="84">
        <f t="shared" ref="Q264:Q327" si="23">K264+M264+P264</f>
        <v>0</v>
      </c>
      <c r="R264" s="40" t="str">
        <f t="shared" si="22"/>
        <v>Semana 1 — ver 🔄</v>
      </c>
      <c r="S264" t="str" cm="1">
        <f t="array" ref="S264">IF(D264="","",IFERROR(_xlfn.SWITCH(B264,"Semana 1",IFERROR(INDEX('🔄 Rotação Duplas'!$D$8:$D$17,MATCH(D264,'🔄 Rotação Duplas'!$C$8:$C$17,0)),INDEX('🔄 Rotação Duplas'!$C$8:$C$17,MATCH(D264,'🔄 Rotação Duplas'!$D$8:$D$17,0))),"Semana 2",IFERROR(INDEX('🔄 Rotação Duplas'!$D$22:$D$31,MATCH(D264,'🔄 Rotação Duplas'!$C$22:$C$31,0)),INDEX('🔄 Rotação Duplas'!$C$22:$C$31,MATCH(D264,'🔄 Rotação Duplas'!$D$22:$D$31,0))),"Semana 3",IFERROR(INDEX('🔄 Rotação Duplas'!$D$36:$D$45,MATCH(D264,'🔄 Rotação Duplas'!$C$36:$C$45,0)),INDEX('🔄 Rotação Duplas'!$C$36:$C$45,MATCH(D264,'🔄 Rotação Duplas'!$D$36:$D$45,0))),"Semana 4",IFERROR(INDEX('🔄 Rotação Duplas'!$D$50:$D$59,MATCH(D264,'🔄 Rotação Duplas'!$C$50:$C$59,0)),INDEX('🔄 Rotação Duplas'!$C$50:$C$59,MATCH(D264,'🔄 Rotação Duplas'!$D$50:$D$59,0))),"Semana 5",IFERROR(INDEX('🔄 Rotação Duplas'!$D$64:$D$73,MATCH(D264,'🔄 Rotação Duplas'!$C$64:$C$73,0)),INDEX('🔄 Rotação Duplas'!$C$64:$C$73,MATCH(D264,'🔄 Rotação Duplas'!$D$64:$D$73,0))),"Semana 6",IFERROR(INDEX('🔄 Rotação Duplas'!$D$78:$D$87,MATCH(D264,'🔄 Rotação Duplas'!$C$78:$C$87,0)),INDEX('🔄 Rotação Duplas'!$C$78:$C$87,MATCH(D264,'🔄 Rotação Duplas'!$D$78:$D$87,0))),"Semana 7",IFERROR(INDEX('🔄 Rotação Duplas'!$D$92:$D$101,MATCH(D264,'🔄 Rotação Duplas'!$C$92:$C$101,0)),INDEX('🔄 Rotação Duplas'!$C$92:$C$101,MATCH(D264,'🔄 Rotação Duplas'!$D$92:$D$101,0))),"Semana 8",IFERROR(INDEX('🔄 Rotação Duplas'!$D$106:$D$115,MATCH(D264,'🔄 Rotação Duplas'!$C$106:$C$115,0)),INDEX('🔄 Rotação Duplas'!$C$106:$C$115,MATCH(D264,'🔄 Rotação Duplas'!$D$106:$D$115,0)))),""))</f>
        <v/>
      </c>
      <c r="T264">
        <f t="shared" ref="T264:T327" si="24">IF(OR(D264="",D264="-",S264="",S264="-"),0,COUNTIFS($B$7:$B$646,B264,$D$7:$D$646,D264,$N$7:$N$646,"S")+COUNTIFS($B$7:$B$646,B264,$D$7:$D$646,S264,$N$7:$N$646,"S"))</f>
        <v>0</v>
      </c>
    </row>
    <row r="265" spans="2:20" ht="18" customHeight="1" x14ac:dyDescent="0.2">
      <c r="B265" s="78" t="s">
        <v>87</v>
      </c>
      <c r="C265" s="79" t="str">
        <f t="shared" si="21"/>
        <v>Desafio 13</v>
      </c>
      <c r="D265" s="80" t="str">
        <f>'⚙️ Configuração'!C48</f>
        <v>-</v>
      </c>
      <c r="E265" s="50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81">
        <f>(E265*'⚙️ Configuração'!$C$6+F265*'⚙️ Configuração'!$C$7+G265*'⚙️ Configuração'!$C$8+H265*'⚙️ Configuração'!$C$9+I265*'⚙️ Configuração'!$C$10+J265*'⚙️ Configuração'!$C$11)*IF(N265="S",2,1)</f>
        <v>0</v>
      </c>
      <c r="L265" s="90" t="s">
        <v>167</v>
      </c>
      <c r="M265" s="82">
        <f>IF(L265="AT1",'⚙️ Configuração'!$C$14,IF(L265="AT2",'⚙️ Configuração'!$C$15,IF(L265="FI",'⚙️ Configuração'!$C$16,IF(L265="FJ",'⚙️ Configuração'!$C$17,0))))</f>
        <v>0</v>
      </c>
      <c r="N265" s="91" t="s">
        <v>167</v>
      </c>
      <c r="O265" s="92"/>
      <c r="P265" s="83">
        <f>IF(O265="1",'⚙️ Configuração'!$C$21,IF(O265="2",'⚙️ Configuração'!$C$22,IF(O265="3",'⚙️ Configuração'!$C$23,IF(O265="Outro",'⚙️ Configuração'!$C$24,0))))</f>
        <v>0</v>
      </c>
      <c r="Q265" s="84">
        <f t="shared" si="23"/>
        <v>0</v>
      </c>
      <c r="R265" s="40" t="str">
        <f t="shared" si="22"/>
        <v>Semana 1 — ver 🔄</v>
      </c>
      <c r="S265" t="str" cm="1">
        <f t="array" ref="S265">IF(D265="","",IFERROR(_xlfn.SWITCH(B265,"Semana 1",IFERROR(INDEX('🔄 Rotação Duplas'!$D$8:$D$17,MATCH(D265,'🔄 Rotação Duplas'!$C$8:$C$17,0)),INDEX('🔄 Rotação Duplas'!$C$8:$C$17,MATCH(D265,'🔄 Rotação Duplas'!$D$8:$D$17,0))),"Semana 2",IFERROR(INDEX('🔄 Rotação Duplas'!$D$22:$D$31,MATCH(D265,'🔄 Rotação Duplas'!$C$22:$C$31,0)),INDEX('🔄 Rotação Duplas'!$C$22:$C$31,MATCH(D265,'🔄 Rotação Duplas'!$D$22:$D$31,0))),"Semana 3",IFERROR(INDEX('🔄 Rotação Duplas'!$D$36:$D$45,MATCH(D265,'🔄 Rotação Duplas'!$C$36:$C$45,0)),INDEX('🔄 Rotação Duplas'!$C$36:$C$45,MATCH(D265,'🔄 Rotação Duplas'!$D$36:$D$45,0))),"Semana 4",IFERROR(INDEX('🔄 Rotação Duplas'!$D$50:$D$59,MATCH(D265,'🔄 Rotação Duplas'!$C$50:$C$59,0)),INDEX('🔄 Rotação Duplas'!$C$50:$C$59,MATCH(D265,'🔄 Rotação Duplas'!$D$50:$D$59,0))),"Semana 5",IFERROR(INDEX('🔄 Rotação Duplas'!$D$64:$D$73,MATCH(D265,'🔄 Rotação Duplas'!$C$64:$C$73,0)),INDEX('🔄 Rotação Duplas'!$C$64:$C$73,MATCH(D265,'🔄 Rotação Duplas'!$D$64:$D$73,0))),"Semana 6",IFERROR(INDEX('🔄 Rotação Duplas'!$D$78:$D$87,MATCH(D265,'🔄 Rotação Duplas'!$C$78:$C$87,0)),INDEX('🔄 Rotação Duplas'!$C$78:$C$87,MATCH(D265,'🔄 Rotação Duplas'!$D$78:$D$87,0))),"Semana 7",IFERROR(INDEX('🔄 Rotação Duplas'!$D$92:$D$101,MATCH(D265,'🔄 Rotação Duplas'!$C$92:$C$101,0)),INDEX('🔄 Rotação Duplas'!$C$92:$C$101,MATCH(D265,'🔄 Rotação Duplas'!$D$92:$D$101,0))),"Semana 8",IFERROR(INDEX('🔄 Rotação Duplas'!$D$106:$D$115,MATCH(D265,'🔄 Rotação Duplas'!$C$106:$C$115,0)),INDEX('🔄 Rotação Duplas'!$C$106:$C$115,MATCH(D265,'🔄 Rotação Duplas'!$D$106:$D$115,0)))),""))</f>
        <v/>
      </c>
      <c r="T265">
        <f t="shared" si="24"/>
        <v>0</v>
      </c>
    </row>
    <row r="266" spans="2:20" ht="18" customHeight="1" x14ac:dyDescent="0.2">
      <c r="B266" s="85" t="s">
        <v>87</v>
      </c>
      <c r="C266" s="86" t="str">
        <f t="shared" si="21"/>
        <v>Desafio 13</v>
      </c>
      <c r="D266" s="87" t="str">
        <f>'⚙️ Configuração'!C49</f>
        <v>-</v>
      </c>
      <c r="E266" s="50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81">
        <f>(E266*'⚙️ Configuração'!$C$6+F266*'⚙️ Configuração'!$C$7+G266*'⚙️ Configuração'!$C$8+H266*'⚙️ Configuração'!$C$9+I266*'⚙️ Configuração'!$C$10+J266*'⚙️ Configuração'!$C$11)*IF(N266="S",2,1)</f>
        <v>0</v>
      </c>
      <c r="L266" s="90" t="s">
        <v>167</v>
      </c>
      <c r="M266" s="82">
        <f>IF(L266="AT1",'⚙️ Configuração'!$C$14,IF(L266="AT2",'⚙️ Configuração'!$C$15,IF(L266="FI",'⚙️ Configuração'!$C$16,IF(L266="FJ",'⚙️ Configuração'!$C$17,0))))</f>
        <v>0</v>
      </c>
      <c r="N266" s="91" t="s">
        <v>167</v>
      </c>
      <c r="O266" s="92"/>
      <c r="P266" s="83">
        <f>IF(O266="1",'⚙️ Configuração'!$C$21,IF(O266="2",'⚙️ Configuração'!$C$22,IF(O266="3",'⚙️ Configuração'!$C$23,IF(O266="Outro",'⚙️ Configuração'!$C$24,0))))</f>
        <v>0</v>
      </c>
      <c r="Q266" s="84">
        <f t="shared" si="23"/>
        <v>0</v>
      </c>
      <c r="R266" s="40" t="str">
        <f t="shared" si="22"/>
        <v>Semana 1 — ver 🔄</v>
      </c>
      <c r="S266" t="str" cm="1">
        <f t="array" ref="S266">IF(D266="","",IFERROR(_xlfn.SWITCH(B266,"Semana 1",IFERROR(INDEX('🔄 Rotação Duplas'!$D$8:$D$17,MATCH(D266,'🔄 Rotação Duplas'!$C$8:$C$17,0)),INDEX('🔄 Rotação Duplas'!$C$8:$C$17,MATCH(D266,'🔄 Rotação Duplas'!$D$8:$D$17,0))),"Semana 2",IFERROR(INDEX('🔄 Rotação Duplas'!$D$22:$D$31,MATCH(D266,'🔄 Rotação Duplas'!$C$22:$C$31,0)),INDEX('🔄 Rotação Duplas'!$C$22:$C$31,MATCH(D266,'🔄 Rotação Duplas'!$D$22:$D$31,0))),"Semana 3",IFERROR(INDEX('🔄 Rotação Duplas'!$D$36:$D$45,MATCH(D266,'🔄 Rotação Duplas'!$C$36:$C$45,0)),INDEX('🔄 Rotação Duplas'!$C$36:$C$45,MATCH(D266,'🔄 Rotação Duplas'!$D$36:$D$45,0))),"Semana 4",IFERROR(INDEX('🔄 Rotação Duplas'!$D$50:$D$59,MATCH(D266,'🔄 Rotação Duplas'!$C$50:$C$59,0)),INDEX('🔄 Rotação Duplas'!$C$50:$C$59,MATCH(D266,'🔄 Rotação Duplas'!$D$50:$D$59,0))),"Semana 5",IFERROR(INDEX('🔄 Rotação Duplas'!$D$64:$D$73,MATCH(D266,'🔄 Rotação Duplas'!$C$64:$C$73,0)),INDEX('🔄 Rotação Duplas'!$C$64:$C$73,MATCH(D266,'🔄 Rotação Duplas'!$D$64:$D$73,0))),"Semana 6",IFERROR(INDEX('🔄 Rotação Duplas'!$D$78:$D$87,MATCH(D266,'🔄 Rotação Duplas'!$C$78:$C$87,0)),INDEX('🔄 Rotação Duplas'!$C$78:$C$87,MATCH(D266,'🔄 Rotação Duplas'!$D$78:$D$87,0))),"Semana 7",IFERROR(INDEX('🔄 Rotação Duplas'!$D$92:$D$101,MATCH(D266,'🔄 Rotação Duplas'!$C$92:$C$101,0)),INDEX('🔄 Rotação Duplas'!$C$92:$C$101,MATCH(D266,'🔄 Rotação Duplas'!$D$92:$D$101,0))),"Semana 8",IFERROR(INDEX('🔄 Rotação Duplas'!$D$106:$D$115,MATCH(D266,'🔄 Rotação Duplas'!$C$106:$C$115,0)),INDEX('🔄 Rotação Duplas'!$C$106:$C$115,MATCH(D266,'🔄 Rotação Duplas'!$D$106:$D$115,0)))),""))</f>
        <v/>
      </c>
      <c r="T266">
        <f t="shared" si="24"/>
        <v>0</v>
      </c>
    </row>
    <row r="267" spans="2:20" ht="18" customHeight="1" x14ac:dyDescent="0.2">
      <c r="B267" s="78" t="s">
        <v>87</v>
      </c>
      <c r="C267" s="79" t="str">
        <f t="shared" ref="C267:C286" si="25">"Desafio 14"</f>
        <v>Desafio 14</v>
      </c>
      <c r="D267" s="80" t="str">
        <f>'⚙️ Configuração'!C30</f>
        <v>Carla Cantante</v>
      </c>
      <c r="E267" s="50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81">
        <f>(E267*'⚙️ Configuração'!$C$6+F267*'⚙️ Configuração'!$C$7+G267*'⚙️ Configuração'!$C$8+H267*'⚙️ Configuração'!$C$9+I267*'⚙️ Configuração'!$C$10+J267*'⚙️ Configuração'!$C$11)*IF(N267="S",2,1)</f>
        <v>0</v>
      </c>
      <c r="L267" s="90" t="s">
        <v>167</v>
      </c>
      <c r="M267" s="82">
        <f>IF(L267="AT1",'⚙️ Configuração'!$C$14,IF(L267="AT2",'⚙️ Configuração'!$C$15,IF(L267="FI",'⚙️ Configuração'!$C$16,IF(L267="FJ",'⚙️ Configuração'!$C$17,0))))</f>
        <v>0</v>
      </c>
      <c r="N267" s="91" t="s">
        <v>167</v>
      </c>
      <c r="O267" s="92"/>
      <c r="P267" s="83">
        <f>IF(O267="1",'⚙️ Configuração'!$C$21,IF(O267="2",'⚙️ Configuração'!$C$22,IF(O267="3",'⚙️ Configuração'!$C$23,IF(O267="Outro",'⚙️ Configuração'!$C$24,0))))</f>
        <v>0</v>
      </c>
      <c r="Q267" s="84">
        <f t="shared" si="23"/>
        <v>0</v>
      </c>
      <c r="R267" s="40" t="str">
        <f t="shared" si="22"/>
        <v>Semana 1 — ver 🔄</v>
      </c>
      <c r="S267" t="str" cm="1">
        <f t="array" ref="S267">IF(D267="","",IFERROR(_xlfn.SWITCH(B267,"Semana 1",IFERROR(INDEX('🔄 Rotação Duplas'!$D$8:$D$17,MATCH(D267,'🔄 Rotação Duplas'!$C$8:$C$17,0)),INDEX('🔄 Rotação Duplas'!$C$8:$C$17,MATCH(D267,'🔄 Rotação Duplas'!$D$8:$D$17,0))),"Semana 2",IFERROR(INDEX('🔄 Rotação Duplas'!$D$22:$D$31,MATCH(D267,'🔄 Rotação Duplas'!$C$22:$C$31,0)),INDEX('🔄 Rotação Duplas'!$C$22:$C$31,MATCH(D267,'🔄 Rotação Duplas'!$D$22:$D$31,0))),"Semana 3",IFERROR(INDEX('🔄 Rotação Duplas'!$D$36:$D$45,MATCH(D267,'🔄 Rotação Duplas'!$C$36:$C$45,0)),INDEX('🔄 Rotação Duplas'!$C$36:$C$45,MATCH(D267,'🔄 Rotação Duplas'!$D$36:$D$45,0))),"Semana 4",IFERROR(INDEX('🔄 Rotação Duplas'!$D$50:$D$59,MATCH(D267,'🔄 Rotação Duplas'!$C$50:$C$59,0)),INDEX('🔄 Rotação Duplas'!$C$50:$C$59,MATCH(D267,'🔄 Rotação Duplas'!$D$50:$D$59,0))),"Semana 5",IFERROR(INDEX('🔄 Rotação Duplas'!$D$64:$D$73,MATCH(D267,'🔄 Rotação Duplas'!$C$64:$C$73,0)),INDEX('🔄 Rotação Duplas'!$C$64:$C$73,MATCH(D267,'🔄 Rotação Duplas'!$D$64:$D$73,0))),"Semana 6",IFERROR(INDEX('🔄 Rotação Duplas'!$D$78:$D$87,MATCH(D267,'🔄 Rotação Duplas'!$C$78:$C$87,0)),INDEX('🔄 Rotação Duplas'!$C$78:$C$87,MATCH(D267,'🔄 Rotação Duplas'!$D$78:$D$87,0))),"Semana 7",IFERROR(INDEX('🔄 Rotação Duplas'!$D$92:$D$101,MATCH(D267,'🔄 Rotação Duplas'!$C$92:$C$101,0)),INDEX('🔄 Rotação Duplas'!$C$92:$C$101,MATCH(D267,'🔄 Rotação Duplas'!$D$92:$D$101,0))),"Semana 8",IFERROR(INDEX('🔄 Rotação Duplas'!$D$106:$D$115,MATCH(D267,'🔄 Rotação Duplas'!$C$106:$C$115,0)),INDEX('🔄 Rotação Duplas'!$C$106:$C$115,MATCH(D267,'🔄 Rotação Duplas'!$D$106:$D$115,0)))),""))</f>
        <v/>
      </c>
      <c r="T267">
        <f t="shared" si="24"/>
        <v>0</v>
      </c>
    </row>
    <row r="268" spans="2:20" ht="18" customHeight="1" x14ac:dyDescent="0.2">
      <c r="B268" s="85" t="s">
        <v>87</v>
      </c>
      <c r="C268" s="86" t="str">
        <f t="shared" si="25"/>
        <v>Desafio 14</v>
      </c>
      <c r="D268" s="87" t="str">
        <f>'⚙️ Configuração'!C31</f>
        <v>Elisabete Mendes</v>
      </c>
      <c r="E268" s="50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81">
        <f>(E268*'⚙️ Configuração'!$C$6+F268*'⚙️ Configuração'!$C$7+G268*'⚙️ Configuração'!$C$8+H268*'⚙️ Configuração'!$C$9+I268*'⚙️ Configuração'!$C$10+J268*'⚙️ Configuração'!$C$11)*IF(N268="S",2,1)</f>
        <v>0</v>
      </c>
      <c r="L268" s="90" t="s">
        <v>167</v>
      </c>
      <c r="M268" s="82">
        <f>IF(L268="AT1",'⚙️ Configuração'!$C$14,IF(L268="AT2",'⚙️ Configuração'!$C$15,IF(L268="FI",'⚙️ Configuração'!$C$16,IF(L268="FJ",'⚙️ Configuração'!$C$17,0))))</f>
        <v>0</v>
      </c>
      <c r="N268" s="91" t="s">
        <v>167</v>
      </c>
      <c r="O268" s="92"/>
      <c r="P268" s="83">
        <f>IF(O268="1",'⚙️ Configuração'!$C$21,IF(O268="2",'⚙️ Configuração'!$C$22,IF(O268="3",'⚙️ Configuração'!$C$23,IF(O268="Outro",'⚙️ Configuração'!$C$24,0))))</f>
        <v>0</v>
      </c>
      <c r="Q268" s="84">
        <f t="shared" si="23"/>
        <v>0</v>
      </c>
      <c r="R268" s="40" t="str">
        <f t="shared" si="22"/>
        <v>Semana 1 — ver 🔄</v>
      </c>
      <c r="S268" t="str" cm="1">
        <f t="array" ref="S268">IF(D268="","",IFERROR(_xlfn.SWITCH(B268,"Semana 1",IFERROR(INDEX('🔄 Rotação Duplas'!$D$8:$D$17,MATCH(D268,'🔄 Rotação Duplas'!$C$8:$C$17,0)),INDEX('🔄 Rotação Duplas'!$C$8:$C$17,MATCH(D268,'🔄 Rotação Duplas'!$D$8:$D$17,0))),"Semana 2",IFERROR(INDEX('🔄 Rotação Duplas'!$D$22:$D$31,MATCH(D268,'🔄 Rotação Duplas'!$C$22:$C$31,0)),INDEX('🔄 Rotação Duplas'!$C$22:$C$31,MATCH(D268,'🔄 Rotação Duplas'!$D$22:$D$31,0))),"Semana 3",IFERROR(INDEX('🔄 Rotação Duplas'!$D$36:$D$45,MATCH(D268,'🔄 Rotação Duplas'!$C$36:$C$45,0)),INDEX('🔄 Rotação Duplas'!$C$36:$C$45,MATCH(D268,'🔄 Rotação Duplas'!$D$36:$D$45,0))),"Semana 4",IFERROR(INDEX('🔄 Rotação Duplas'!$D$50:$D$59,MATCH(D268,'🔄 Rotação Duplas'!$C$50:$C$59,0)),INDEX('🔄 Rotação Duplas'!$C$50:$C$59,MATCH(D268,'🔄 Rotação Duplas'!$D$50:$D$59,0))),"Semana 5",IFERROR(INDEX('🔄 Rotação Duplas'!$D$64:$D$73,MATCH(D268,'🔄 Rotação Duplas'!$C$64:$C$73,0)),INDEX('🔄 Rotação Duplas'!$C$64:$C$73,MATCH(D268,'🔄 Rotação Duplas'!$D$64:$D$73,0))),"Semana 6",IFERROR(INDEX('🔄 Rotação Duplas'!$D$78:$D$87,MATCH(D268,'🔄 Rotação Duplas'!$C$78:$C$87,0)),INDEX('🔄 Rotação Duplas'!$C$78:$C$87,MATCH(D268,'🔄 Rotação Duplas'!$D$78:$D$87,0))),"Semana 7",IFERROR(INDEX('🔄 Rotação Duplas'!$D$92:$D$101,MATCH(D268,'🔄 Rotação Duplas'!$C$92:$C$101,0)),INDEX('🔄 Rotação Duplas'!$C$92:$C$101,MATCH(D268,'🔄 Rotação Duplas'!$D$92:$D$101,0))),"Semana 8",IFERROR(INDEX('🔄 Rotação Duplas'!$D$106:$D$115,MATCH(D268,'🔄 Rotação Duplas'!$C$106:$C$115,0)),INDEX('🔄 Rotação Duplas'!$C$106:$C$115,MATCH(D268,'🔄 Rotação Duplas'!$D$106:$D$115,0)))),""))</f>
        <v/>
      </c>
      <c r="T268">
        <f t="shared" si="24"/>
        <v>0</v>
      </c>
    </row>
    <row r="269" spans="2:20" ht="18" customHeight="1" x14ac:dyDescent="0.2">
      <c r="B269" s="78" t="s">
        <v>87</v>
      </c>
      <c r="C269" s="79" t="str">
        <f t="shared" si="25"/>
        <v>Desafio 14</v>
      </c>
      <c r="D269" s="80" t="str">
        <f>'⚙️ Configuração'!C32</f>
        <v>Filipa Cunha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81">
        <f>(E269*'⚙️ Configuração'!$C$6+F269*'⚙️ Configuração'!$C$7+G269*'⚙️ Configuração'!$C$8+H269*'⚙️ Configuração'!$C$9+I269*'⚙️ Configuração'!$C$10+J269*'⚙️ Configuração'!$C$11)*IF(N269="S",2,1)</f>
        <v>0</v>
      </c>
      <c r="L269" s="90" t="s">
        <v>167</v>
      </c>
      <c r="M269" s="82">
        <f>IF(L269="AT1",'⚙️ Configuração'!$C$14,IF(L269="AT2",'⚙️ Configuração'!$C$15,IF(L269="FI",'⚙️ Configuração'!$C$16,IF(L269="FJ",'⚙️ Configuração'!$C$17,0))))</f>
        <v>0</v>
      </c>
      <c r="N269" s="91" t="s">
        <v>167</v>
      </c>
      <c r="O269" s="92"/>
      <c r="P269" s="83">
        <f>IF(O269="1",'⚙️ Configuração'!$C$21,IF(O269="2",'⚙️ Configuração'!$C$22,IF(O269="3",'⚙️ Configuração'!$C$23,IF(O269="Outro",'⚙️ Configuração'!$C$24,0))))</f>
        <v>0</v>
      </c>
      <c r="Q269" s="84">
        <f t="shared" si="23"/>
        <v>0</v>
      </c>
      <c r="R269" s="40" t="str">
        <f t="shared" si="22"/>
        <v>Semana 1 — ver 🔄</v>
      </c>
      <c r="S269" t="str" cm="1">
        <f t="array" ref="S269">IF(D269="","",IFERROR(_xlfn.SWITCH(B269,"Semana 1",IFERROR(INDEX('🔄 Rotação Duplas'!$D$8:$D$17,MATCH(D269,'🔄 Rotação Duplas'!$C$8:$C$17,0)),INDEX('🔄 Rotação Duplas'!$C$8:$C$17,MATCH(D269,'🔄 Rotação Duplas'!$D$8:$D$17,0))),"Semana 2",IFERROR(INDEX('🔄 Rotação Duplas'!$D$22:$D$31,MATCH(D269,'🔄 Rotação Duplas'!$C$22:$C$31,0)),INDEX('🔄 Rotação Duplas'!$C$22:$C$31,MATCH(D269,'🔄 Rotação Duplas'!$D$22:$D$31,0))),"Semana 3",IFERROR(INDEX('🔄 Rotação Duplas'!$D$36:$D$45,MATCH(D269,'🔄 Rotação Duplas'!$C$36:$C$45,0)),INDEX('🔄 Rotação Duplas'!$C$36:$C$45,MATCH(D269,'🔄 Rotação Duplas'!$D$36:$D$45,0))),"Semana 4",IFERROR(INDEX('🔄 Rotação Duplas'!$D$50:$D$59,MATCH(D269,'🔄 Rotação Duplas'!$C$50:$C$59,0)),INDEX('🔄 Rotação Duplas'!$C$50:$C$59,MATCH(D269,'🔄 Rotação Duplas'!$D$50:$D$59,0))),"Semana 5",IFERROR(INDEX('🔄 Rotação Duplas'!$D$64:$D$73,MATCH(D269,'🔄 Rotação Duplas'!$C$64:$C$73,0)),INDEX('🔄 Rotação Duplas'!$C$64:$C$73,MATCH(D269,'🔄 Rotação Duplas'!$D$64:$D$73,0))),"Semana 6",IFERROR(INDEX('🔄 Rotação Duplas'!$D$78:$D$87,MATCH(D269,'🔄 Rotação Duplas'!$C$78:$C$87,0)),INDEX('🔄 Rotação Duplas'!$C$78:$C$87,MATCH(D269,'🔄 Rotação Duplas'!$D$78:$D$87,0))),"Semana 7",IFERROR(INDEX('🔄 Rotação Duplas'!$D$92:$D$101,MATCH(D269,'🔄 Rotação Duplas'!$C$92:$C$101,0)),INDEX('🔄 Rotação Duplas'!$C$92:$C$101,MATCH(D269,'🔄 Rotação Duplas'!$D$92:$D$101,0))),"Semana 8",IFERROR(INDEX('🔄 Rotação Duplas'!$D$106:$D$115,MATCH(D269,'🔄 Rotação Duplas'!$C$106:$C$115,0)),INDEX('🔄 Rotação Duplas'!$C$106:$C$115,MATCH(D269,'🔄 Rotação Duplas'!$D$106:$D$115,0)))),""))</f>
        <v/>
      </c>
      <c r="T269">
        <f t="shared" si="24"/>
        <v>0</v>
      </c>
    </row>
    <row r="270" spans="2:20" ht="18" customHeight="1" x14ac:dyDescent="0.2">
      <c r="B270" s="85" t="s">
        <v>87</v>
      </c>
      <c r="C270" s="86" t="str">
        <f t="shared" si="25"/>
        <v>Desafio 14</v>
      </c>
      <c r="D270" s="87" t="str">
        <f>'⚙️ Configuração'!C33</f>
        <v>Helena Rocha</v>
      </c>
      <c r="E270" s="50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81">
        <f>(E270*'⚙️ Configuração'!$C$6+F270*'⚙️ Configuração'!$C$7+G270*'⚙️ Configuração'!$C$8+H270*'⚙️ Configuração'!$C$9+I270*'⚙️ Configuração'!$C$10+J270*'⚙️ Configuração'!$C$11)*IF(N270="S",2,1)</f>
        <v>0</v>
      </c>
      <c r="L270" s="90" t="s">
        <v>167</v>
      </c>
      <c r="M270" s="82">
        <f>IF(L270="AT1",'⚙️ Configuração'!$C$14,IF(L270="AT2",'⚙️ Configuração'!$C$15,IF(L270="FI",'⚙️ Configuração'!$C$16,IF(L270="FJ",'⚙️ Configuração'!$C$17,0))))</f>
        <v>0</v>
      </c>
      <c r="N270" s="91" t="s">
        <v>167</v>
      </c>
      <c r="O270" s="92"/>
      <c r="P270" s="83">
        <f>IF(O270="1",'⚙️ Configuração'!$C$21,IF(O270="2",'⚙️ Configuração'!$C$22,IF(O270="3",'⚙️ Configuração'!$C$23,IF(O270="Outro",'⚙️ Configuração'!$C$24,0))))</f>
        <v>0</v>
      </c>
      <c r="Q270" s="84">
        <f t="shared" si="23"/>
        <v>0</v>
      </c>
      <c r="R270" s="40" t="str">
        <f t="shared" si="22"/>
        <v>Semana 1 — ver 🔄</v>
      </c>
      <c r="S270" t="str" cm="1">
        <f t="array" ref="S270">IF(D270="","",IFERROR(_xlfn.SWITCH(B270,"Semana 1",IFERROR(INDEX('🔄 Rotação Duplas'!$D$8:$D$17,MATCH(D270,'🔄 Rotação Duplas'!$C$8:$C$17,0)),INDEX('🔄 Rotação Duplas'!$C$8:$C$17,MATCH(D270,'🔄 Rotação Duplas'!$D$8:$D$17,0))),"Semana 2",IFERROR(INDEX('🔄 Rotação Duplas'!$D$22:$D$31,MATCH(D270,'🔄 Rotação Duplas'!$C$22:$C$31,0)),INDEX('🔄 Rotação Duplas'!$C$22:$C$31,MATCH(D270,'🔄 Rotação Duplas'!$D$22:$D$31,0))),"Semana 3",IFERROR(INDEX('🔄 Rotação Duplas'!$D$36:$D$45,MATCH(D270,'🔄 Rotação Duplas'!$C$36:$C$45,0)),INDEX('🔄 Rotação Duplas'!$C$36:$C$45,MATCH(D270,'🔄 Rotação Duplas'!$D$36:$D$45,0))),"Semana 4",IFERROR(INDEX('🔄 Rotação Duplas'!$D$50:$D$59,MATCH(D270,'🔄 Rotação Duplas'!$C$50:$C$59,0)),INDEX('🔄 Rotação Duplas'!$C$50:$C$59,MATCH(D270,'🔄 Rotação Duplas'!$D$50:$D$59,0))),"Semana 5",IFERROR(INDEX('🔄 Rotação Duplas'!$D$64:$D$73,MATCH(D270,'🔄 Rotação Duplas'!$C$64:$C$73,0)),INDEX('🔄 Rotação Duplas'!$C$64:$C$73,MATCH(D270,'🔄 Rotação Duplas'!$D$64:$D$73,0))),"Semana 6",IFERROR(INDEX('🔄 Rotação Duplas'!$D$78:$D$87,MATCH(D270,'🔄 Rotação Duplas'!$C$78:$C$87,0)),INDEX('🔄 Rotação Duplas'!$C$78:$C$87,MATCH(D270,'🔄 Rotação Duplas'!$D$78:$D$87,0))),"Semana 7",IFERROR(INDEX('🔄 Rotação Duplas'!$D$92:$D$101,MATCH(D270,'🔄 Rotação Duplas'!$C$92:$C$101,0)),INDEX('🔄 Rotação Duplas'!$C$92:$C$101,MATCH(D270,'🔄 Rotação Duplas'!$D$92:$D$101,0))),"Semana 8",IFERROR(INDEX('🔄 Rotação Duplas'!$D$106:$D$115,MATCH(D270,'🔄 Rotação Duplas'!$C$106:$C$115,0)),INDEX('🔄 Rotação Duplas'!$C$106:$C$115,MATCH(D270,'🔄 Rotação Duplas'!$D$106:$D$115,0)))),""))</f>
        <v/>
      </c>
      <c r="T270">
        <f t="shared" si="24"/>
        <v>0</v>
      </c>
    </row>
    <row r="271" spans="2:20" ht="18" customHeight="1" x14ac:dyDescent="0.2">
      <c r="B271" s="78" t="s">
        <v>87</v>
      </c>
      <c r="C271" s="79" t="str">
        <f t="shared" si="25"/>
        <v>Desafio 14</v>
      </c>
      <c r="D271" s="80" t="str">
        <f>'⚙️ Configuração'!C34</f>
        <v>João Xavier</v>
      </c>
      <c r="E271" s="50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81">
        <f>(E271*'⚙️ Configuração'!$C$6+F271*'⚙️ Configuração'!$C$7+G271*'⚙️ Configuração'!$C$8+H271*'⚙️ Configuração'!$C$9+I271*'⚙️ Configuração'!$C$10+J271*'⚙️ Configuração'!$C$11)*IF(N271="S",2,1)</f>
        <v>0</v>
      </c>
      <c r="L271" s="90" t="s">
        <v>167</v>
      </c>
      <c r="M271" s="82">
        <f>IF(L271="AT1",'⚙️ Configuração'!$C$14,IF(L271="AT2",'⚙️ Configuração'!$C$15,IF(L271="FI",'⚙️ Configuração'!$C$16,IF(L271="FJ",'⚙️ Configuração'!$C$17,0))))</f>
        <v>0</v>
      </c>
      <c r="N271" s="91" t="s">
        <v>167</v>
      </c>
      <c r="O271" s="92"/>
      <c r="P271" s="83">
        <f>IF(O271="1",'⚙️ Configuração'!$C$21,IF(O271="2",'⚙️ Configuração'!$C$22,IF(O271="3",'⚙️ Configuração'!$C$23,IF(O271="Outro",'⚙️ Configuração'!$C$24,0))))</f>
        <v>0</v>
      </c>
      <c r="Q271" s="84">
        <f t="shared" si="23"/>
        <v>0</v>
      </c>
      <c r="R271" s="40" t="str">
        <f t="shared" si="22"/>
        <v>Semana 1 — ver 🔄</v>
      </c>
      <c r="S271" t="str" cm="1">
        <f t="array" ref="S271">IF(D271="","",IFERROR(_xlfn.SWITCH(B271,"Semana 1",IFERROR(INDEX('🔄 Rotação Duplas'!$D$8:$D$17,MATCH(D271,'🔄 Rotação Duplas'!$C$8:$C$17,0)),INDEX('🔄 Rotação Duplas'!$C$8:$C$17,MATCH(D271,'🔄 Rotação Duplas'!$D$8:$D$17,0))),"Semana 2",IFERROR(INDEX('🔄 Rotação Duplas'!$D$22:$D$31,MATCH(D271,'🔄 Rotação Duplas'!$C$22:$C$31,0)),INDEX('🔄 Rotação Duplas'!$C$22:$C$31,MATCH(D271,'🔄 Rotação Duplas'!$D$22:$D$31,0))),"Semana 3",IFERROR(INDEX('🔄 Rotação Duplas'!$D$36:$D$45,MATCH(D271,'🔄 Rotação Duplas'!$C$36:$C$45,0)),INDEX('🔄 Rotação Duplas'!$C$36:$C$45,MATCH(D271,'🔄 Rotação Duplas'!$D$36:$D$45,0))),"Semana 4",IFERROR(INDEX('🔄 Rotação Duplas'!$D$50:$D$59,MATCH(D271,'🔄 Rotação Duplas'!$C$50:$C$59,0)),INDEX('🔄 Rotação Duplas'!$C$50:$C$59,MATCH(D271,'🔄 Rotação Duplas'!$D$50:$D$59,0))),"Semana 5",IFERROR(INDEX('🔄 Rotação Duplas'!$D$64:$D$73,MATCH(D271,'🔄 Rotação Duplas'!$C$64:$C$73,0)),INDEX('🔄 Rotação Duplas'!$C$64:$C$73,MATCH(D271,'🔄 Rotação Duplas'!$D$64:$D$73,0))),"Semana 6",IFERROR(INDEX('🔄 Rotação Duplas'!$D$78:$D$87,MATCH(D271,'🔄 Rotação Duplas'!$C$78:$C$87,0)),INDEX('🔄 Rotação Duplas'!$C$78:$C$87,MATCH(D271,'🔄 Rotação Duplas'!$D$78:$D$87,0))),"Semana 7",IFERROR(INDEX('🔄 Rotação Duplas'!$D$92:$D$101,MATCH(D271,'🔄 Rotação Duplas'!$C$92:$C$101,0)),INDEX('🔄 Rotação Duplas'!$C$92:$C$101,MATCH(D271,'🔄 Rotação Duplas'!$D$92:$D$101,0))),"Semana 8",IFERROR(INDEX('🔄 Rotação Duplas'!$D$106:$D$115,MATCH(D271,'🔄 Rotação Duplas'!$C$106:$C$115,0)),INDEX('🔄 Rotação Duplas'!$C$106:$C$115,MATCH(D271,'🔄 Rotação Duplas'!$D$106:$D$115,0)))),""))</f>
        <v/>
      </c>
      <c r="T271">
        <f t="shared" si="24"/>
        <v>0</v>
      </c>
    </row>
    <row r="272" spans="2:20" ht="18" customHeight="1" x14ac:dyDescent="0.2">
      <c r="B272" s="85" t="s">
        <v>87</v>
      </c>
      <c r="C272" s="86" t="str">
        <f t="shared" si="25"/>
        <v>Desafio 14</v>
      </c>
      <c r="D272" s="87" t="str">
        <f>'⚙️ Configuração'!C35</f>
        <v>Tomás Carlos</v>
      </c>
      <c r="E272" s="50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81">
        <f>(E272*'⚙️ Configuração'!$C$6+F272*'⚙️ Configuração'!$C$7+G272*'⚙️ Configuração'!$C$8+H272*'⚙️ Configuração'!$C$9+I272*'⚙️ Configuração'!$C$10+J272*'⚙️ Configuração'!$C$11)*IF(N272="S",2,1)</f>
        <v>0</v>
      </c>
      <c r="L272" s="90" t="s">
        <v>167</v>
      </c>
      <c r="M272" s="82">
        <f>IF(L272="AT1",'⚙️ Configuração'!$C$14,IF(L272="AT2",'⚙️ Configuração'!$C$15,IF(L272="FI",'⚙️ Configuração'!$C$16,IF(L272="FJ",'⚙️ Configuração'!$C$17,0))))</f>
        <v>0</v>
      </c>
      <c r="N272" s="91" t="s">
        <v>167</v>
      </c>
      <c r="O272" s="92"/>
      <c r="P272" s="83">
        <f>IF(O272="1",'⚙️ Configuração'!$C$21,IF(O272="2",'⚙️ Configuração'!$C$22,IF(O272="3",'⚙️ Configuração'!$C$23,IF(O272="Outro",'⚙️ Configuração'!$C$24,0))))</f>
        <v>0</v>
      </c>
      <c r="Q272" s="84">
        <f t="shared" si="23"/>
        <v>0</v>
      </c>
      <c r="R272" s="40" t="str">
        <f t="shared" si="22"/>
        <v>Semana 1 — ver 🔄</v>
      </c>
      <c r="S272" t="str" cm="1">
        <f t="array" ref="S272">IF(D272="","",IFERROR(_xlfn.SWITCH(B272,"Semana 1",IFERROR(INDEX('🔄 Rotação Duplas'!$D$8:$D$17,MATCH(D272,'🔄 Rotação Duplas'!$C$8:$C$17,0)),INDEX('🔄 Rotação Duplas'!$C$8:$C$17,MATCH(D272,'🔄 Rotação Duplas'!$D$8:$D$17,0))),"Semana 2",IFERROR(INDEX('🔄 Rotação Duplas'!$D$22:$D$31,MATCH(D272,'🔄 Rotação Duplas'!$C$22:$C$31,0)),INDEX('🔄 Rotação Duplas'!$C$22:$C$31,MATCH(D272,'🔄 Rotação Duplas'!$D$22:$D$31,0))),"Semana 3",IFERROR(INDEX('🔄 Rotação Duplas'!$D$36:$D$45,MATCH(D272,'🔄 Rotação Duplas'!$C$36:$C$45,0)),INDEX('🔄 Rotação Duplas'!$C$36:$C$45,MATCH(D272,'🔄 Rotação Duplas'!$D$36:$D$45,0))),"Semana 4",IFERROR(INDEX('🔄 Rotação Duplas'!$D$50:$D$59,MATCH(D272,'🔄 Rotação Duplas'!$C$50:$C$59,0)),INDEX('🔄 Rotação Duplas'!$C$50:$C$59,MATCH(D272,'🔄 Rotação Duplas'!$D$50:$D$59,0))),"Semana 5",IFERROR(INDEX('🔄 Rotação Duplas'!$D$64:$D$73,MATCH(D272,'🔄 Rotação Duplas'!$C$64:$C$73,0)),INDEX('🔄 Rotação Duplas'!$C$64:$C$73,MATCH(D272,'🔄 Rotação Duplas'!$D$64:$D$73,0))),"Semana 6",IFERROR(INDEX('🔄 Rotação Duplas'!$D$78:$D$87,MATCH(D272,'🔄 Rotação Duplas'!$C$78:$C$87,0)),INDEX('🔄 Rotação Duplas'!$C$78:$C$87,MATCH(D272,'🔄 Rotação Duplas'!$D$78:$D$87,0))),"Semana 7",IFERROR(INDEX('🔄 Rotação Duplas'!$D$92:$D$101,MATCH(D272,'🔄 Rotação Duplas'!$C$92:$C$101,0)),INDEX('🔄 Rotação Duplas'!$C$92:$C$101,MATCH(D272,'🔄 Rotação Duplas'!$D$92:$D$101,0))),"Semana 8",IFERROR(INDEX('🔄 Rotação Duplas'!$D$106:$D$115,MATCH(D272,'🔄 Rotação Duplas'!$C$106:$C$115,0)),INDEX('🔄 Rotação Duplas'!$C$106:$C$115,MATCH(D272,'🔄 Rotação Duplas'!$D$106:$D$115,0)))),""))</f>
        <v/>
      </c>
      <c r="T272">
        <f t="shared" si="24"/>
        <v>0</v>
      </c>
    </row>
    <row r="273" spans="2:20" ht="18" customHeight="1" x14ac:dyDescent="0.2">
      <c r="B273" s="78" t="s">
        <v>87</v>
      </c>
      <c r="C273" s="79" t="str">
        <f t="shared" si="25"/>
        <v>Desafio 14</v>
      </c>
      <c r="D273" s="80" t="str">
        <f>'⚙️ Configuração'!C36</f>
        <v>Alexandra Correia</v>
      </c>
      <c r="E273" s="50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81">
        <f>(E273*'⚙️ Configuração'!$C$6+F273*'⚙️ Configuração'!$C$7+G273*'⚙️ Configuração'!$C$8+H273*'⚙️ Configuração'!$C$9+I273*'⚙️ Configuração'!$C$10+J273*'⚙️ Configuração'!$C$11)*IF(N273="S",2,1)</f>
        <v>0</v>
      </c>
      <c r="L273" s="90" t="s">
        <v>167</v>
      </c>
      <c r="M273" s="82">
        <f>IF(L273="AT1",'⚙️ Configuração'!$C$14,IF(L273="AT2",'⚙️ Configuração'!$C$15,IF(L273="FI",'⚙️ Configuração'!$C$16,IF(L273="FJ",'⚙️ Configuração'!$C$17,0))))</f>
        <v>0</v>
      </c>
      <c r="N273" s="91" t="s">
        <v>167</v>
      </c>
      <c r="O273" s="92"/>
      <c r="P273" s="83">
        <f>IF(O273="1",'⚙️ Configuração'!$C$21,IF(O273="2",'⚙️ Configuração'!$C$22,IF(O273="3",'⚙️ Configuração'!$C$23,IF(O273="Outro",'⚙️ Configuração'!$C$24,0))))</f>
        <v>0</v>
      </c>
      <c r="Q273" s="84">
        <f t="shared" si="23"/>
        <v>0</v>
      </c>
      <c r="R273" s="40" t="str">
        <f t="shared" si="22"/>
        <v>Semana 1 — ver 🔄</v>
      </c>
      <c r="S273" t="str" cm="1">
        <f t="array" ref="S273">IF(D273="","",IFERROR(_xlfn.SWITCH(B273,"Semana 1",IFERROR(INDEX('🔄 Rotação Duplas'!$D$8:$D$17,MATCH(D273,'🔄 Rotação Duplas'!$C$8:$C$17,0)),INDEX('🔄 Rotação Duplas'!$C$8:$C$17,MATCH(D273,'🔄 Rotação Duplas'!$D$8:$D$17,0))),"Semana 2",IFERROR(INDEX('🔄 Rotação Duplas'!$D$22:$D$31,MATCH(D273,'🔄 Rotação Duplas'!$C$22:$C$31,0)),INDEX('🔄 Rotação Duplas'!$C$22:$C$31,MATCH(D273,'🔄 Rotação Duplas'!$D$22:$D$31,0))),"Semana 3",IFERROR(INDEX('🔄 Rotação Duplas'!$D$36:$D$45,MATCH(D273,'🔄 Rotação Duplas'!$C$36:$C$45,0)),INDEX('🔄 Rotação Duplas'!$C$36:$C$45,MATCH(D273,'🔄 Rotação Duplas'!$D$36:$D$45,0))),"Semana 4",IFERROR(INDEX('🔄 Rotação Duplas'!$D$50:$D$59,MATCH(D273,'🔄 Rotação Duplas'!$C$50:$C$59,0)),INDEX('🔄 Rotação Duplas'!$C$50:$C$59,MATCH(D273,'🔄 Rotação Duplas'!$D$50:$D$59,0))),"Semana 5",IFERROR(INDEX('🔄 Rotação Duplas'!$D$64:$D$73,MATCH(D273,'🔄 Rotação Duplas'!$C$64:$C$73,0)),INDEX('🔄 Rotação Duplas'!$C$64:$C$73,MATCH(D273,'🔄 Rotação Duplas'!$D$64:$D$73,0))),"Semana 6",IFERROR(INDEX('🔄 Rotação Duplas'!$D$78:$D$87,MATCH(D273,'🔄 Rotação Duplas'!$C$78:$C$87,0)),INDEX('🔄 Rotação Duplas'!$C$78:$C$87,MATCH(D273,'🔄 Rotação Duplas'!$D$78:$D$87,0))),"Semana 7",IFERROR(INDEX('🔄 Rotação Duplas'!$D$92:$D$101,MATCH(D273,'🔄 Rotação Duplas'!$C$92:$C$101,0)),INDEX('🔄 Rotação Duplas'!$C$92:$C$101,MATCH(D273,'🔄 Rotação Duplas'!$D$92:$D$101,0))),"Semana 8",IFERROR(INDEX('🔄 Rotação Duplas'!$D$106:$D$115,MATCH(D273,'🔄 Rotação Duplas'!$C$106:$C$115,0)),INDEX('🔄 Rotação Duplas'!$C$106:$C$115,MATCH(D273,'🔄 Rotação Duplas'!$D$106:$D$115,0)))),""))</f>
        <v/>
      </c>
      <c r="T273">
        <f t="shared" si="24"/>
        <v>0</v>
      </c>
    </row>
    <row r="274" spans="2:20" ht="18" customHeight="1" x14ac:dyDescent="0.2">
      <c r="B274" s="85" t="s">
        <v>87</v>
      </c>
      <c r="C274" s="86" t="str">
        <f t="shared" si="25"/>
        <v>Desafio 14</v>
      </c>
      <c r="D274" s="87" t="str">
        <f>'⚙️ Configuração'!C37</f>
        <v>Carla Barata</v>
      </c>
      <c r="E274" s="50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81">
        <f>(E274*'⚙️ Configuração'!$C$6+F274*'⚙️ Configuração'!$C$7+G274*'⚙️ Configuração'!$C$8+H274*'⚙️ Configuração'!$C$9+I274*'⚙️ Configuração'!$C$10+J274*'⚙️ Configuração'!$C$11)*IF(N274="S",2,1)</f>
        <v>0</v>
      </c>
      <c r="L274" s="90" t="s">
        <v>167</v>
      </c>
      <c r="M274" s="82">
        <f>IF(L274="AT1",'⚙️ Configuração'!$C$14,IF(L274="AT2",'⚙️ Configuração'!$C$15,IF(L274="FI",'⚙️ Configuração'!$C$16,IF(L274="FJ",'⚙️ Configuração'!$C$17,0))))</f>
        <v>0</v>
      </c>
      <c r="N274" s="91" t="s">
        <v>167</v>
      </c>
      <c r="O274" s="92"/>
      <c r="P274" s="83">
        <f>IF(O274="1",'⚙️ Configuração'!$C$21,IF(O274="2",'⚙️ Configuração'!$C$22,IF(O274="3",'⚙️ Configuração'!$C$23,IF(O274="Outro",'⚙️ Configuração'!$C$24,0))))</f>
        <v>0</v>
      </c>
      <c r="Q274" s="84">
        <f t="shared" si="23"/>
        <v>0</v>
      </c>
      <c r="R274" s="40" t="str">
        <f t="shared" si="22"/>
        <v>Semana 1 — ver 🔄</v>
      </c>
      <c r="S274" t="str" cm="1">
        <f t="array" ref="S274">IF(D274="","",IFERROR(_xlfn.SWITCH(B274,"Semana 1",IFERROR(INDEX('🔄 Rotação Duplas'!$D$8:$D$17,MATCH(D274,'🔄 Rotação Duplas'!$C$8:$C$17,0)),INDEX('🔄 Rotação Duplas'!$C$8:$C$17,MATCH(D274,'🔄 Rotação Duplas'!$D$8:$D$17,0))),"Semana 2",IFERROR(INDEX('🔄 Rotação Duplas'!$D$22:$D$31,MATCH(D274,'🔄 Rotação Duplas'!$C$22:$C$31,0)),INDEX('🔄 Rotação Duplas'!$C$22:$C$31,MATCH(D274,'🔄 Rotação Duplas'!$D$22:$D$31,0))),"Semana 3",IFERROR(INDEX('🔄 Rotação Duplas'!$D$36:$D$45,MATCH(D274,'🔄 Rotação Duplas'!$C$36:$C$45,0)),INDEX('🔄 Rotação Duplas'!$C$36:$C$45,MATCH(D274,'🔄 Rotação Duplas'!$D$36:$D$45,0))),"Semana 4",IFERROR(INDEX('🔄 Rotação Duplas'!$D$50:$D$59,MATCH(D274,'🔄 Rotação Duplas'!$C$50:$C$59,0)),INDEX('🔄 Rotação Duplas'!$C$50:$C$59,MATCH(D274,'🔄 Rotação Duplas'!$D$50:$D$59,0))),"Semana 5",IFERROR(INDEX('🔄 Rotação Duplas'!$D$64:$D$73,MATCH(D274,'🔄 Rotação Duplas'!$C$64:$C$73,0)),INDEX('🔄 Rotação Duplas'!$C$64:$C$73,MATCH(D274,'🔄 Rotação Duplas'!$D$64:$D$73,0))),"Semana 6",IFERROR(INDEX('🔄 Rotação Duplas'!$D$78:$D$87,MATCH(D274,'🔄 Rotação Duplas'!$C$78:$C$87,0)),INDEX('🔄 Rotação Duplas'!$C$78:$C$87,MATCH(D274,'🔄 Rotação Duplas'!$D$78:$D$87,0))),"Semana 7",IFERROR(INDEX('🔄 Rotação Duplas'!$D$92:$D$101,MATCH(D274,'🔄 Rotação Duplas'!$C$92:$C$101,0)),INDEX('🔄 Rotação Duplas'!$C$92:$C$101,MATCH(D274,'🔄 Rotação Duplas'!$D$92:$D$101,0))),"Semana 8",IFERROR(INDEX('🔄 Rotação Duplas'!$D$106:$D$115,MATCH(D274,'🔄 Rotação Duplas'!$C$106:$C$115,0)),INDEX('🔄 Rotação Duplas'!$C$106:$C$115,MATCH(D274,'🔄 Rotação Duplas'!$D$106:$D$115,0)))),""))</f>
        <v/>
      </c>
      <c r="T274">
        <f t="shared" si="24"/>
        <v>0</v>
      </c>
    </row>
    <row r="275" spans="2:20" ht="18" customHeight="1" x14ac:dyDescent="0.2">
      <c r="B275" s="78" t="s">
        <v>87</v>
      </c>
      <c r="C275" s="79" t="str">
        <f t="shared" si="25"/>
        <v>Desafio 14</v>
      </c>
      <c r="D275" s="80" t="str">
        <f>'⚙️ Configuração'!C38</f>
        <v>Denise Filipe</v>
      </c>
      <c r="E275" s="50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81">
        <f>(E275*'⚙️ Configuração'!$C$6+F275*'⚙️ Configuração'!$C$7+G275*'⚙️ Configuração'!$C$8+H275*'⚙️ Configuração'!$C$9+I275*'⚙️ Configuração'!$C$10+J275*'⚙️ Configuração'!$C$11)*IF(N275="S",2,1)</f>
        <v>0</v>
      </c>
      <c r="L275" s="90" t="s">
        <v>167</v>
      </c>
      <c r="M275" s="82">
        <f>IF(L275="AT1",'⚙️ Configuração'!$C$14,IF(L275="AT2",'⚙️ Configuração'!$C$15,IF(L275="FI",'⚙️ Configuração'!$C$16,IF(L275="FJ",'⚙️ Configuração'!$C$17,0))))</f>
        <v>0</v>
      </c>
      <c r="N275" s="91" t="s">
        <v>167</v>
      </c>
      <c r="O275" s="92"/>
      <c r="P275" s="83">
        <f>IF(O275="1",'⚙️ Configuração'!$C$21,IF(O275="2",'⚙️ Configuração'!$C$22,IF(O275="3",'⚙️ Configuração'!$C$23,IF(O275="Outro",'⚙️ Configuração'!$C$24,0))))</f>
        <v>0</v>
      </c>
      <c r="Q275" s="84">
        <f t="shared" si="23"/>
        <v>0</v>
      </c>
      <c r="R275" s="40" t="str">
        <f t="shared" si="22"/>
        <v>Semana 1 — ver 🔄</v>
      </c>
      <c r="S275" t="str" cm="1">
        <f t="array" ref="S275">IF(D275="","",IFERROR(_xlfn.SWITCH(B275,"Semana 1",IFERROR(INDEX('🔄 Rotação Duplas'!$D$8:$D$17,MATCH(D275,'🔄 Rotação Duplas'!$C$8:$C$17,0)),INDEX('🔄 Rotação Duplas'!$C$8:$C$17,MATCH(D275,'🔄 Rotação Duplas'!$D$8:$D$17,0))),"Semana 2",IFERROR(INDEX('🔄 Rotação Duplas'!$D$22:$D$31,MATCH(D275,'🔄 Rotação Duplas'!$C$22:$C$31,0)),INDEX('🔄 Rotação Duplas'!$C$22:$C$31,MATCH(D275,'🔄 Rotação Duplas'!$D$22:$D$31,0))),"Semana 3",IFERROR(INDEX('🔄 Rotação Duplas'!$D$36:$D$45,MATCH(D275,'🔄 Rotação Duplas'!$C$36:$C$45,0)),INDEX('🔄 Rotação Duplas'!$C$36:$C$45,MATCH(D275,'🔄 Rotação Duplas'!$D$36:$D$45,0))),"Semana 4",IFERROR(INDEX('🔄 Rotação Duplas'!$D$50:$D$59,MATCH(D275,'🔄 Rotação Duplas'!$C$50:$C$59,0)),INDEX('🔄 Rotação Duplas'!$C$50:$C$59,MATCH(D275,'🔄 Rotação Duplas'!$D$50:$D$59,0))),"Semana 5",IFERROR(INDEX('🔄 Rotação Duplas'!$D$64:$D$73,MATCH(D275,'🔄 Rotação Duplas'!$C$64:$C$73,0)),INDEX('🔄 Rotação Duplas'!$C$64:$C$73,MATCH(D275,'🔄 Rotação Duplas'!$D$64:$D$73,0))),"Semana 6",IFERROR(INDEX('🔄 Rotação Duplas'!$D$78:$D$87,MATCH(D275,'🔄 Rotação Duplas'!$C$78:$C$87,0)),INDEX('🔄 Rotação Duplas'!$C$78:$C$87,MATCH(D275,'🔄 Rotação Duplas'!$D$78:$D$87,0))),"Semana 7",IFERROR(INDEX('🔄 Rotação Duplas'!$D$92:$D$101,MATCH(D275,'🔄 Rotação Duplas'!$C$92:$C$101,0)),INDEX('🔄 Rotação Duplas'!$C$92:$C$101,MATCH(D275,'🔄 Rotação Duplas'!$D$92:$D$101,0))),"Semana 8",IFERROR(INDEX('🔄 Rotação Duplas'!$D$106:$D$115,MATCH(D275,'🔄 Rotação Duplas'!$C$106:$C$115,0)),INDEX('🔄 Rotação Duplas'!$C$106:$C$115,MATCH(D275,'🔄 Rotação Duplas'!$D$106:$D$115,0)))),""))</f>
        <v/>
      </c>
      <c r="T275">
        <f t="shared" si="24"/>
        <v>0</v>
      </c>
    </row>
    <row r="276" spans="2:20" ht="18" customHeight="1" x14ac:dyDescent="0.2">
      <c r="B276" s="85" t="s">
        <v>87</v>
      </c>
      <c r="C276" s="86" t="str">
        <f t="shared" si="25"/>
        <v>Desafio 14</v>
      </c>
      <c r="D276" s="87" t="str">
        <f>'⚙️ Configuração'!C39</f>
        <v>Fátima Rodriguez</v>
      </c>
      <c r="E276" s="50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81">
        <f>(E276*'⚙️ Configuração'!$C$6+F276*'⚙️ Configuração'!$C$7+G276*'⚙️ Configuração'!$C$8+H276*'⚙️ Configuração'!$C$9+I276*'⚙️ Configuração'!$C$10+J276*'⚙️ Configuração'!$C$11)*IF(N276="S",2,1)</f>
        <v>0</v>
      </c>
      <c r="L276" s="90" t="s">
        <v>167</v>
      </c>
      <c r="M276" s="82">
        <f>IF(L276="AT1",'⚙️ Configuração'!$C$14,IF(L276="AT2",'⚙️ Configuração'!$C$15,IF(L276="FI",'⚙️ Configuração'!$C$16,IF(L276="FJ",'⚙️ Configuração'!$C$17,0))))</f>
        <v>0</v>
      </c>
      <c r="N276" s="91" t="s">
        <v>167</v>
      </c>
      <c r="O276" s="92"/>
      <c r="P276" s="83">
        <f>IF(O276="1",'⚙️ Configuração'!$C$21,IF(O276="2",'⚙️ Configuração'!$C$22,IF(O276="3",'⚙️ Configuração'!$C$23,IF(O276="Outro",'⚙️ Configuração'!$C$24,0))))</f>
        <v>0</v>
      </c>
      <c r="Q276" s="84">
        <f t="shared" si="23"/>
        <v>0</v>
      </c>
      <c r="R276" s="40" t="str">
        <f t="shared" si="22"/>
        <v>Semana 1 — ver 🔄</v>
      </c>
      <c r="S276" t="str" cm="1">
        <f t="array" ref="S276">IF(D276="","",IFERROR(_xlfn.SWITCH(B276,"Semana 1",IFERROR(INDEX('🔄 Rotação Duplas'!$D$8:$D$17,MATCH(D276,'🔄 Rotação Duplas'!$C$8:$C$17,0)),INDEX('🔄 Rotação Duplas'!$C$8:$C$17,MATCH(D276,'🔄 Rotação Duplas'!$D$8:$D$17,0))),"Semana 2",IFERROR(INDEX('🔄 Rotação Duplas'!$D$22:$D$31,MATCH(D276,'🔄 Rotação Duplas'!$C$22:$C$31,0)),INDEX('🔄 Rotação Duplas'!$C$22:$C$31,MATCH(D276,'🔄 Rotação Duplas'!$D$22:$D$31,0))),"Semana 3",IFERROR(INDEX('🔄 Rotação Duplas'!$D$36:$D$45,MATCH(D276,'🔄 Rotação Duplas'!$C$36:$C$45,0)),INDEX('🔄 Rotação Duplas'!$C$36:$C$45,MATCH(D276,'🔄 Rotação Duplas'!$D$36:$D$45,0))),"Semana 4",IFERROR(INDEX('🔄 Rotação Duplas'!$D$50:$D$59,MATCH(D276,'🔄 Rotação Duplas'!$C$50:$C$59,0)),INDEX('🔄 Rotação Duplas'!$C$50:$C$59,MATCH(D276,'🔄 Rotação Duplas'!$D$50:$D$59,0))),"Semana 5",IFERROR(INDEX('🔄 Rotação Duplas'!$D$64:$D$73,MATCH(D276,'🔄 Rotação Duplas'!$C$64:$C$73,0)),INDEX('🔄 Rotação Duplas'!$C$64:$C$73,MATCH(D276,'🔄 Rotação Duplas'!$D$64:$D$73,0))),"Semana 6",IFERROR(INDEX('🔄 Rotação Duplas'!$D$78:$D$87,MATCH(D276,'🔄 Rotação Duplas'!$C$78:$C$87,0)),INDEX('🔄 Rotação Duplas'!$C$78:$C$87,MATCH(D276,'🔄 Rotação Duplas'!$D$78:$D$87,0))),"Semana 7",IFERROR(INDEX('🔄 Rotação Duplas'!$D$92:$D$101,MATCH(D276,'🔄 Rotação Duplas'!$C$92:$C$101,0)),INDEX('🔄 Rotação Duplas'!$C$92:$C$101,MATCH(D276,'🔄 Rotação Duplas'!$D$92:$D$101,0))),"Semana 8",IFERROR(INDEX('🔄 Rotação Duplas'!$D$106:$D$115,MATCH(D276,'🔄 Rotação Duplas'!$C$106:$C$115,0)),INDEX('🔄 Rotação Duplas'!$C$106:$C$115,MATCH(D276,'🔄 Rotação Duplas'!$D$106:$D$115,0)))),""))</f>
        <v/>
      </c>
      <c r="T276">
        <f t="shared" si="24"/>
        <v>0</v>
      </c>
    </row>
    <row r="277" spans="2:20" ht="18" customHeight="1" x14ac:dyDescent="0.2">
      <c r="B277" s="78" t="s">
        <v>87</v>
      </c>
      <c r="C277" s="79" t="str">
        <f t="shared" si="25"/>
        <v>Desafio 14</v>
      </c>
      <c r="D277" s="80" t="str">
        <f>'⚙️ Configuração'!C40</f>
        <v>Maria João Travassos</v>
      </c>
      <c r="E277" s="50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81">
        <f>(E277*'⚙️ Configuração'!$C$6+F277*'⚙️ Configuração'!$C$7+G277*'⚙️ Configuração'!$C$8+H277*'⚙️ Configuração'!$C$9+I277*'⚙️ Configuração'!$C$10+J277*'⚙️ Configuração'!$C$11)*IF(N277="S",2,1)</f>
        <v>0</v>
      </c>
      <c r="L277" s="90" t="s">
        <v>167</v>
      </c>
      <c r="M277" s="82">
        <f>IF(L277="AT1",'⚙️ Configuração'!$C$14,IF(L277="AT2",'⚙️ Configuração'!$C$15,IF(L277="FI",'⚙️ Configuração'!$C$16,IF(L277="FJ",'⚙️ Configuração'!$C$17,0))))</f>
        <v>0</v>
      </c>
      <c r="N277" s="91" t="s">
        <v>167</v>
      </c>
      <c r="O277" s="92"/>
      <c r="P277" s="83">
        <f>IF(O277="1",'⚙️ Configuração'!$C$21,IF(O277="2",'⚙️ Configuração'!$C$22,IF(O277="3",'⚙️ Configuração'!$C$23,IF(O277="Outro",'⚙️ Configuração'!$C$24,0))))</f>
        <v>0</v>
      </c>
      <c r="Q277" s="84">
        <f t="shared" si="23"/>
        <v>0</v>
      </c>
      <c r="R277" s="40" t="str">
        <f t="shared" si="22"/>
        <v>Semana 1 — ver 🔄</v>
      </c>
      <c r="S277" t="str" cm="1">
        <f t="array" ref="S277">IF(D277="","",IFERROR(_xlfn.SWITCH(B277,"Semana 1",IFERROR(INDEX('🔄 Rotação Duplas'!$D$8:$D$17,MATCH(D277,'🔄 Rotação Duplas'!$C$8:$C$17,0)),INDEX('🔄 Rotação Duplas'!$C$8:$C$17,MATCH(D277,'🔄 Rotação Duplas'!$D$8:$D$17,0))),"Semana 2",IFERROR(INDEX('🔄 Rotação Duplas'!$D$22:$D$31,MATCH(D277,'🔄 Rotação Duplas'!$C$22:$C$31,0)),INDEX('🔄 Rotação Duplas'!$C$22:$C$31,MATCH(D277,'🔄 Rotação Duplas'!$D$22:$D$31,0))),"Semana 3",IFERROR(INDEX('🔄 Rotação Duplas'!$D$36:$D$45,MATCH(D277,'🔄 Rotação Duplas'!$C$36:$C$45,0)),INDEX('🔄 Rotação Duplas'!$C$36:$C$45,MATCH(D277,'🔄 Rotação Duplas'!$D$36:$D$45,0))),"Semana 4",IFERROR(INDEX('🔄 Rotação Duplas'!$D$50:$D$59,MATCH(D277,'🔄 Rotação Duplas'!$C$50:$C$59,0)),INDEX('🔄 Rotação Duplas'!$C$50:$C$59,MATCH(D277,'🔄 Rotação Duplas'!$D$50:$D$59,0))),"Semana 5",IFERROR(INDEX('🔄 Rotação Duplas'!$D$64:$D$73,MATCH(D277,'🔄 Rotação Duplas'!$C$64:$C$73,0)),INDEX('🔄 Rotação Duplas'!$C$64:$C$73,MATCH(D277,'🔄 Rotação Duplas'!$D$64:$D$73,0))),"Semana 6",IFERROR(INDEX('🔄 Rotação Duplas'!$D$78:$D$87,MATCH(D277,'🔄 Rotação Duplas'!$C$78:$C$87,0)),INDEX('🔄 Rotação Duplas'!$C$78:$C$87,MATCH(D277,'🔄 Rotação Duplas'!$D$78:$D$87,0))),"Semana 7",IFERROR(INDEX('🔄 Rotação Duplas'!$D$92:$D$101,MATCH(D277,'🔄 Rotação Duplas'!$C$92:$C$101,0)),INDEX('🔄 Rotação Duplas'!$C$92:$C$101,MATCH(D277,'🔄 Rotação Duplas'!$D$92:$D$101,0))),"Semana 8",IFERROR(INDEX('🔄 Rotação Duplas'!$D$106:$D$115,MATCH(D277,'🔄 Rotação Duplas'!$C$106:$C$115,0)),INDEX('🔄 Rotação Duplas'!$C$106:$C$115,MATCH(D277,'🔄 Rotação Duplas'!$D$106:$D$115,0)))),""))</f>
        <v/>
      </c>
      <c r="T277">
        <f t="shared" si="24"/>
        <v>0</v>
      </c>
    </row>
    <row r="278" spans="2:20" ht="18" customHeight="1" x14ac:dyDescent="0.2">
      <c r="B278" s="85" t="s">
        <v>87</v>
      </c>
      <c r="C278" s="86" t="str">
        <f t="shared" si="25"/>
        <v>Desafio 14</v>
      </c>
      <c r="D278" s="87" t="str">
        <f>'⚙️ Configuração'!C41</f>
        <v>Marta Torres</v>
      </c>
      <c r="E278" s="50">
        <v>0</v>
      </c>
      <c r="F278" s="50">
        <v>0</v>
      </c>
      <c r="G278" s="50">
        <v>0</v>
      </c>
      <c r="H278" s="50">
        <v>0</v>
      </c>
      <c r="I278" s="50">
        <v>0</v>
      </c>
      <c r="J278" s="50">
        <v>0</v>
      </c>
      <c r="K278" s="81">
        <f>(E278*'⚙️ Configuração'!$C$6+F278*'⚙️ Configuração'!$C$7+G278*'⚙️ Configuração'!$C$8+H278*'⚙️ Configuração'!$C$9+I278*'⚙️ Configuração'!$C$10+J278*'⚙️ Configuração'!$C$11)*IF(N278="S",2,1)</f>
        <v>0</v>
      </c>
      <c r="L278" s="90" t="s">
        <v>167</v>
      </c>
      <c r="M278" s="82">
        <f>IF(L278="AT1",'⚙️ Configuração'!$C$14,IF(L278="AT2",'⚙️ Configuração'!$C$15,IF(L278="FI",'⚙️ Configuração'!$C$16,IF(L278="FJ",'⚙️ Configuração'!$C$17,0))))</f>
        <v>0</v>
      </c>
      <c r="N278" s="91" t="s">
        <v>167</v>
      </c>
      <c r="O278" s="92"/>
      <c r="P278" s="83">
        <f>IF(O278="1",'⚙️ Configuração'!$C$21,IF(O278="2",'⚙️ Configuração'!$C$22,IF(O278="3",'⚙️ Configuração'!$C$23,IF(O278="Outro",'⚙️ Configuração'!$C$24,0))))</f>
        <v>0</v>
      </c>
      <c r="Q278" s="84">
        <f t="shared" si="23"/>
        <v>0</v>
      </c>
      <c r="R278" s="40" t="str">
        <f t="shared" si="22"/>
        <v>Semana 1 — ver 🔄</v>
      </c>
      <c r="S278" t="str" cm="1">
        <f t="array" ref="S278">IF(D278="","",IFERROR(_xlfn.SWITCH(B278,"Semana 1",IFERROR(INDEX('🔄 Rotação Duplas'!$D$8:$D$17,MATCH(D278,'🔄 Rotação Duplas'!$C$8:$C$17,0)),INDEX('🔄 Rotação Duplas'!$C$8:$C$17,MATCH(D278,'🔄 Rotação Duplas'!$D$8:$D$17,0))),"Semana 2",IFERROR(INDEX('🔄 Rotação Duplas'!$D$22:$D$31,MATCH(D278,'🔄 Rotação Duplas'!$C$22:$C$31,0)),INDEX('🔄 Rotação Duplas'!$C$22:$C$31,MATCH(D278,'🔄 Rotação Duplas'!$D$22:$D$31,0))),"Semana 3",IFERROR(INDEX('🔄 Rotação Duplas'!$D$36:$D$45,MATCH(D278,'🔄 Rotação Duplas'!$C$36:$C$45,0)),INDEX('🔄 Rotação Duplas'!$C$36:$C$45,MATCH(D278,'🔄 Rotação Duplas'!$D$36:$D$45,0))),"Semana 4",IFERROR(INDEX('🔄 Rotação Duplas'!$D$50:$D$59,MATCH(D278,'🔄 Rotação Duplas'!$C$50:$C$59,0)),INDEX('🔄 Rotação Duplas'!$C$50:$C$59,MATCH(D278,'🔄 Rotação Duplas'!$D$50:$D$59,0))),"Semana 5",IFERROR(INDEX('🔄 Rotação Duplas'!$D$64:$D$73,MATCH(D278,'🔄 Rotação Duplas'!$C$64:$C$73,0)),INDEX('🔄 Rotação Duplas'!$C$64:$C$73,MATCH(D278,'🔄 Rotação Duplas'!$D$64:$D$73,0))),"Semana 6",IFERROR(INDEX('🔄 Rotação Duplas'!$D$78:$D$87,MATCH(D278,'🔄 Rotação Duplas'!$C$78:$C$87,0)),INDEX('🔄 Rotação Duplas'!$C$78:$C$87,MATCH(D278,'🔄 Rotação Duplas'!$D$78:$D$87,0))),"Semana 7",IFERROR(INDEX('🔄 Rotação Duplas'!$D$92:$D$101,MATCH(D278,'🔄 Rotação Duplas'!$C$92:$C$101,0)),INDEX('🔄 Rotação Duplas'!$C$92:$C$101,MATCH(D278,'🔄 Rotação Duplas'!$D$92:$D$101,0))),"Semana 8",IFERROR(INDEX('🔄 Rotação Duplas'!$D$106:$D$115,MATCH(D278,'🔄 Rotação Duplas'!$C$106:$C$115,0)),INDEX('🔄 Rotação Duplas'!$C$106:$C$115,MATCH(D278,'🔄 Rotação Duplas'!$D$106:$D$115,0)))),""))</f>
        <v/>
      </c>
      <c r="T278">
        <f t="shared" si="24"/>
        <v>0</v>
      </c>
    </row>
    <row r="279" spans="2:20" ht="18" customHeight="1" x14ac:dyDescent="0.2">
      <c r="B279" s="78" t="s">
        <v>87</v>
      </c>
      <c r="C279" s="79" t="str">
        <f t="shared" si="25"/>
        <v>Desafio 14</v>
      </c>
      <c r="D279" s="80" t="str">
        <f>'⚙️ Configuração'!C42</f>
        <v>Patricia Isabel Silva</v>
      </c>
      <c r="E279" s="50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81">
        <f>(E279*'⚙️ Configuração'!$C$6+F279*'⚙️ Configuração'!$C$7+G279*'⚙️ Configuração'!$C$8+H279*'⚙️ Configuração'!$C$9+I279*'⚙️ Configuração'!$C$10+J279*'⚙️ Configuração'!$C$11)*IF(N279="S",2,1)</f>
        <v>0</v>
      </c>
      <c r="L279" s="90" t="s">
        <v>167</v>
      </c>
      <c r="M279" s="82">
        <f>IF(L279="AT1",'⚙️ Configuração'!$C$14,IF(L279="AT2",'⚙️ Configuração'!$C$15,IF(L279="FI",'⚙️ Configuração'!$C$16,IF(L279="FJ",'⚙️ Configuração'!$C$17,0))))</f>
        <v>0</v>
      </c>
      <c r="N279" s="91" t="s">
        <v>167</v>
      </c>
      <c r="O279" s="92"/>
      <c r="P279" s="83">
        <f>IF(O279="1",'⚙️ Configuração'!$C$21,IF(O279="2",'⚙️ Configuração'!$C$22,IF(O279="3",'⚙️ Configuração'!$C$23,IF(O279="Outro",'⚙️ Configuração'!$C$24,0))))</f>
        <v>0</v>
      </c>
      <c r="Q279" s="84">
        <f t="shared" si="23"/>
        <v>0</v>
      </c>
      <c r="R279" s="40" t="str">
        <f t="shared" si="22"/>
        <v>Semana 1 — ver 🔄</v>
      </c>
      <c r="S279" t="str" cm="1">
        <f t="array" ref="S279">IF(D279="","",IFERROR(_xlfn.SWITCH(B279,"Semana 1",IFERROR(INDEX('🔄 Rotação Duplas'!$D$8:$D$17,MATCH(D279,'🔄 Rotação Duplas'!$C$8:$C$17,0)),INDEX('🔄 Rotação Duplas'!$C$8:$C$17,MATCH(D279,'🔄 Rotação Duplas'!$D$8:$D$17,0))),"Semana 2",IFERROR(INDEX('🔄 Rotação Duplas'!$D$22:$D$31,MATCH(D279,'🔄 Rotação Duplas'!$C$22:$C$31,0)),INDEX('🔄 Rotação Duplas'!$C$22:$C$31,MATCH(D279,'🔄 Rotação Duplas'!$D$22:$D$31,0))),"Semana 3",IFERROR(INDEX('🔄 Rotação Duplas'!$D$36:$D$45,MATCH(D279,'🔄 Rotação Duplas'!$C$36:$C$45,0)),INDEX('🔄 Rotação Duplas'!$C$36:$C$45,MATCH(D279,'🔄 Rotação Duplas'!$D$36:$D$45,0))),"Semana 4",IFERROR(INDEX('🔄 Rotação Duplas'!$D$50:$D$59,MATCH(D279,'🔄 Rotação Duplas'!$C$50:$C$59,0)),INDEX('🔄 Rotação Duplas'!$C$50:$C$59,MATCH(D279,'🔄 Rotação Duplas'!$D$50:$D$59,0))),"Semana 5",IFERROR(INDEX('🔄 Rotação Duplas'!$D$64:$D$73,MATCH(D279,'🔄 Rotação Duplas'!$C$64:$C$73,0)),INDEX('🔄 Rotação Duplas'!$C$64:$C$73,MATCH(D279,'🔄 Rotação Duplas'!$D$64:$D$73,0))),"Semana 6",IFERROR(INDEX('🔄 Rotação Duplas'!$D$78:$D$87,MATCH(D279,'🔄 Rotação Duplas'!$C$78:$C$87,0)),INDEX('🔄 Rotação Duplas'!$C$78:$C$87,MATCH(D279,'🔄 Rotação Duplas'!$D$78:$D$87,0))),"Semana 7",IFERROR(INDEX('🔄 Rotação Duplas'!$D$92:$D$101,MATCH(D279,'🔄 Rotação Duplas'!$C$92:$C$101,0)),INDEX('🔄 Rotação Duplas'!$C$92:$C$101,MATCH(D279,'🔄 Rotação Duplas'!$D$92:$D$101,0))),"Semana 8",IFERROR(INDEX('🔄 Rotação Duplas'!$D$106:$D$115,MATCH(D279,'🔄 Rotação Duplas'!$C$106:$C$115,0)),INDEX('🔄 Rotação Duplas'!$C$106:$C$115,MATCH(D279,'🔄 Rotação Duplas'!$D$106:$D$115,0)))),""))</f>
        <v/>
      </c>
      <c r="T279">
        <f t="shared" si="24"/>
        <v>0</v>
      </c>
    </row>
    <row r="280" spans="2:20" ht="18" customHeight="1" x14ac:dyDescent="0.2">
      <c r="B280" s="85" t="s">
        <v>87</v>
      </c>
      <c r="C280" s="86" t="str">
        <f t="shared" si="25"/>
        <v>Desafio 14</v>
      </c>
      <c r="D280" s="87" t="str">
        <f>'⚙️ Configuração'!C43</f>
        <v>Paula Martins</v>
      </c>
      <c r="E280" s="50">
        <v>0</v>
      </c>
      <c r="F280" s="50">
        <v>0</v>
      </c>
      <c r="G280" s="50">
        <v>0</v>
      </c>
      <c r="H280" s="50">
        <v>0</v>
      </c>
      <c r="I280" s="50">
        <v>0</v>
      </c>
      <c r="J280" s="50">
        <v>0</v>
      </c>
      <c r="K280" s="81">
        <f>(E280*'⚙️ Configuração'!$C$6+F280*'⚙️ Configuração'!$C$7+G280*'⚙️ Configuração'!$C$8+H280*'⚙️ Configuração'!$C$9+I280*'⚙️ Configuração'!$C$10+J280*'⚙️ Configuração'!$C$11)*IF(N280="S",2,1)</f>
        <v>0</v>
      </c>
      <c r="L280" s="90" t="s">
        <v>167</v>
      </c>
      <c r="M280" s="82">
        <f>IF(L280="AT1",'⚙️ Configuração'!$C$14,IF(L280="AT2",'⚙️ Configuração'!$C$15,IF(L280="FI",'⚙️ Configuração'!$C$16,IF(L280="FJ",'⚙️ Configuração'!$C$17,0))))</f>
        <v>0</v>
      </c>
      <c r="N280" s="91" t="s">
        <v>167</v>
      </c>
      <c r="O280" s="92"/>
      <c r="P280" s="83">
        <f>IF(O280="1",'⚙️ Configuração'!$C$21,IF(O280="2",'⚙️ Configuração'!$C$22,IF(O280="3",'⚙️ Configuração'!$C$23,IF(O280="Outro",'⚙️ Configuração'!$C$24,0))))</f>
        <v>0</v>
      </c>
      <c r="Q280" s="84">
        <f t="shared" si="23"/>
        <v>0</v>
      </c>
      <c r="R280" s="40" t="str">
        <f t="shared" si="22"/>
        <v>Semana 1 — ver 🔄</v>
      </c>
      <c r="S280" t="str" cm="1">
        <f t="array" ref="S280">IF(D280="","",IFERROR(_xlfn.SWITCH(B280,"Semana 1",IFERROR(INDEX('🔄 Rotação Duplas'!$D$8:$D$17,MATCH(D280,'🔄 Rotação Duplas'!$C$8:$C$17,0)),INDEX('🔄 Rotação Duplas'!$C$8:$C$17,MATCH(D280,'🔄 Rotação Duplas'!$D$8:$D$17,0))),"Semana 2",IFERROR(INDEX('🔄 Rotação Duplas'!$D$22:$D$31,MATCH(D280,'🔄 Rotação Duplas'!$C$22:$C$31,0)),INDEX('🔄 Rotação Duplas'!$C$22:$C$31,MATCH(D280,'🔄 Rotação Duplas'!$D$22:$D$31,0))),"Semana 3",IFERROR(INDEX('🔄 Rotação Duplas'!$D$36:$D$45,MATCH(D280,'🔄 Rotação Duplas'!$C$36:$C$45,0)),INDEX('🔄 Rotação Duplas'!$C$36:$C$45,MATCH(D280,'🔄 Rotação Duplas'!$D$36:$D$45,0))),"Semana 4",IFERROR(INDEX('🔄 Rotação Duplas'!$D$50:$D$59,MATCH(D280,'🔄 Rotação Duplas'!$C$50:$C$59,0)),INDEX('🔄 Rotação Duplas'!$C$50:$C$59,MATCH(D280,'🔄 Rotação Duplas'!$D$50:$D$59,0))),"Semana 5",IFERROR(INDEX('🔄 Rotação Duplas'!$D$64:$D$73,MATCH(D280,'🔄 Rotação Duplas'!$C$64:$C$73,0)),INDEX('🔄 Rotação Duplas'!$C$64:$C$73,MATCH(D280,'🔄 Rotação Duplas'!$D$64:$D$73,0))),"Semana 6",IFERROR(INDEX('🔄 Rotação Duplas'!$D$78:$D$87,MATCH(D280,'🔄 Rotação Duplas'!$C$78:$C$87,0)),INDEX('🔄 Rotação Duplas'!$C$78:$C$87,MATCH(D280,'🔄 Rotação Duplas'!$D$78:$D$87,0))),"Semana 7",IFERROR(INDEX('🔄 Rotação Duplas'!$D$92:$D$101,MATCH(D280,'🔄 Rotação Duplas'!$C$92:$C$101,0)),INDEX('🔄 Rotação Duplas'!$C$92:$C$101,MATCH(D280,'🔄 Rotação Duplas'!$D$92:$D$101,0))),"Semana 8",IFERROR(INDEX('🔄 Rotação Duplas'!$D$106:$D$115,MATCH(D280,'🔄 Rotação Duplas'!$C$106:$C$115,0)),INDEX('🔄 Rotação Duplas'!$C$106:$C$115,MATCH(D280,'🔄 Rotação Duplas'!$D$106:$D$115,0)))),""))</f>
        <v/>
      </c>
      <c r="T280">
        <f t="shared" si="24"/>
        <v>0</v>
      </c>
    </row>
    <row r="281" spans="2:20" ht="18" customHeight="1" x14ac:dyDescent="0.2">
      <c r="B281" s="78" t="s">
        <v>87</v>
      </c>
      <c r="C281" s="79" t="str">
        <f t="shared" si="25"/>
        <v>Desafio 14</v>
      </c>
      <c r="D281" s="80" t="str">
        <f>'⚙️ Configuração'!C44</f>
        <v>Paula Miabara</v>
      </c>
      <c r="E281" s="50">
        <v>0</v>
      </c>
      <c r="F281" s="50">
        <v>0</v>
      </c>
      <c r="G281" s="50">
        <v>0</v>
      </c>
      <c r="H281" s="50">
        <v>0</v>
      </c>
      <c r="I281" s="50">
        <v>0</v>
      </c>
      <c r="J281" s="50">
        <v>0</v>
      </c>
      <c r="K281" s="81">
        <f>(E281*'⚙️ Configuração'!$C$6+F281*'⚙️ Configuração'!$C$7+G281*'⚙️ Configuração'!$C$8+H281*'⚙️ Configuração'!$C$9+I281*'⚙️ Configuração'!$C$10+J281*'⚙️ Configuração'!$C$11)*IF(N281="S",2,1)</f>
        <v>0</v>
      </c>
      <c r="L281" s="90" t="s">
        <v>167</v>
      </c>
      <c r="M281" s="82">
        <f>IF(L281="AT1",'⚙️ Configuração'!$C$14,IF(L281="AT2",'⚙️ Configuração'!$C$15,IF(L281="FI",'⚙️ Configuração'!$C$16,IF(L281="FJ",'⚙️ Configuração'!$C$17,0))))</f>
        <v>0</v>
      </c>
      <c r="N281" s="91" t="s">
        <v>167</v>
      </c>
      <c r="O281" s="92"/>
      <c r="P281" s="83">
        <f>IF(O281="1",'⚙️ Configuração'!$C$21,IF(O281="2",'⚙️ Configuração'!$C$22,IF(O281="3",'⚙️ Configuração'!$C$23,IF(O281="Outro",'⚙️ Configuração'!$C$24,0))))</f>
        <v>0</v>
      </c>
      <c r="Q281" s="84">
        <f t="shared" si="23"/>
        <v>0</v>
      </c>
      <c r="R281" s="40" t="str">
        <f t="shared" si="22"/>
        <v>Semana 1 — ver 🔄</v>
      </c>
      <c r="S281" t="str" cm="1">
        <f t="array" ref="S281">IF(D281="","",IFERROR(_xlfn.SWITCH(B281,"Semana 1",IFERROR(INDEX('🔄 Rotação Duplas'!$D$8:$D$17,MATCH(D281,'🔄 Rotação Duplas'!$C$8:$C$17,0)),INDEX('🔄 Rotação Duplas'!$C$8:$C$17,MATCH(D281,'🔄 Rotação Duplas'!$D$8:$D$17,0))),"Semana 2",IFERROR(INDEX('🔄 Rotação Duplas'!$D$22:$D$31,MATCH(D281,'🔄 Rotação Duplas'!$C$22:$C$31,0)),INDEX('🔄 Rotação Duplas'!$C$22:$C$31,MATCH(D281,'🔄 Rotação Duplas'!$D$22:$D$31,0))),"Semana 3",IFERROR(INDEX('🔄 Rotação Duplas'!$D$36:$D$45,MATCH(D281,'🔄 Rotação Duplas'!$C$36:$C$45,0)),INDEX('🔄 Rotação Duplas'!$C$36:$C$45,MATCH(D281,'🔄 Rotação Duplas'!$D$36:$D$45,0))),"Semana 4",IFERROR(INDEX('🔄 Rotação Duplas'!$D$50:$D$59,MATCH(D281,'🔄 Rotação Duplas'!$C$50:$C$59,0)),INDEX('🔄 Rotação Duplas'!$C$50:$C$59,MATCH(D281,'🔄 Rotação Duplas'!$D$50:$D$59,0))),"Semana 5",IFERROR(INDEX('🔄 Rotação Duplas'!$D$64:$D$73,MATCH(D281,'🔄 Rotação Duplas'!$C$64:$C$73,0)),INDEX('🔄 Rotação Duplas'!$C$64:$C$73,MATCH(D281,'🔄 Rotação Duplas'!$D$64:$D$73,0))),"Semana 6",IFERROR(INDEX('🔄 Rotação Duplas'!$D$78:$D$87,MATCH(D281,'🔄 Rotação Duplas'!$C$78:$C$87,0)),INDEX('🔄 Rotação Duplas'!$C$78:$C$87,MATCH(D281,'🔄 Rotação Duplas'!$D$78:$D$87,0))),"Semana 7",IFERROR(INDEX('🔄 Rotação Duplas'!$D$92:$D$101,MATCH(D281,'🔄 Rotação Duplas'!$C$92:$C$101,0)),INDEX('🔄 Rotação Duplas'!$C$92:$C$101,MATCH(D281,'🔄 Rotação Duplas'!$D$92:$D$101,0))),"Semana 8",IFERROR(INDEX('🔄 Rotação Duplas'!$D$106:$D$115,MATCH(D281,'🔄 Rotação Duplas'!$C$106:$C$115,0)),INDEX('🔄 Rotação Duplas'!$C$106:$C$115,MATCH(D281,'🔄 Rotação Duplas'!$D$106:$D$115,0)))),""))</f>
        <v/>
      </c>
      <c r="T281">
        <f t="shared" si="24"/>
        <v>0</v>
      </c>
    </row>
    <row r="282" spans="2:20" ht="18" customHeight="1" x14ac:dyDescent="0.2">
      <c r="B282" s="85" t="s">
        <v>87</v>
      </c>
      <c r="C282" s="86" t="str">
        <f t="shared" si="25"/>
        <v>Desafio 14</v>
      </c>
      <c r="D282" s="87" t="str">
        <f>'⚙️ Configuração'!C45</f>
        <v>Rita Carmo</v>
      </c>
      <c r="E282" s="50">
        <v>0</v>
      </c>
      <c r="F282" s="50">
        <v>0</v>
      </c>
      <c r="G282" s="50">
        <v>0</v>
      </c>
      <c r="H282" s="50">
        <v>0</v>
      </c>
      <c r="I282" s="50">
        <v>0</v>
      </c>
      <c r="J282" s="50">
        <v>0</v>
      </c>
      <c r="K282" s="81">
        <f>(E282*'⚙️ Configuração'!$C$6+F282*'⚙️ Configuração'!$C$7+G282*'⚙️ Configuração'!$C$8+H282*'⚙️ Configuração'!$C$9+I282*'⚙️ Configuração'!$C$10+J282*'⚙️ Configuração'!$C$11)*IF(N282="S",2,1)</f>
        <v>0</v>
      </c>
      <c r="L282" s="90" t="s">
        <v>167</v>
      </c>
      <c r="M282" s="82">
        <f>IF(L282="AT1",'⚙️ Configuração'!$C$14,IF(L282="AT2",'⚙️ Configuração'!$C$15,IF(L282="FI",'⚙️ Configuração'!$C$16,IF(L282="FJ",'⚙️ Configuração'!$C$17,0))))</f>
        <v>0</v>
      </c>
      <c r="N282" s="91" t="s">
        <v>167</v>
      </c>
      <c r="O282" s="92"/>
      <c r="P282" s="83">
        <f>IF(O282="1",'⚙️ Configuração'!$C$21,IF(O282="2",'⚙️ Configuração'!$C$22,IF(O282="3",'⚙️ Configuração'!$C$23,IF(O282="Outro",'⚙️ Configuração'!$C$24,0))))</f>
        <v>0</v>
      </c>
      <c r="Q282" s="84">
        <f t="shared" si="23"/>
        <v>0</v>
      </c>
      <c r="R282" s="40" t="str">
        <f t="shared" si="22"/>
        <v>Semana 1 — ver 🔄</v>
      </c>
      <c r="S282" t="str" cm="1">
        <f t="array" ref="S282">IF(D282="","",IFERROR(_xlfn.SWITCH(B282,"Semana 1",IFERROR(INDEX('🔄 Rotação Duplas'!$D$8:$D$17,MATCH(D282,'🔄 Rotação Duplas'!$C$8:$C$17,0)),INDEX('🔄 Rotação Duplas'!$C$8:$C$17,MATCH(D282,'🔄 Rotação Duplas'!$D$8:$D$17,0))),"Semana 2",IFERROR(INDEX('🔄 Rotação Duplas'!$D$22:$D$31,MATCH(D282,'🔄 Rotação Duplas'!$C$22:$C$31,0)),INDEX('🔄 Rotação Duplas'!$C$22:$C$31,MATCH(D282,'🔄 Rotação Duplas'!$D$22:$D$31,0))),"Semana 3",IFERROR(INDEX('🔄 Rotação Duplas'!$D$36:$D$45,MATCH(D282,'🔄 Rotação Duplas'!$C$36:$C$45,0)),INDEX('🔄 Rotação Duplas'!$C$36:$C$45,MATCH(D282,'🔄 Rotação Duplas'!$D$36:$D$45,0))),"Semana 4",IFERROR(INDEX('🔄 Rotação Duplas'!$D$50:$D$59,MATCH(D282,'🔄 Rotação Duplas'!$C$50:$C$59,0)),INDEX('🔄 Rotação Duplas'!$C$50:$C$59,MATCH(D282,'🔄 Rotação Duplas'!$D$50:$D$59,0))),"Semana 5",IFERROR(INDEX('🔄 Rotação Duplas'!$D$64:$D$73,MATCH(D282,'🔄 Rotação Duplas'!$C$64:$C$73,0)),INDEX('🔄 Rotação Duplas'!$C$64:$C$73,MATCH(D282,'🔄 Rotação Duplas'!$D$64:$D$73,0))),"Semana 6",IFERROR(INDEX('🔄 Rotação Duplas'!$D$78:$D$87,MATCH(D282,'🔄 Rotação Duplas'!$C$78:$C$87,0)),INDEX('🔄 Rotação Duplas'!$C$78:$C$87,MATCH(D282,'🔄 Rotação Duplas'!$D$78:$D$87,0))),"Semana 7",IFERROR(INDEX('🔄 Rotação Duplas'!$D$92:$D$101,MATCH(D282,'🔄 Rotação Duplas'!$C$92:$C$101,0)),INDEX('🔄 Rotação Duplas'!$C$92:$C$101,MATCH(D282,'🔄 Rotação Duplas'!$D$92:$D$101,0))),"Semana 8",IFERROR(INDEX('🔄 Rotação Duplas'!$D$106:$D$115,MATCH(D282,'🔄 Rotação Duplas'!$C$106:$C$115,0)),INDEX('🔄 Rotação Duplas'!$C$106:$C$115,MATCH(D282,'🔄 Rotação Duplas'!$D$106:$D$115,0)))),""))</f>
        <v/>
      </c>
      <c r="T282">
        <f t="shared" si="24"/>
        <v>0</v>
      </c>
    </row>
    <row r="283" spans="2:20" ht="18" customHeight="1" x14ac:dyDescent="0.2">
      <c r="B283" s="78" t="s">
        <v>87</v>
      </c>
      <c r="C283" s="79" t="str">
        <f t="shared" si="25"/>
        <v>Desafio 14</v>
      </c>
      <c r="D283" s="80" t="str">
        <f>'⚙️ Configuração'!C46</f>
        <v>William Fernandes</v>
      </c>
      <c r="E283" s="50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81">
        <f>(E283*'⚙️ Configuração'!$C$6+F283*'⚙️ Configuração'!$C$7+G283*'⚙️ Configuração'!$C$8+H283*'⚙️ Configuração'!$C$9+I283*'⚙️ Configuração'!$C$10+J283*'⚙️ Configuração'!$C$11)*IF(N283="S",2,1)</f>
        <v>0</v>
      </c>
      <c r="L283" s="90" t="s">
        <v>167</v>
      </c>
      <c r="M283" s="82">
        <f>IF(L283="AT1",'⚙️ Configuração'!$C$14,IF(L283="AT2",'⚙️ Configuração'!$C$15,IF(L283="FI",'⚙️ Configuração'!$C$16,IF(L283="FJ",'⚙️ Configuração'!$C$17,0))))</f>
        <v>0</v>
      </c>
      <c r="N283" s="91" t="s">
        <v>167</v>
      </c>
      <c r="O283" s="92"/>
      <c r="P283" s="83">
        <f>IF(O283="1",'⚙️ Configuração'!$C$21,IF(O283="2",'⚙️ Configuração'!$C$22,IF(O283="3",'⚙️ Configuração'!$C$23,IF(O283="Outro",'⚙️ Configuração'!$C$24,0))))</f>
        <v>0</v>
      </c>
      <c r="Q283" s="84">
        <f t="shared" si="23"/>
        <v>0</v>
      </c>
      <c r="R283" s="40" t="str">
        <f t="shared" si="22"/>
        <v>Semana 1 — ver 🔄</v>
      </c>
      <c r="S283" t="str" cm="1">
        <f t="array" ref="S283">IF(D283="","",IFERROR(_xlfn.SWITCH(B283,"Semana 1",IFERROR(INDEX('🔄 Rotação Duplas'!$D$8:$D$17,MATCH(D283,'🔄 Rotação Duplas'!$C$8:$C$17,0)),INDEX('🔄 Rotação Duplas'!$C$8:$C$17,MATCH(D283,'🔄 Rotação Duplas'!$D$8:$D$17,0))),"Semana 2",IFERROR(INDEX('🔄 Rotação Duplas'!$D$22:$D$31,MATCH(D283,'🔄 Rotação Duplas'!$C$22:$C$31,0)),INDEX('🔄 Rotação Duplas'!$C$22:$C$31,MATCH(D283,'🔄 Rotação Duplas'!$D$22:$D$31,0))),"Semana 3",IFERROR(INDEX('🔄 Rotação Duplas'!$D$36:$D$45,MATCH(D283,'🔄 Rotação Duplas'!$C$36:$C$45,0)),INDEX('🔄 Rotação Duplas'!$C$36:$C$45,MATCH(D283,'🔄 Rotação Duplas'!$D$36:$D$45,0))),"Semana 4",IFERROR(INDEX('🔄 Rotação Duplas'!$D$50:$D$59,MATCH(D283,'🔄 Rotação Duplas'!$C$50:$C$59,0)),INDEX('🔄 Rotação Duplas'!$C$50:$C$59,MATCH(D283,'🔄 Rotação Duplas'!$D$50:$D$59,0))),"Semana 5",IFERROR(INDEX('🔄 Rotação Duplas'!$D$64:$D$73,MATCH(D283,'🔄 Rotação Duplas'!$C$64:$C$73,0)),INDEX('🔄 Rotação Duplas'!$C$64:$C$73,MATCH(D283,'🔄 Rotação Duplas'!$D$64:$D$73,0))),"Semana 6",IFERROR(INDEX('🔄 Rotação Duplas'!$D$78:$D$87,MATCH(D283,'🔄 Rotação Duplas'!$C$78:$C$87,0)),INDEX('🔄 Rotação Duplas'!$C$78:$C$87,MATCH(D283,'🔄 Rotação Duplas'!$D$78:$D$87,0))),"Semana 7",IFERROR(INDEX('🔄 Rotação Duplas'!$D$92:$D$101,MATCH(D283,'🔄 Rotação Duplas'!$C$92:$C$101,0)),INDEX('🔄 Rotação Duplas'!$C$92:$C$101,MATCH(D283,'🔄 Rotação Duplas'!$D$92:$D$101,0))),"Semana 8",IFERROR(INDEX('🔄 Rotação Duplas'!$D$106:$D$115,MATCH(D283,'🔄 Rotação Duplas'!$C$106:$C$115,0)),INDEX('🔄 Rotação Duplas'!$C$106:$C$115,MATCH(D283,'🔄 Rotação Duplas'!$D$106:$D$115,0)))),""))</f>
        <v/>
      </c>
      <c r="T283">
        <f t="shared" si="24"/>
        <v>0</v>
      </c>
    </row>
    <row r="284" spans="2:20" ht="18" customHeight="1" x14ac:dyDescent="0.2">
      <c r="B284" s="85" t="s">
        <v>87</v>
      </c>
      <c r="C284" s="86" t="str">
        <f t="shared" si="25"/>
        <v>Desafio 14</v>
      </c>
      <c r="D284" s="87" t="str">
        <f>'⚙️ Configuração'!C47</f>
        <v>-</v>
      </c>
      <c r="E284" s="50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81">
        <f>(E284*'⚙️ Configuração'!$C$6+F284*'⚙️ Configuração'!$C$7+G284*'⚙️ Configuração'!$C$8+H284*'⚙️ Configuração'!$C$9+I284*'⚙️ Configuração'!$C$10+J284*'⚙️ Configuração'!$C$11)*IF(N284="S",2,1)</f>
        <v>0</v>
      </c>
      <c r="L284" s="90" t="s">
        <v>167</v>
      </c>
      <c r="M284" s="82">
        <f>IF(L284="AT1",'⚙️ Configuração'!$C$14,IF(L284="AT2",'⚙️ Configuração'!$C$15,IF(L284="FI",'⚙️ Configuração'!$C$16,IF(L284="FJ",'⚙️ Configuração'!$C$17,0))))</f>
        <v>0</v>
      </c>
      <c r="N284" s="91" t="s">
        <v>167</v>
      </c>
      <c r="O284" s="92"/>
      <c r="P284" s="83">
        <f>IF(O284="1",'⚙️ Configuração'!$C$21,IF(O284="2",'⚙️ Configuração'!$C$22,IF(O284="3",'⚙️ Configuração'!$C$23,IF(O284="Outro",'⚙️ Configuração'!$C$24,0))))</f>
        <v>0</v>
      </c>
      <c r="Q284" s="84">
        <f t="shared" si="23"/>
        <v>0</v>
      </c>
      <c r="R284" s="40" t="str">
        <f t="shared" si="22"/>
        <v>Semana 1 — ver 🔄</v>
      </c>
      <c r="S284" t="str" cm="1">
        <f t="array" ref="S284">IF(D284="","",IFERROR(_xlfn.SWITCH(B284,"Semana 1",IFERROR(INDEX('🔄 Rotação Duplas'!$D$8:$D$17,MATCH(D284,'🔄 Rotação Duplas'!$C$8:$C$17,0)),INDEX('🔄 Rotação Duplas'!$C$8:$C$17,MATCH(D284,'🔄 Rotação Duplas'!$D$8:$D$17,0))),"Semana 2",IFERROR(INDEX('🔄 Rotação Duplas'!$D$22:$D$31,MATCH(D284,'🔄 Rotação Duplas'!$C$22:$C$31,0)),INDEX('🔄 Rotação Duplas'!$C$22:$C$31,MATCH(D284,'🔄 Rotação Duplas'!$D$22:$D$31,0))),"Semana 3",IFERROR(INDEX('🔄 Rotação Duplas'!$D$36:$D$45,MATCH(D284,'🔄 Rotação Duplas'!$C$36:$C$45,0)),INDEX('🔄 Rotação Duplas'!$C$36:$C$45,MATCH(D284,'🔄 Rotação Duplas'!$D$36:$D$45,0))),"Semana 4",IFERROR(INDEX('🔄 Rotação Duplas'!$D$50:$D$59,MATCH(D284,'🔄 Rotação Duplas'!$C$50:$C$59,0)),INDEX('🔄 Rotação Duplas'!$C$50:$C$59,MATCH(D284,'🔄 Rotação Duplas'!$D$50:$D$59,0))),"Semana 5",IFERROR(INDEX('🔄 Rotação Duplas'!$D$64:$D$73,MATCH(D284,'🔄 Rotação Duplas'!$C$64:$C$73,0)),INDEX('🔄 Rotação Duplas'!$C$64:$C$73,MATCH(D284,'🔄 Rotação Duplas'!$D$64:$D$73,0))),"Semana 6",IFERROR(INDEX('🔄 Rotação Duplas'!$D$78:$D$87,MATCH(D284,'🔄 Rotação Duplas'!$C$78:$C$87,0)),INDEX('🔄 Rotação Duplas'!$C$78:$C$87,MATCH(D284,'🔄 Rotação Duplas'!$D$78:$D$87,0))),"Semana 7",IFERROR(INDEX('🔄 Rotação Duplas'!$D$92:$D$101,MATCH(D284,'🔄 Rotação Duplas'!$C$92:$C$101,0)),INDEX('🔄 Rotação Duplas'!$C$92:$C$101,MATCH(D284,'🔄 Rotação Duplas'!$D$92:$D$101,0))),"Semana 8",IFERROR(INDEX('🔄 Rotação Duplas'!$D$106:$D$115,MATCH(D284,'🔄 Rotação Duplas'!$C$106:$C$115,0)),INDEX('🔄 Rotação Duplas'!$C$106:$C$115,MATCH(D284,'🔄 Rotação Duplas'!$D$106:$D$115,0)))),""))</f>
        <v/>
      </c>
      <c r="T284">
        <f t="shared" si="24"/>
        <v>0</v>
      </c>
    </row>
    <row r="285" spans="2:20" ht="18" customHeight="1" x14ac:dyDescent="0.2">
      <c r="B285" s="78" t="s">
        <v>87</v>
      </c>
      <c r="C285" s="79" t="str">
        <f t="shared" si="25"/>
        <v>Desafio 14</v>
      </c>
      <c r="D285" s="80" t="str">
        <f>'⚙️ Configuração'!C48</f>
        <v>-</v>
      </c>
      <c r="E285" s="50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81">
        <f>(E285*'⚙️ Configuração'!$C$6+F285*'⚙️ Configuração'!$C$7+G285*'⚙️ Configuração'!$C$8+H285*'⚙️ Configuração'!$C$9+I285*'⚙️ Configuração'!$C$10+J285*'⚙️ Configuração'!$C$11)*IF(N285="S",2,1)</f>
        <v>0</v>
      </c>
      <c r="L285" s="90" t="s">
        <v>167</v>
      </c>
      <c r="M285" s="82">
        <f>IF(L285="AT1",'⚙️ Configuração'!$C$14,IF(L285="AT2",'⚙️ Configuração'!$C$15,IF(L285="FI",'⚙️ Configuração'!$C$16,IF(L285="FJ",'⚙️ Configuração'!$C$17,0))))</f>
        <v>0</v>
      </c>
      <c r="N285" s="91" t="s">
        <v>167</v>
      </c>
      <c r="O285" s="92"/>
      <c r="P285" s="83">
        <f>IF(O285="1",'⚙️ Configuração'!$C$21,IF(O285="2",'⚙️ Configuração'!$C$22,IF(O285="3",'⚙️ Configuração'!$C$23,IF(O285="Outro",'⚙️ Configuração'!$C$24,0))))</f>
        <v>0</v>
      </c>
      <c r="Q285" s="84">
        <f t="shared" si="23"/>
        <v>0</v>
      </c>
      <c r="R285" s="40" t="str">
        <f t="shared" si="22"/>
        <v>Semana 1 — ver 🔄</v>
      </c>
      <c r="S285" t="str" cm="1">
        <f t="array" ref="S285">IF(D285="","",IFERROR(_xlfn.SWITCH(B285,"Semana 1",IFERROR(INDEX('🔄 Rotação Duplas'!$D$8:$D$17,MATCH(D285,'🔄 Rotação Duplas'!$C$8:$C$17,0)),INDEX('🔄 Rotação Duplas'!$C$8:$C$17,MATCH(D285,'🔄 Rotação Duplas'!$D$8:$D$17,0))),"Semana 2",IFERROR(INDEX('🔄 Rotação Duplas'!$D$22:$D$31,MATCH(D285,'🔄 Rotação Duplas'!$C$22:$C$31,0)),INDEX('🔄 Rotação Duplas'!$C$22:$C$31,MATCH(D285,'🔄 Rotação Duplas'!$D$22:$D$31,0))),"Semana 3",IFERROR(INDEX('🔄 Rotação Duplas'!$D$36:$D$45,MATCH(D285,'🔄 Rotação Duplas'!$C$36:$C$45,0)),INDEX('🔄 Rotação Duplas'!$C$36:$C$45,MATCH(D285,'🔄 Rotação Duplas'!$D$36:$D$45,0))),"Semana 4",IFERROR(INDEX('🔄 Rotação Duplas'!$D$50:$D$59,MATCH(D285,'🔄 Rotação Duplas'!$C$50:$C$59,0)),INDEX('🔄 Rotação Duplas'!$C$50:$C$59,MATCH(D285,'🔄 Rotação Duplas'!$D$50:$D$59,0))),"Semana 5",IFERROR(INDEX('🔄 Rotação Duplas'!$D$64:$D$73,MATCH(D285,'🔄 Rotação Duplas'!$C$64:$C$73,0)),INDEX('🔄 Rotação Duplas'!$C$64:$C$73,MATCH(D285,'🔄 Rotação Duplas'!$D$64:$D$73,0))),"Semana 6",IFERROR(INDEX('🔄 Rotação Duplas'!$D$78:$D$87,MATCH(D285,'🔄 Rotação Duplas'!$C$78:$C$87,0)),INDEX('🔄 Rotação Duplas'!$C$78:$C$87,MATCH(D285,'🔄 Rotação Duplas'!$D$78:$D$87,0))),"Semana 7",IFERROR(INDEX('🔄 Rotação Duplas'!$D$92:$D$101,MATCH(D285,'🔄 Rotação Duplas'!$C$92:$C$101,0)),INDEX('🔄 Rotação Duplas'!$C$92:$C$101,MATCH(D285,'🔄 Rotação Duplas'!$D$92:$D$101,0))),"Semana 8",IFERROR(INDEX('🔄 Rotação Duplas'!$D$106:$D$115,MATCH(D285,'🔄 Rotação Duplas'!$C$106:$C$115,0)),INDEX('🔄 Rotação Duplas'!$C$106:$C$115,MATCH(D285,'🔄 Rotação Duplas'!$D$106:$D$115,0)))),""))</f>
        <v/>
      </c>
      <c r="T285">
        <f t="shared" si="24"/>
        <v>0</v>
      </c>
    </row>
    <row r="286" spans="2:20" ht="18" customHeight="1" x14ac:dyDescent="0.2">
      <c r="B286" s="85" t="s">
        <v>87</v>
      </c>
      <c r="C286" s="86" t="str">
        <f t="shared" si="25"/>
        <v>Desafio 14</v>
      </c>
      <c r="D286" s="87" t="str">
        <f>'⚙️ Configuração'!C49</f>
        <v>-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81">
        <f>(E286*'⚙️ Configuração'!$C$6+F286*'⚙️ Configuração'!$C$7+G286*'⚙️ Configuração'!$C$8+H286*'⚙️ Configuração'!$C$9+I286*'⚙️ Configuração'!$C$10+J286*'⚙️ Configuração'!$C$11)*IF(N286="S",2,1)</f>
        <v>0</v>
      </c>
      <c r="L286" s="90" t="s">
        <v>167</v>
      </c>
      <c r="M286" s="82">
        <f>IF(L286="AT1",'⚙️ Configuração'!$C$14,IF(L286="AT2",'⚙️ Configuração'!$C$15,IF(L286="FI",'⚙️ Configuração'!$C$16,IF(L286="FJ",'⚙️ Configuração'!$C$17,0))))</f>
        <v>0</v>
      </c>
      <c r="N286" s="91" t="s">
        <v>167</v>
      </c>
      <c r="O286" s="92"/>
      <c r="P286" s="83">
        <f>IF(O286="1",'⚙️ Configuração'!$C$21,IF(O286="2",'⚙️ Configuração'!$C$22,IF(O286="3",'⚙️ Configuração'!$C$23,IF(O286="Outro",'⚙️ Configuração'!$C$24,0))))</f>
        <v>0</v>
      </c>
      <c r="Q286" s="84">
        <f t="shared" si="23"/>
        <v>0</v>
      </c>
      <c r="R286" s="40" t="str">
        <f t="shared" si="22"/>
        <v>Semana 1 — ver 🔄</v>
      </c>
      <c r="S286" t="str" cm="1">
        <f t="array" ref="S286">IF(D286="","",IFERROR(_xlfn.SWITCH(B286,"Semana 1",IFERROR(INDEX('🔄 Rotação Duplas'!$D$8:$D$17,MATCH(D286,'🔄 Rotação Duplas'!$C$8:$C$17,0)),INDEX('🔄 Rotação Duplas'!$C$8:$C$17,MATCH(D286,'🔄 Rotação Duplas'!$D$8:$D$17,0))),"Semana 2",IFERROR(INDEX('🔄 Rotação Duplas'!$D$22:$D$31,MATCH(D286,'🔄 Rotação Duplas'!$C$22:$C$31,0)),INDEX('🔄 Rotação Duplas'!$C$22:$C$31,MATCH(D286,'🔄 Rotação Duplas'!$D$22:$D$31,0))),"Semana 3",IFERROR(INDEX('🔄 Rotação Duplas'!$D$36:$D$45,MATCH(D286,'🔄 Rotação Duplas'!$C$36:$C$45,0)),INDEX('🔄 Rotação Duplas'!$C$36:$C$45,MATCH(D286,'🔄 Rotação Duplas'!$D$36:$D$45,0))),"Semana 4",IFERROR(INDEX('🔄 Rotação Duplas'!$D$50:$D$59,MATCH(D286,'🔄 Rotação Duplas'!$C$50:$C$59,0)),INDEX('🔄 Rotação Duplas'!$C$50:$C$59,MATCH(D286,'🔄 Rotação Duplas'!$D$50:$D$59,0))),"Semana 5",IFERROR(INDEX('🔄 Rotação Duplas'!$D$64:$D$73,MATCH(D286,'🔄 Rotação Duplas'!$C$64:$C$73,0)),INDEX('🔄 Rotação Duplas'!$C$64:$C$73,MATCH(D286,'🔄 Rotação Duplas'!$D$64:$D$73,0))),"Semana 6",IFERROR(INDEX('🔄 Rotação Duplas'!$D$78:$D$87,MATCH(D286,'🔄 Rotação Duplas'!$C$78:$C$87,0)),INDEX('🔄 Rotação Duplas'!$C$78:$C$87,MATCH(D286,'🔄 Rotação Duplas'!$D$78:$D$87,0))),"Semana 7",IFERROR(INDEX('🔄 Rotação Duplas'!$D$92:$D$101,MATCH(D286,'🔄 Rotação Duplas'!$C$92:$C$101,0)),INDEX('🔄 Rotação Duplas'!$C$92:$C$101,MATCH(D286,'🔄 Rotação Duplas'!$D$92:$D$101,0))),"Semana 8",IFERROR(INDEX('🔄 Rotação Duplas'!$D$106:$D$115,MATCH(D286,'🔄 Rotação Duplas'!$C$106:$C$115,0)),INDEX('🔄 Rotação Duplas'!$C$106:$C$115,MATCH(D286,'🔄 Rotação Duplas'!$D$106:$D$115,0)))),""))</f>
        <v/>
      </c>
      <c r="T286">
        <f t="shared" si="24"/>
        <v>0</v>
      </c>
    </row>
    <row r="287" spans="2:20" ht="18" customHeight="1" x14ac:dyDescent="0.2">
      <c r="B287" s="78" t="s">
        <v>87</v>
      </c>
      <c r="C287" s="79" t="str">
        <f t="shared" ref="C287:C306" si="26">"Desafio 15"</f>
        <v>Desafio 15</v>
      </c>
      <c r="D287" s="80" t="str">
        <f>'⚙️ Configuração'!C30</f>
        <v>Carla Cantante</v>
      </c>
      <c r="E287" s="50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81">
        <f>(E287*'⚙️ Configuração'!$C$6+F287*'⚙️ Configuração'!$C$7+G287*'⚙️ Configuração'!$C$8+H287*'⚙️ Configuração'!$C$9+I287*'⚙️ Configuração'!$C$10+J287*'⚙️ Configuração'!$C$11)*IF(N287="S",2,1)</f>
        <v>0</v>
      </c>
      <c r="L287" s="90" t="s">
        <v>167</v>
      </c>
      <c r="M287" s="82">
        <f>IF(L287="AT1",'⚙️ Configuração'!$C$14,IF(L287="AT2",'⚙️ Configuração'!$C$15,IF(L287="FI",'⚙️ Configuração'!$C$16,IF(L287="FJ",'⚙️ Configuração'!$C$17,0))))</f>
        <v>0</v>
      </c>
      <c r="N287" s="91" t="s">
        <v>167</v>
      </c>
      <c r="O287" s="92"/>
      <c r="P287" s="83">
        <f>IF(O287="1",'⚙️ Configuração'!$C$21,IF(O287="2",'⚙️ Configuração'!$C$22,IF(O287="3",'⚙️ Configuração'!$C$23,IF(O287="Outro",'⚙️ Configuração'!$C$24,0))))</f>
        <v>0</v>
      </c>
      <c r="Q287" s="84">
        <f t="shared" si="23"/>
        <v>0</v>
      </c>
      <c r="R287" s="40" t="str">
        <f t="shared" si="22"/>
        <v>Semana 1 — ver 🔄</v>
      </c>
      <c r="S287" t="str" cm="1">
        <f t="array" ref="S287">IF(D287="","",IFERROR(_xlfn.SWITCH(B287,"Semana 1",IFERROR(INDEX('🔄 Rotação Duplas'!$D$8:$D$17,MATCH(D287,'🔄 Rotação Duplas'!$C$8:$C$17,0)),INDEX('🔄 Rotação Duplas'!$C$8:$C$17,MATCH(D287,'🔄 Rotação Duplas'!$D$8:$D$17,0))),"Semana 2",IFERROR(INDEX('🔄 Rotação Duplas'!$D$22:$D$31,MATCH(D287,'🔄 Rotação Duplas'!$C$22:$C$31,0)),INDEX('🔄 Rotação Duplas'!$C$22:$C$31,MATCH(D287,'🔄 Rotação Duplas'!$D$22:$D$31,0))),"Semana 3",IFERROR(INDEX('🔄 Rotação Duplas'!$D$36:$D$45,MATCH(D287,'🔄 Rotação Duplas'!$C$36:$C$45,0)),INDEX('🔄 Rotação Duplas'!$C$36:$C$45,MATCH(D287,'🔄 Rotação Duplas'!$D$36:$D$45,0))),"Semana 4",IFERROR(INDEX('🔄 Rotação Duplas'!$D$50:$D$59,MATCH(D287,'🔄 Rotação Duplas'!$C$50:$C$59,0)),INDEX('🔄 Rotação Duplas'!$C$50:$C$59,MATCH(D287,'🔄 Rotação Duplas'!$D$50:$D$59,0))),"Semana 5",IFERROR(INDEX('🔄 Rotação Duplas'!$D$64:$D$73,MATCH(D287,'🔄 Rotação Duplas'!$C$64:$C$73,0)),INDEX('🔄 Rotação Duplas'!$C$64:$C$73,MATCH(D287,'🔄 Rotação Duplas'!$D$64:$D$73,0))),"Semana 6",IFERROR(INDEX('🔄 Rotação Duplas'!$D$78:$D$87,MATCH(D287,'🔄 Rotação Duplas'!$C$78:$C$87,0)),INDEX('🔄 Rotação Duplas'!$C$78:$C$87,MATCH(D287,'🔄 Rotação Duplas'!$D$78:$D$87,0))),"Semana 7",IFERROR(INDEX('🔄 Rotação Duplas'!$D$92:$D$101,MATCH(D287,'🔄 Rotação Duplas'!$C$92:$C$101,0)),INDEX('🔄 Rotação Duplas'!$C$92:$C$101,MATCH(D287,'🔄 Rotação Duplas'!$D$92:$D$101,0))),"Semana 8",IFERROR(INDEX('🔄 Rotação Duplas'!$D$106:$D$115,MATCH(D287,'🔄 Rotação Duplas'!$C$106:$C$115,0)),INDEX('🔄 Rotação Duplas'!$C$106:$C$115,MATCH(D287,'🔄 Rotação Duplas'!$D$106:$D$115,0)))),""))</f>
        <v/>
      </c>
      <c r="T287">
        <f t="shared" si="24"/>
        <v>0</v>
      </c>
    </row>
    <row r="288" spans="2:20" ht="18" customHeight="1" x14ac:dyDescent="0.2">
      <c r="B288" s="85" t="s">
        <v>87</v>
      </c>
      <c r="C288" s="86" t="str">
        <f t="shared" si="26"/>
        <v>Desafio 15</v>
      </c>
      <c r="D288" s="87" t="str">
        <f>'⚙️ Configuração'!C31</f>
        <v>Elisabete Mendes</v>
      </c>
      <c r="E288" s="50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81">
        <f>(E288*'⚙️ Configuração'!$C$6+F288*'⚙️ Configuração'!$C$7+G288*'⚙️ Configuração'!$C$8+H288*'⚙️ Configuração'!$C$9+I288*'⚙️ Configuração'!$C$10+J288*'⚙️ Configuração'!$C$11)*IF(N288="S",2,1)</f>
        <v>0</v>
      </c>
      <c r="L288" s="90" t="s">
        <v>167</v>
      </c>
      <c r="M288" s="82">
        <f>IF(L288="AT1",'⚙️ Configuração'!$C$14,IF(L288="AT2",'⚙️ Configuração'!$C$15,IF(L288="FI",'⚙️ Configuração'!$C$16,IF(L288="FJ",'⚙️ Configuração'!$C$17,0))))</f>
        <v>0</v>
      </c>
      <c r="N288" s="91" t="s">
        <v>167</v>
      </c>
      <c r="O288" s="92"/>
      <c r="P288" s="83">
        <f>IF(O288="1",'⚙️ Configuração'!$C$21,IF(O288="2",'⚙️ Configuração'!$C$22,IF(O288="3",'⚙️ Configuração'!$C$23,IF(O288="Outro",'⚙️ Configuração'!$C$24,0))))</f>
        <v>0</v>
      </c>
      <c r="Q288" s="84">
        <f t="shared" si="23"/>
        <v>0</v>
      </c>
      <c r="R288" s="40" t="str">
        <f t="shared" si="22"/>
        <v>Semana 1 — ver 🔄</v>
      </c>
      <c r="S288" t="str" cm="1">
        <f t="array" ref="S288">IF(D288="","",IFERROR(_xlfn.SWITCH(B288,"Semana 1",IFERROR(INDEX('🔄 Rotação Duplas'!$D$8:$D$17,MATCH(D288,'🔄 Rotação Duplas'!$C$8:$C$17,0)),INDEX('🔄 Rotação Duplas'!$C$8:$C$17,MATCH(D288,'🔄 Rotação Duplas'!$D$8:$D$17,0))),"Semana 2",IFERROR(INDEX('🔄 Rotação Duplas'!$D$22:$D$31,MATCH(D288,'🔄 Rotação Duplas'!$C$22:$C$31,0)),INDEX('🔄 Rotação Duplas'!$C$22:$C$31,MATCH(D288,'🔄 Rotação Duplas'!$D$22:$D$31,0))),"Semana 3",IFERROR(INDEX('🔄 Rotação Duplas'!$D$36:$D$45,MATCH(D288,'🔄 Rotação Duplas'!$C$36:$C$45,0)),INDEX('🔄 Rotação Duplas'!$C$36:$C$45,MATCH(D288,'🔄 Rotação Duplas'!$D$36:$D$45,0))),"Semana 4",IFERROR(INDEX('🔄 Rotação Duplas'!$D$50:$D$59,MATCH(D288,'🔄 Rotação Duplas'!$C$50:$C$59,0)),INDEX('🔄 Rotação Duplas'!$C$50:$C$59,MATCH(D288,'🔄 Rotação Duplas'!$D$50:$D$59,0))),"Semana 5",IFERROR(INDEX('🔄 Rotação Duplas'!$D$64:$D$73,MATCH(D288,'🔄 Rotação Duplas'!$C$64:$C$73,0)),INDEX('🔄 Rotação Duplas'!$C$64:$C$73,MATCH(D288,'🔄 Rotação Duplas'!$D$64:$D$73,0))),"Semana 6",IFERROR(INDEX('🔄 Rotação Duplas'!$D$78:$D$87,MATCH(D288,'🔄 Rotação Duplas'!$C$78:$C$87,0)),INDEX('🔄 Rotação Duplas'!$C$78:$C$87,MATCH(D288,'🔄 Rotação Duplas'!$D$78:$D$87,0))),"Semana 7",IFERROR(INDEX('🔄 Rotação Duplas'!$D$92:$D$101,MATCH(D288,'🔄 Rotação Duplas'!$C$92:$C$101,0)),INDEX('🔄 Rotação Duplas'!$C$92:$C$101,MATCH(D288,'🔄 Rotação Duplas'!$D$92:$D$101,0))),"Semana 8",IFERROR(INDEX('🔄 Rotação Duplas'!$D$106:$D$115,MATCH(D288,'🔄 Rotação Duplas'!$C$106:$C$115,0)),INDEX('🔄 Rotação Duplas'!$C$106:$C$115,MATCH(D288,'🔄 Rotação Duplas'!$D$106:$D$115,0)))),""))</f>
        <v/>
      </c>
      <c r="T288">
        <f t="shared" si="24"/>
        <v>0</v>
      </c>
    </row>
    <row r="289" spans="2:20" ht="18" customHeight="1" x14ac:dyDescent="0.2">
      <c r="B289" s="78" t="s">
        <v>87</v>
      </c>
      <c r="C289" s="79" t="str">
        <f t="shared" si="26"/>
        <v>Desafio 15</v>
      </c>
      <c r="D289" s="80" t="str">
        <f>'⚙️ Configuração'!C32</f>
        <v>Filipa Cunha</v>
      </c>
      <c r="E289" s="50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81">
        <f>(E289*'⚙️ Configuração'!$C$6+F289*'⚙️ Configuração'!$C$7+G289*'⚙️ Configuração'!$C$8+H289*'⚙️ Configuração'!$C$9+I289*'⚙️ Configuração'!$C$10+J289*'⚙️ Configuração'!$C$11)*IF(N289="S",2,1)</f>
        <v>0</v>
      </c>
      <c r="L289" s="90" t="s">
        <v>167</v>
      </c>
      <c r="M289" s="82">
        <f>IF(L289="AT1",'⚙️ Configuração'!$C$14,IF(L289="AT2",'⚙️ Configuração'!$C$15,IF(L289="FI",'⚙️ Configuração'!$C$16,IF(L289="FJ",'⚙️ Configuração'!$C$17,0))))</f>
        <v>0</v>
      </c>
      <c r="N289" s="91" t="s">
        <v>167</v>
      </c>
      <c r="O289" s="92"/>
      <c r="P289" s="83">
        <f>IF(O289="1",'⚙️ Configuração'!$C$21,IF(O289="2",'⚙️ Configuração'!$C$22,IF(O289="3",'⚙️ Configuração'!$C$23,IF(O289="Outro",'⚙️ Configuração'!$C$24,0))))</f>
        <v>0</v>
      </c>
      <c r="Q289" s="84">
        <f t="shared" si="23"/>
        <v>0</v>
      </c>
      <c r="R289" s="40" t="str">
        <f t="shared" si="22"/>
        <v>Semana 1 — ver 🔄</v>
      </c>
      <c r="S289" t="str" cm="1">
        <f t="array" ref="S289">IF(D289="","",IFERROR(_xlfn.SWITCH(B289,"Semana 1",IFERROR(INDEX('🔄 Rotação Duplas'!$D$8:$D$17,MATCH(D289,'🔄 Rotação Duplas'!$C$8:$C$17,0)),INDEX('🔄 Rotação Duplas'!$C$8:$C$17,MATCH(D289,'🔄 Rotação Duplas'!$D$8:$D$17,0))),"Semana 2",IFERROR(INDEX('🔄 Rotação Duplas'!$D$22:$D$31,MATCH(D289,'🔄 Rotação Duplas'!$C$22:$C$31,0)),INDEX('🔄 Rotação Duplas'!$C$22:$C$31,MATCH(D289,'🔄 Rotação Duplas'!$D$22:$D$31,0))),"Semana 3",IFERROR(INDEX('🔄 Rotação Duplas'!$D$36:$D$45,MATCH(D289,'🔄 Rotação Duplas'!$C$36:$C$45,0)),INDEX('🔄 Rotação Duplas'!$C$36:$C$45,MATCH(D289,'🔄 Rotação Duplas'!$D$36:$D$45,0))),"Semana 4",IFERROR(INDEX('🔄 Rotação Duplas'!$D$50:$D$59,MATCH(D289,'🔄 Rotação Duplas'!$C$50:$C$59,0)),INDEX('🔄 Rotação Duplas'!$C$50:$C$59,MATCH(D289,'🔄 Rotação Duplas'!$D$50:$D$59,0))),"Semana 5",IFERROR(INDEX('🔄 Rotação Duplas'!$D$64:$D$73,MATCH(D289,'🔄 Rotação Duplas'!$C$64:$C$73,0)),INDEX('🔄 Rotação Duplas'!$C$64:$C$73,MATCH(D289,'🔄 Rotação Duplas'!$D$64:$D$73,0))),"Semana 6",IFERROR(INDEX('🔄 Rotação Duplas'!$D$78:$D$87,MATCH(D289,'🔄 Rotação Duplas'!$C$78:$C$87,0)),INDEX('🔄 Rotação Duplas'!$C$78:$C$87,MATCH(D289,'🔄 Rotação Duplas'!$D$78:$D$87,0))),"Semana 7",IFERROR(INDEX('🔄 Rotação Duplas'!$D$92:$D$101,MATCH(D289,'🔄 Rotação Duplas'!$C$92:$C$101,0)),INDEX('🔄 Rotação Duplas'!$C$92:$C$101,MATCH(D289,'🔄 Rotação Duplas'!$D$92:$D$101,0))),"Semana 8",IFERROR(INDEX('🔄 Rotação Duplas'!$D$106:$D$115,MATCH(D289,'🔄 Rotação Duplas'!$C$106:$C$115,0)),INDEX('🔄 Rotação Duplas'!$C$106:$C$115,MATCH(D289,'🔄 Rotação Duplas'!$D$106:$D$115,0)))),""))</f>
        <v/>
      </c>
      <c r="T289">
        <f t="shared" si="24"/>
        <v>0</v>
      </c>
    </row>
    <row r="290" spans="2:20" ht="18" customHeight="1" x14ac:dyDescent="0.2">
      <c r="B290" s="85" t="s">
        <v>87</v>
      </c>
      <c r="C290" s="86" t="str">
        <f t="shared" si="26"/>
        <v>Desafio 15</v>
      </c>
      <c r="D290" s="87" t="str">
        <f>'⚙️ Configuração'!C33</f>
        <v>Helena Rocha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81">
        <f>(E290*'⚙️ Configuração'!$C$6+F290*'⚙️ Configuração'!$C$7+G290*'⚙️ Configuração'!$C$8+H290*'⚙️ Configuração'!$C$9+I290*'⚙️ Configuração'!$C$10+J290*'⚙️ Configuração'!$C$11)*IF(N290="S",2,1)</f>
        <v>0</v>
      </c>
      <c r="L290" s="90" t="s">
        <v>167</v>
      </c>
      <c r="M290" s="82">
        <f>IF(L290="AT1",'⚙️ Configuração'!$C$14,IF(L290="AT2",'⚙️ Configuração'!$C$15,IF(L290="FI",'⚙️ Configuração'!$C$16,IF(L290="FJ",'⚙️ Configuração'!$C$17,0))))</f>
        <v>0</v>
      </c>
      <c r="N290" s="91" t="s">
        <v>167</v>
      </c>
      <c r="O290" s="92"/>
      <c r="P290" s="83">
        <f>IF(O290="1",'⚙️ Configuração'!$C$21,IF(O290="2",'⚙️ Configuração'!$C$22,IF(O290="3",'⚙️ Configuração'!$C$23,IF(O290="Outro",'⚙️ Configuração'!$C$24,0))))</f>
        <v>0</v>
      </c>
      <c r="Q290" s="84">
        <f t="shared" si="23"/>
        <v>0</v>
      </c>
      <c r="R290" s="40" t="str">
        <f t="shared" si="22"/>
        <v>Semana 1 — ver 🔄</v>
      </c>
      <c r="S290" t="str" cm="1">
        <f t="array" ref="S290">IF(D290="","",IFERROR(_xlfn.SWITCH(B290,"Semana 1",IFERROR(INDEX('🔄 Rotação Duplas'!$D$8:$D$17,MATCH(D290,'🔄 Rotação Duplas'!$C$8:$C$17,0)),INDEX('🔄 Rotação Duplas'!$C$8:$C$17,MATCH(D290,'🔄 Rotação Duplas'!$D$8:$D$17,0))),"Semana 2",IFERROR(INDEX('🔄 Rotação Duplas'!$D$22:$D$31,MATCH(D290,'🔄 Rotação Duplas'!$C$22:$C$31,0)),INDEX('🔄 Rotação Duplas'!$C$22:$C$31,MATCH(D290,'🔄 Rotação Duplas'!$D$22:$D$31,0))),"Semana 3",IFERROR(INDEX('🔄 Rotação Duplas'!$D$36:$D$45,MATCH(D290,'🔄 Rotação Duplas'!$C$36:$C$45,0)),INDEX('🔄 Rotação Duplas'!$C$36:$C$45,MATCH(D290,'🔄 Rotação Duplas'!$D$36:$D$45,0))),"Semana 4",IFERROR(INDEX('🔄 Rotação Duplas'!$D$50:$D$59,MATCH(D290,'🔄 Rotação Duplas'!$C$50:$C$59,0)),INDEX('🔄 Rotação Duplas'!$C$50:$C$59,MATCH(D290,'🔄 Rotação Duplas'!$D$50:$D$59,0))),"Semana 5",IFERROR(INDEX('🔄 Rotação Duplas'!$D$64:$D$73,MATCH(D290,'🔄 Rotação Duplas'!$C$64:$C$73,0)),INDEX('🔄 Rotação Duplas'!$C$64:$C$73,MATCH(D290,'🔄 Rotação Duplas'!$D$64:$D$73,0))),"Semana 6",IFERROR(INDEX('🔄 Rotação Duplas'!$D$78:$D$87,MATCH(D290,'🔄 Rotação Duplas'!$C$78:$C$87,0)),INDEX('🔄 Rotação Duplas'!$C$78:$C$87,MATCH(D290,'🔄 Rotação Duplas'!$D$78:$D$87,0))),"Semana 7",IFERROR(INDEX('🔄 Rotação Duplas'!$D$92:$D$101,MATCH(D290,'🔄 Rotação Duplas'!$C$92:$C$101,0)),INDEX('🔄 Rotação Duplas'!$C$92:$C$101,MATCH(D290,'🔄 Rotação Duplas'!$D$92:$D$101,0))),"Semana 8",IFERROR(INDEX('🔄 Rotação Duplas'!$D$106:$D$115,MATCH(D290,'🔄 Rotação Duplas'!$C$106:$C$115,0)),INDEX('🔄 Rotação Duplas'!$C$106:$C$115,MATCH(D290,'🔄 Rotação Duplas'!$D$106:$D$115,0)))),""))</f>
        <v/>
      </c>
      <c r="T290">
        <f t="shared" si="24"/>
        <v>0</v>
      </c>
    </row>
    <row r="291" spans="2:20" ht="18" customHeight="1" x14ac:dyDescent="0.2">
      <c r="B291" s="78" t="s">
        <v>87</v>
      </c>
      <c r="C291" s="79" t="str">
        <f t="shared" si="26"/>
        <v>Desafio 15</v>
      </c>
      <c r="D291" s="80" t="str">
        <f>'⚙️ Configuração'!C34</f>
        <v>João Xavier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81">
        <f>(E291*'⚙️ Configuração'!$C$6+F291*'⚙️ Configuração'!$C$7+G291*'⚙️ Configuração'!$C$8+H291*'⚙️ Configuração'!$C$9+I291*'⚙️ Configuração'!$C$10+J291*'⚙️ Configuração'!$C$11)*IF(N291="S",2,1)</f>
        <v>0</v>
      </c>
      <c r="L291" s="90" t="s">
        <v>167</v>
      </c>
      <c r="M291" s="82">
        <f>IF(L291="AT1",'⚙️ Configuração'!$C$14,IF(L291="AT2",'⚙️ Configuração'!$C$15,IF(L291="FI",'⚙️ Configuração'!$C$16,IF(L291="FJ",'⚙️ Configuração'!$C$17,0))))</f>
        <v>0</v>
      </c>
      <c r="N291" s="91" t="s">
        <v>167</v>
      </c>
      <c r="O291" s="92"/>
      <c r="P291" s="83">
        <f>IF(O291="1",'⚙️ Configuração'!$C$21,IF(O291="2",'⚙️ Configuração'!$C$22,IF(O291="3",'⚙️ Configuração'!$C$23,IF(O291="Outro",'⚙️ Configuração'!$C$24,0))))</f>
        <v>0</v>
      </c>
      <c r="Q291" s="84">
        <f t="shared" si="23"/>
        <v>0</v>
      </c>
      <c r="R291" s="40" t="str">
        <f t="shared" si="22"/>
        <v>Semana 1 — ver 🔄</v>
      </c>
      <c r="S291" t="str" cm="1">
        <f t="array" ref="S291">IF(D291="","",IFERROR(_xlfn.SWITCH(B291,"Semana 1",IFERROR(INDEX('🔄 Rotação Duplas'!$D$8:$D$17,MATCH(D291,'🔄 Rotação Duplas'!$C$8:$C$17,0)),INDEX('🔄 Rotação Duplas'!$C$8:$C$17,MATCH(D291,'🔄 Rotação Duplas'!$D$8:$D$17,0))),"Semana 2",IFERROR(INDEX('🔄 Rotação Duplas'!$D$22:$D$31,MATCH(D291,'🔄 Rotação Duplas'!$C$22:$C$31,0)),INDEX('🔄 Rotação Duplas'!$C$22:$C$31,MATCH(D291,'🔄 Rotação Duplas'!$D$22:$D$31,0))),"Semana 3",IFERROR(INDEX('🔄 Rotação Duplas'!$D$36:$D$45,MATCH(D291,'🔄 Rotação Duplas'!$C$36:$C$45,0)),INDEX('🔄 Rotação Duplas'!$C$36:$C$45,MATCH(D291,'🔄 Rotação Duplas'!$D$36:$D$45,0))),"Semana 4",IFERROR(INDEX('🔄 Rotação Duplas'!$D$50:$D$59,MATCH(D291,'🔄 Rotação Duplas'!$C$50:$C$59,0)),INDEX('🔄 Rotação Duplas'!$C$50:$C$59,MATCH(D291,'🔄 Rotação Duplas'!$D$50:$D$59,0))),"Semana 5",IFERROR(INDEX('🔄 Rotação Duplas'!$D$64:$D$73,MATCH(D291,'🔄 Rotação Duplas'!$C$64:$C$73,0)),INDEX('🔄 Rotação Duplas'!$C$64:$C$73,MATCH(D291,'🔄 Rotação Duplas'!$D$64:$D$73,0))),"Semana 6",IFERROR(INDEX('🔄 Rotação Duplas'!$D$78:$D$87,MATCH(D291,'🔄 Rotação Duplas'!$C$78:$C$87,0)),INDEX('🔄 Rotação Duplas'!$C$78:$C$87,MATCH(D291,'🔄 Rotação Duplas'!$D$78:$D$87,0))),"Semana 7",IFERROR(INDEX('🔄 Rotação Duplas'!$D$92:$D$101,MATCH(D291,'🔄 Rotação Duplas'!$C$92:$C$101,0)),INDEX('🔄 Rotação Duplas'!$C$92:$C$101,MATCH(D291,'🔄 Rotação Duplas'!$D$92:$D$101,0))),"Semana 8",IFERROR(INDEX('🔄 Rotação Duplas'!$D$106:$D$115,MATCH(D291,'🔄 Rotação Duplas'!$C$106:$C$115,0)),INDEX('🔄 Rotação Duplas'!$C$106:$C$115,MATCH(D291,'🔄 Rotação Duplas'!$D$106:$D$115,0)))),""))</f>
        <v/>
      </c>
      <c r="T291">
        <f t="shared" si="24"/>
        <v>0</v>
      </c>
    </row>
    <row r="292" spans="2:20" ht="18" customHeight="1" x14ac:dyDescent="0.2">
      <c r="B292" s="85" t="s">
        <v>87</v>
      </c>
      <c r="C292" s="86" t="str">
        <f t="shared" si="26"/>
        <v>Desafio 15</v>
      </c>
      <c r="D292" s="87" t="str">
        <f>'⚙️ Configuração'!C35</f>
        <v>Tomás Carlos</v>
      </c>
      <c r="E292" s="50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81">
        <f>(E292*'⚙️ Configuração'!$C$6+F292*'⚙️ Configuração'!$C$7+G292*'⚙️ Configuração'!$C$8+H292*'⚙️ Configuração'!$C$9+I292*'⚙️ Configuração'!$C$10+J292*'⚙️ Configuração'!$C$11)*IF(N292="S",2,1)</f>
        <v>0</v>
      </c>
      <c r="L292" s="90" t="s">
        <v>167</v>
      </c>
      <c r="M292" s="82">
        <f>IF(L292="AT1",'⚙️ Configuração'!$C$14,IF(L292="AT2",'⚙️ Configuração'!$C$15,IF(L292="FI",'⚙️ Configuração'!$C$16,IF(L292="FJ",'⚙️ Configuração'!$C$17,0))))</f>
        <v>0</v>
      </c>
      <c r="N292" s="91" t="s">
        <v>167</v>
      </c>
      <c r="O292" s="92"/>
      <c r="P292" s="83">
        <f>IF(O292="1",'⚙️ Configuração'!$C$21,IF(O292="2",'⚙️ Configuração'!$C$22,IF(O292="3",'⚙️ Configuração'!$C$23,IF(O292="Outro",'⚙️ Configuração'!$C$24,0))))</f>
        <v>0</v>
      </c>
      <c r="Q292" s="84">
        <f t="shared" si="23"/>
        <v>0</v>
      </c>
      <c r="R292" s="40" t="str">
        <f t="shared" si="22"/>
        <v>Semana 1 — ver 🔄</v>
      </c>
      <c r="S292" t="str" cm="1">
        <f t="array" ref="S292">IF(D292="","",IFERROR(_xlfn.SWITCH(B292,"Semana 1",IFERROR(INDEX('🔄 Rotação Duplas'!$D$8:$D$17,MATCH(D292,'🔄 Rotação Duplas'!$C$8:$C$17,0)),INDEX('🔄 Rotação Duplas'!$C$8:$C$17,MATCH(D292,'🔄 Rotação Duplas'!$D$8:$D$17,0))),"Semana 2",IFERROR(INDEX('🔄 Rotação Duplas'!$D$22:$D$31,MATCH(D292,'🔄 Rotação Duplas'!$C$22:$C$31,0)),INDEX('🔄 Rotação Duplas'!$C$22:$C$31,MATCH(D292,'🔄 Rotação Duplas'!$D$22:$D$31,0))),"Semana 3",IFERROR(INDEX('🔄 Rotação Duplas'!$D$36:$D$45,MATCH(D292,'🔄 Rotação Duplas'!$C$36:$C$45,0)),INDEX('🔄 Rotação Duplas'!$C$36:$C$45,MATCH(D292,'🔄 Rotação Duplas'!$D$36:$D$45,0))),"Semana 4",IFERROR(INDEX('🔄 Rotação Duplas'!$D$50:$D$59,MATCH(D292,'🔄 Rotação Duplas'!$C$50:$C$59,0)),INDEX('🔄 Rotação Duplas'!$C$50:$C$59,MATCH(D292,'🔄 Rotação Duplas'!$D$50:$D$59,0))),"Semana 5",IFERROR(INDEX('🔄 Rotação Duplas'!$D$64:$D$73,MATCH(D292,'🔄 Rotação Duplas'!$C$64:$C$73,0)),INDEX('🔄 Rotação Duplas'!$C$64:$C$73,MATCH(D292,'🔄 Rotação Duplas'!$D$64:$D$73,0))),"Semana 6",IFERROR(INDEX('🔄 Rotação Duplas'!$D$78:$D$87,MATCH(D292,'🔄 Rotação Duplas'!$C$78:$C$87,0)),INDEX('🔄 Rotação Duplas'!$C$78:$C$87,MATCH(D292,'🔄 Rotação Duplas'!$D$78:$D$87,0))),"Semana 7",IFERROR(INDEX('🔄 Rotação Duplas'!$D$92:$D$101,MATCH(D292,'🔄 Rotação Duplas'!$C$92:$C$101,0)),INDEX('🔄 Rotação Duplas'!$C$92:$C$101,MATCH(D292,'🔄 Rotação Duplas'!$D$92:$D$101,0))),"Semana 8",IFERROR(INDEX('🔄 Rotação Duplas'!$D$106:$D$115,MATCH(D292,'🔄 Rotação Duplas'!$C$106:$C$115,0)),INDEX('🔄 Rotação Duplas'!$C$106:$C$115,MATCH(D292,'🔄 Rotação Duplas'!$D$106:$D$115,0)))),""))</f>
        <v/>
      </c>
      <c r="T292">
        <f t="shared" si="24"/>
        <v>0</v>
      </c>
    </row>
    <row r="293" spans="2:20" ht="18" customHeight="1" x14ac:dyDescent="0.2">
      <c r="B293" s="78" t="s">
        <v>87</v>
      </c>
      <c r="C293" s="79" t="str">
        <f t="shared" si="26"/>
        <v>Desafio 15</v>
      </c>
      <c r="D293" s="80" t="str">
        <f>'⚙️ Configuração'!C36</f>
        <v>Alexandra Correia</v>
      </c>
      <c r="E293" s="50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81">
        <f>(E293*'⚙️ Configuração'!$C$6+F293*'⚙️ Configuração'!$C$7+G293*'⚙️ Configuração'!$C$8+H293*'⚙️ Configuração'!$C$9+I293*'⚙️ Configuração'!$C$10+J293*'⚙️ Configuração'!$C$11)*IF(N293="S",2,1)</f>
        <v>0</v>
      </c>
      <c r="L293" s="90" t="s">
        <v>167</v>
      </c>
      <c r="M293" s="82">
        <f>IF(L293="AT1",'⚙️ Configuração'!$C$14,IF(L293="AT2",'⚙️ Configuração'!$C$15,IF(L293="FI",'⚙️ Configuração'!$C$16,IF(L293="FJ",'⚙️ Configuração'!$C$17,0))))</f>
        <v>0</v>
      </c>
      <c r="N293" s="91" t="s">
        <v>167</v>
      </c>
      <c r="O293" s="92"/>
      <c r="P293" s="83">
        <f>IF(O293="1",'⚙️ Configuração'!$C$21,IF(O293="2",'⚙️ Configuração'!$C$22,IF(O293="3",'⚙️ Configuração'!$C$23,IF(O293="Outro",'⚙️ Configuração'!$C$24,0))))</f>
        <v>0</v>
      </c>
      <c r="Q293" s="84">
        <f t="shared" si="23"/>
        <v>0</v>
      </c>
      <c r="R293" s="40" t="str">
        <f t="shared" si="22"/>
        <v>Semana 1 — ver 🔄</v>
      </c>
      <c r="S293" t="str" cm="1">
        <f t="array" ref="S293">IF(D293="","",IFERROR(_xlfn.SWITCH(B293,"Semana 1",IFERROR(INDEX('🔄 Rotação Duplas'!$D$8:$D$17,MATCH(D293,'🔄 Rotação Duplas'!$C$8:$C$17,0)),INDEX('🔄 Rotação Duplas'!$C$8:$C$17,MATCH(D293,'🔄 Rotação Duplas'!$D$8:$D$17,0))),"Semana 2",IFERROR(INDEX('🔄 Rotação Duplas'!$D$22:$D$31,MATCH(D293,'🔄 Rotação Duplas'!$C$22:$C$31,0)),INDEX('🔄 Rotação Duplas'!$C$22:$C$31,MATCH(D293,'🔄 Rotação Duplas'!$D$22:$D$31,0))),"Semana 3",IFERROR(INDEX('🔄 Rotação Duplas'!$D$36:$D$45,MATCH(D293,'🔄 Rotação Duplas'!$C$36:$C$45,0)),INDEX('🔄 Rotação Duplas'!$C$36:$C$45,MATCH(D293,'🔄 Rotação Duplas'!$D$36:$D$45,0))),"Semana 4",IFERROR(INDEX('🔄 Rotação Duplas'!$D$50:$D$59,MATCH(D293,'🔄 Rotação Duplas'!$C$50:$C$59,0)),INDEX('🔄 Rotação Duplas'!$C$50:$C$59,MATCH(D293,'🔄 Rotação Duplas'!$D$50:$D$59,0))),"Semana 5",IFERROR(INDEX('🔄 Rotação Duplas'!$D$64:$D$73,MATCH(D293,'🔄 Rotação Duplas'!$C$64:$C$73,0)),INDEX('🔄 Rotação Duplas'!$C$64:$C$73,MATCH(D293,'🔄 Rotação Duplas'!$D$64:$D$73,0))),"Semana 6",IFERROR(INDEX('🔄 Rotação Duplas'!$D$78:$D$87,MATCH(D293,'🔄 Rotação Duplas'!$C$78:$C$87,0)),INDEX('🔄 Rotação Duplas'!$C$78:$C$87,MATCH(D293,'🔄 Rotação Duplas'!$D$78:$D$87,0))),"Semana 7",IFERROR(INDEX('🔄 Rotação Duplas'!$D$92:$D$101,MATCH(D293,'🔄 Rotação Duplas'!$C$92:$C$101,0)),INDEX('🔄 Rotação Duplas'!$C$92:$C$101,MATCH(D293,'🔄 Rotação Duplas'!$D$92:$D$101,0))),"Semana 8",IFERROR(INDEX('🔄 Rotação Duplas'!$D$106:$D$115,MATCH(D293,'🔄 Rotação Duplas'!$C$106:$C$115,0)),INDEX('🔄 Rotação Duplas'!$C$106:$C$115,MATCH(D293,'🔄 Rotação Duplas'!$D$106:$D$115,0)))),""))</f>
        <v/>
      </c>
      <c r="T293">
        <f t="shared" si="24"/>
        <v>0</v>
      </c>
    </row>
    <row r="294" spans="2:20" ht="18" customHeight="1" x14ac:dyDescent="0.2">
      <c r="B294" s="85" t="s">
        <v>87</v>
      </c>
      <c r="C294" s="86" t="str">
        <f t="shared" si="26"/>
        <v>Desafio 15</v>
      </c>
      <c r="D294" s="87" t="str">
        <f>'⚙️ Configuração'!C37</f>
        <v>Carla Barata</v>
      </c>
      <c r="E294" s="50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81">
        <f>(E294*'⚙️ Configuração'!$C$6+F294*'⚙️ Configuração'!$C$7+G294*'⚙️ Configuração'!$C$8+H294*'⚙️ Configuração'!$C$9+I294*'⚙️ Configuração'!$C$10+J294*'⚙️ Configuração'!$C$11)*IF(N294="S",2,1)</f>
        <v>0</v>
      </c>
      <c r="L294" s="90" t="s">
        <v>167</v>
      </c>
      <c r="M294" s="82">
        <f>IF(L294="AT1",'⚙️ Configuração'!$C$14,IF(L294="AT2",'⚙️ Configuração'!$C$15,IF(L294="FI",'⚙️ Configuração'!$C$16,IF(L294="FJ",'⚙️ Configuração'!$C$17,0))))</f>
        <v>0</v>
      </c>
      <c r="N294" s="91" t="s">
        <v>167</v>
      </c>
      <c r="O294" s="92"/>
      <c r="P294" s="83">
        <f>IF(O294="1",'⚙️ Configuração'!$C$21,IF(O294="2",'⚙️ Configuração'!$C$22,IF(O294="3",'⚙️ Configuração'!$C$23,IF(O294="Outro",'⚙️ Configuração'!$C$24,0))))</f>
        <v>0</v>
      </c>
      <c r="Q294" s="84">
        <f t="shared" si="23"/>
        <v>0</v>
      </c>
      <c r="R294" s="40" t="str">
        <f t="shared" si="22"/>
        <v>Semana 1 — ver 🔄</v>
      </c>
      <c r="S294" t="str" cm="1">
        <f t="array" ref="S294">IF(D294="","",IFERROR(_xlfn.SWITCH(B294,"Semana 1",IFERROR(INDEX('🔄 Rotação Duplas'!$D$8:$D$17,MATCH(D294,'🔄 Rotação Duplas'!$C$8:$C$17,0)),INDEX('🔄 Rotação Duplas'!$C$8:$C$17,MATCH(D294,'🔄 Rotação Duplas'!$D$8:$D$17,0))),"Semana 2",IFERROR(INDEX('🔄 Rotação Duplas'!$D$22:$D$31,MATCH(D294,'🔄 Rotação Duplas'!$C$22:$C$31,0)),INDEX('🔄 Rotação Duplas'!$C$22:$C$31,MATCH(D294,'🔄 Rotação Duplas'!$D$22:$D$31,0))),"Semana 3",IFERROR(INDEX('🔄 Rotação Duplas'!$D$36:$D$45,MATCH(D294,'🔄 Rotação Duplas'!$C$36:$C$45,0)),INDEX('🔄 Rotação Duplas'!$C$36:$C$45,MATCH(D294,'🔄 Rotação Duplas'!$D$36:$D$45,0))),"Semana 4",IFERROR(INDEX('🔄 Rotação Duplas'!$D$50:$D$59,MATCH(D294,'🔄 Rotação Duplas'!$C$50:$C$59,0)),INDEX('🔄 Rotação Duplas'!$C$50:$C$59,MATCH(D294,'🔄 Rotação Duplas'!$D$50:$D$59,0))),"Semana 5",IFERROR(INDEX('🔄 Rotação Duplas'!$D$64:$D$73,MATCH(D294,'🔄 Rotação Duplas'!$C$64:$C$73,0)),INDEX('🔄 Rotação Duplas'!$C$64:$C$73,MATCH(D294,'🔄 Rotação Duplas'!$D$64:$D$73,0))),"Semana 6",IFERROR(INDEX('🔄 Rotação Duplas'!$D$78:$D$87,MATCH(D294,'🔄 Rotação Duplas'!$C$78:$C$87,0)),INDEX('🔄 Rotação Duplas'!$C$78:$C$87,MATCH(D294,'🔄 Rotação Duplas'!$D$78:$D$87,0))),"Semana 7",IFERROR(INDEX('🔄 Rotação Duplas'!$D$92:$D$101,MATCH(D294,'🔄 Rotação Duplas'!$C$92:$C$101,0)),INDEX('🔄 Rotação Duplas'!$C$92:$C$101,MATCH(D294,'🔄 Rotação Duplas'!$D$92:$D$101,0))),"Semana 8",IFERROR(INDEX('🔄 Rotação Duplas'!$D$106:$D$115,MATCH(D294,'🔄 Rotação Duplas'!$C$106:$C$115,0)),INDEX('🔄 Rotação Duplas'!$C$106:$C$115,MATCH(D294,'🔄 Rotação Duplas'!$D$106:$D$115,0)))),""))</f>
        <v/>
      </c>
      <c r="T294">
        <f t="shared" si="24"/>
        <v>0</v>
      </c>
    </row>
    <row r="295" spans="2:20" ht="18" customHeight="1" x14ac:dyDescent="0.2">
      <c r="B295" s="78" t="s">
        <v>87</v>
      </c>
      <c r="C295" s="79" t="str">
        <f t="shared" si="26"/>
        <v>Desafio 15</v>
      </c>
      <c r="D295" s="80" t="str">
        <f>'⚙️ Configuração'!C38</f>
        <v>Denise Filipe</v>
      </c>
      <c r="E295" s="50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81">
        <f>(E295*'⚙️ Configuração'!$C$6+F295*'⚙️ Configuração'!$C$7+G295*'⚙️ Configuração'!$C$8+H295*'⚙️ Configuração'!$C$9+I295*'⚙️ Configuração'!$C$10+J295*'⚙️ Configuração'!$C$11)*IF(N295="S",2,1)</f>
        <v>0</v>
      </c>
      <c r="L295" s="90" t="s">
        <v>167</v>
      </c>
      <c r="M295" s="82">
        <f>IF(L295="AT1",'⚙️ Configuração'!$C$14,IF(L295="AT2",'⚙️ Configuração'!$C$15,IF(L295="FI",'⚙️ Configuração'!$C$16,IF(L295="FJ",'⚙️ Configuração'!$C$17,0))))</f>
        <v>0</v>
      </c>
      <c r="N295" s="91" t="s">
        <v>167</v>
      </c>
      <c r="O295" s="92"/>
      <c r="P295" s="83">
        <f>IF(O295="1",'⚙️ Configuração'!$C$21,IF(O295="2",'⚙️ Configuração'!$C$22,IF(O295="3",'⚙️ Configuração'!$C$23,IF(O295="Outro",'⚙️ Configuração'!$C$24,0))))</f>
        <v>0</v>
      </c>
      <c r="Q295" s="84">
        <f t="shared" si="23"/>
        <v>0</v>
      </c>
      <c r="R295" s="40" t="str">
        <f t="shared" si="22"/>
        <v>Semana 1 — ver 🔄</v>
      </c>
      <c r="S295" t="str" cm="1">
        <f t="array" ref="S295">IF(D295="","",IFERROR(_xlfn.SWITCH(B295,"Semana 1",IFERROR(INDEX('🔄 Rotação Duplas'!$D$8:$D$17,MATCH(D295,'🔄 Rotação Duplas'!$C$8:$C$17,0)),INDEX('🔄 Rotação Duplas'!$C$8:$C$17,MATCH(D295,'🔄 Rotação Duplas'!$D$8:$D$17,0))),"Semana 2",IFERROR(INDEX('🔄 Rotação Duplas'!$D$22:$D$31,MATCH(D295,'🔄 Rotação Duplas'!$C$22:$C$31,0)),INDEX('🔄 Rotação Duplas'!$C$22:$C$31,MATCH(D295,'🔄 Rotação Duplas'!$D$22:$D$31,0))),"Semana 3",IFERROR(INDEX('🔄 Rotação Duplas'!$D$36:$D$45,MATCH(D295,'🔄 Rotação Duplas'!$C$36:$C$45,0)),INDEX('🔄 Rotação Duplas'!$C$36:$C$45,MATCH(D295,'🔄 Rotação Duplas'!$D$36:$D$45,0))),"Semana 4",IFERROR(INDEX('🔄 Rotação Duplas'!$D$50:$D$59,MATCH(D295,'🔄 Rotação Duplas'!$C$50:$C$59,0)),INDEX('🔄 Rotação Duplas'!$C$50:$C$59,MATCH(D295,'🔄 Rotação Duplas'!$D$50:$D$59,0))),"Semana 5",IFERROR(INDEX('🔄 Rotação Duplas'!$D$64:$D$73,MATCH(D295,'🔄 Rotação Duplas'!$C$64:$C$73,0)),INDEX('🔄 Rotação Duplas'!$C$64:$C$73,MATCH(D295,'🔄 Rotação Duplas'!$D$64:$D$73,0))),"Semana 6",IFERROR(INDEX('🔄 Rotação Duplas'!$D$78:$D$87,MATCH(D295,'🔄 Rotação Duplas'!$C$78:$C$87,0)),INDEX('🔄 Rotação Duplas'!$C$78:$C$87,MATCH(D295,'🔄 Rotação Duplas'!$D$78:$D$87,0))),"Semana 7",IFERROR(INDEX('🔄 Rotação Duplas'!$D$92:$D$101,MATCH(D295,'🔄 Rotação Duplas'!$C$92:$C$101,0)),INDEX('🔄 Rotação Duplas'!$C$92:$C$101,MATCH(D295,'🔄 Rotação Duplas'!$D$92:$D$101,0))),"Semana 8",IFERROR(INDEX('🔄 Rotação Duplas'!$D$106:$D$115,MATCH(D295,'🔄 Rotação Duplas'!$C$106:$C$115,0)),INDEX('🔄 Rotação Duplas'!$C$106:$C$115,MATCH(D295,'🔄 Rotação Duplas'!$D$106:$D$115,0)))),""))</f>
        <v/>
      </c>
      <c r="T295">
        <f t="shared" si="24"/>
        <v>0</v>
      </c>
    </row>
    <row r="296" spans="2:20" ht="18" customHeight="1" x14ac:dyDescent="0.2">
      <c r="B296" s="85" t="s">
        <v>87</v>
      </c>
      <c r="C296" s="86" t="str">
        <f t="shared" si="26"/>
        <v>Desafio 15</v>
      </c>
      <c r="D296" s="87" t="str">
        <f>'⚙️ Configuração'!C39</f>
        <v>Fátima Rodriguez</v>
      </c>
      <c r="E296" s="50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81">
        <f>(E296*'⚙️ Configuração'!$C$6+F296*'⚙️ Configuração'!$C$7+G296*'⚙️ Configuração'!$C$8+H296*'⚙️ Configuração'!$C$9+I296*'⚙️ Configuração'!$C$10+J296*'⚙️ Configuração'!$C$11)*IF(N296="S",2,1)</f>
        <v>0</v>
      </c>
      <c r="L296" s="90" t="s">
        <v>167</v>
      </c>
      <c r="M296" s="82">
        <f>IF(L296="AT1",'⚙️ Configuração'!$C$14,IF(L296="AT2",'⚙️ Configuração'!$C$15,IF(L296="FI",'⚙️ Configuração'!$C$16,IF(L296="FJ",'⚙️ Configuração'!$C$17,0))))</f>
        <v>0</v>
      </c>
      <c r="N296" s="91" t="s">
        <v>167</v>
      </c>
      <c r="O296" s="92"/>
      <c r="P296" s="83">
        <f>IF(O296="1",'⚙️ Configuração'!$C$21,IF(O296="2",'⚙️ Configuração'!$C$22,IF(O296="3",'⚙️ Configuração'!$C$23,IF(O296="Outro",'⚙️ Configuração'!$C$24,0))))</f>
        <v>0</v>
      </c>
      <c r="Q296" s="84">
        <f t="shared" si="23"/>
        <v>0</v>
      </c>
      <c r="R296" s="40" t="str">
        <f t="shared" si="22"/>
        <v>Semana 1 — ver 🔄</v>
      </c>
      <c r="S296" t="str" cm="1">
        <f t="array" ref="S296">IF(D296="","",IFERROR(_xlfn.SWITCH(B296,"Semana 1",IFERROR(INDEX('🔄 Rotação Duplas'!$D$8:$D$17,MATCH(D296,'🔄 Rotação Duplas'!$C$8:$C$17,0)),INDEX('🔄 Rotação Duplas'!$C$8:$C$17,MATCH(D296,'🔄 Rotação Duplas'!$D$8:$D$17,0))),"Semana 2",IFERROR(INDEX('🔄 Rotação Duplas'!$D$22:$D$31,MATCH(D296,'🔄 Rotação Duplas'!$C$22:$C$31,0)),INDEX('🔄 Rotação Duplas'!$C$22:$C$31,MATCH(D296,'🔄 Rotação Duplas'!$D$22:$D$31,0))),"Semana 3",IFERROR(INDEX('🔄 Rotação Duplas'!$D$36:$D$45,MATCH(D296,'🔄 Rotação Duplas'!$C$36:$C$45,0)),INDEX('🔄 Rotação Duplas'!$C$36:$C$45,MATCH(D296,'🔄 Rotação Duplas'!$D$36:$D$45,0))),"Semana 4",IFERROR(INDEX('🔄 Rotação Duplas'!$D$50:$D$59,MATCH(D296,'🔄 Rotação Duplas'!$C$50:$C$59,0)),INDEX('🔄 Rotação Duplas'!$C$50:$C$59,MATCH(D296,'🔄 Rotação Duplas'!$D$50:$D$59,0))),"Semana 5",IFERROR(INDEX('🔄 Rotação Duplas'!$D$64:$D$73,MATCH(D296,'🔄 Rotação Duplas'!$C$64:$C$73,0)),INDEX('🔄 Rotação Duplas'!$C$64:$C$73,MATCH(D296,'🔄 Rotação Duplas'!$D$64:$D$73,0))),"Semana 6",IFERROR(INDEX('🔄 Rotação Duplas'!$D$78:$D$87,MATCH(D296,'🔄 Rotação Duplas'!$C$78:$C$87,0)),INDEX('🔄 Rotação Duplas'!$C$78:$C$87,MATCH(D296,'🔄 Rotação Duplas'!$D$78:$D$87,0))),"Semana 7",IFERROR(INDEX('🔄 Rotação Duplas'!$D$92:$D$101,MATCH(D296,'🔄 Rotação Duplas'!$C$92:$C$101,0)),INDEX('🔄 Rotação Duplas'!$C$92:$C$101,MATCH(D296,'🔄 Rotação Duplas'!$D$92:$D$101,0))),"Semana 8",IFERROR(INDEX('🔄 Rotação Duplas'!$D$106:$D$115,MATCH(D296,'🔄 Rotação Duplas'!$C$106:$C$115,0)),INDEX('🔄 Rotação Duplas'!$C$106:$C$115,MATCH(D296,'🔄 Rotação Duplas'!$D$106:$D$115,0)))),""))</f>
        <v/>
      </c>
      <c r="T296">
        <f t="shared" si="24"/>
        <v>0</v>
      </c>
    </row>
    <row r="297" spans="2:20" ht="18" customHeight="1" x14ac:dyDescent="0.2">
      <c r="B297" s="78" t="s">
        <v>87</v>
      </c>
      <c r="C297" s="79" t="str">
        <f t="shared" si="26"/>
        <v>Desafio 15</v>
      </c>
      <c r="D297" s="80" t="str">
        <f>'⚙️ Configuração'!C40</f>
        <v>Maria João Travassos</v>
      </c>
      <c r="E297" s="50">
        <v>0</v>
      </c>
      <c r="F297" s="50">
        <v>0</v>
      </c>
      <c r="G297" s="50">
        <v>0</v>
      </c>
      <c r="H297" s="50">
        <v>0</v>
      </c>
      <c r="I297" s="50">
        <v>0</v>
      </c>
      <c r="J297" s="50">
        <v>0</v>
      </c>
      <c r="K297" s="81">
        <f>(E297*'⚙️ Configuração'!$C$6+F297*'⚙️ Configuração'!$C$7+G297*'⚙️ Configuração'!$C$8+H297*'⚙️ Configuração'!$C$9+I297*'⚙️ Configuração'!$C$10+J297*'⚙️ Configuração'!$C$11)*IF(N297="S",2,1)</f>
        <v>0</v>
      </c>
      <c r="L297" s="90" t="s">
        <v>167</v>
      </c>
      <c r="M297" s="82">
        <f>IF(L297="AT1",'⚙️ Configuração'!$C$14,IF(L297="AT2",'⚙️ Configuração'!$C$15,IF(L297="FI",'⚙️ Configuração'!$C$16,IF(L297="FJ",'⚙️ Configuração'!$C$17,0))))</f>
        <v>0</v>
      </c>
      <c r="N297" s="91" t="s">
        <v>167</v>
      </c>
      <c r="O297" s="92"/>
      <c r="P297" s="83">
        <f>IF(O297="1",'⚙️ Configuração'!$C$21,IF(O297="2",'⚙️ Configuração'!$C$22,IF(O297="3",'⚙️ Configuração'!$C$23,IF(O297="Outro",'⚙️ Configuração'!$C$24,0))))</f>
        <v>0</v>
      </c>
      <c r="Q297" s="84">
        <f t="shared" si="23"/>
        <v>0</v>
      </c>
      <c r="R297" s="40" t="str">
        <f t="shared" si="22"/>
        <v>Semana 1 — ver 🔄</v>
      </c>
      <c r="S297" t="str" cm="1">
        <f t="array" ref="S297">IF(D297="","",IFERROR(_xlfn.SWITCH(B297,"Semana 1",IFERROR(INDEX('🔄 Rotação Duplas'!$D$8:$D$17,MATCH(D297,'🔄 Rotação Duplas'!$C$8:$C$17,0)),INDEX('🔄 Rotação Duplas'!$C$8:$C$17,MATCH(D297,'🔄 Rotação Duplas'!$D$8:$D$17,0))),"Semana 2",IFERROR(INDEX('🔄 Rotação Duplas'!$D$22:$D$31,MATCH(D297,'🔄 Rotação Duplas'!$C$22:$C$31,0)),INDEX('🔄 Rotação Duplas'!$C$22:$C$31,MATCH(D297,'🔄 Rotação Duplas'!$D$22:$D$31,0))),"Semana 3",IFERROR(INDEX('🔄 Rotação Duplas'!$D$36:$D$45,MATCH(D297,'🔄 Rotação Duplas'!$C$36:$C$45,0)),INDEX('🔄 Rotação Duplas'!$C$36:$C$45,MATCH(D297,'🔄 Rotação Duplas'!$D$36:$D$45,0))),"Semana 4",IFERROR(INDEX('🔄 Rotação Duplas'!$D$50:$D$59,MATCH(D297,'🔄 Rotação Duplas'!$C$50:$C$59,0)),INDEX('🔄 Rotação Duplas'!$C$50:$C$59,MATCH(D297,'🔄 Rotação Duplas'!$D$50:$D$59,0))),"Semana 5",IFERROR(INDEX('🔄 Rotação Duplas'!$D$64:$D$73,MATCH(D297,'🔄 Rotação Duplas'!$C$64:$C$73,0)),INDEX('🔄 Rotação Duplas'!$C$64:$C$73,MATCH(D297,'🔄 Rotação Duplas'!$D$64:$D$73,0))),"Semana 6",IFERROR(INDEX('🔄 Rotação Duplas'!$D$78:$D$87,MATCH(D297,'🔄 Rotação Duplas'!$C$78:$C$87,0)),INDEX('🔄 Rotação Duplas'!$C$78:$C$87,MATCH(D297,'🔄 Rotação Duplas'!$D$78:$D$87,0))),"Semana 7",IFERROR(INDEX('🔄 Rotação Duplas'!$D$92:$D$101,MATCH(D297,'🔄 Rotação Duplas'!$C$92:$C$101,0)),INDEX('🔄 Rotação Duplas'!$C$92:$C$101,MATCH(D297,'🔄 Rotação Duplas'!$D$92:$D$101,0))),"Semana 8",IFERROR(INDEX('🔄 Rotação Duplas'!$D$106:$D$115,MATCH(D297,'🔄 Rotação Duplas'!$C$106:$C$115,0)),INDEX('🔄 Rotação Duplas'!$C$106:$C$115,MATCH(D297,'🔄 Rotação Duplas'!$D$106:$D$115,0)))),""))</f>
        <v/>
      </c>
      <c r="T297">
        <f t="shared" si="24"/>
        <v>0</v>
      </c>
    </row>
    <row r="298" spans="2:20" ht="18" customHeight="1" x14ac:dyDescent="0.2">
      <c r="B298" s="85" t="s">
        <v>87</v>
      </c>
      <c r="C298" s="86" t="str">
        <f t="shared" si="26"/>
        <v>Desafio 15</v>
      </c>
      <c r="D298" s="87" t="str">
        <f>'⚙️ Configuração'!C41</f>
        <v>Marta Torres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81">
        <f>(E298*'⚙️ Configuração'!$C$6+F298*'⚙️ Configuração'!$C$7+G298*'⚙️ Configuração'!$C$8+H298*'⚙️ Configuração'!$C$9+I298*'⚙️ Configuração'!$C$10+J298*'⚙️ Configuração'!$C$11)*IF(N298="S",2,1)</f>
        <v>0</v>
      </c>
      <c r="L298" s="90" t="s">
        <v>167</v>
      </c>
      <c r="M298" s="82">
        <f>IF(L298="AT1",'⚙️ Configuração'!$C$14,IF(L298="AT2",'⚙️ Configuração'!$C$15,IF(L298="FI",'⚙️ Configuração'!$C$16,IF(L298="FJ",'⚙️ Configuração'!$C$17,0))))</f>
        <v>0</v>
      </c>
      <c r="N298" s="91" t="s">
        <v>167</v>
      </c>
      <c r="O298" s="92"/>
      <c r="P298" s="83">
        <f>IF(O298="1",'⚙️ Configuração'!$C$21,IF(O298="2",'⚙️ Configuração'!$C$22,IF(O298="3",'⚙️ Configuração'!$C$23,IF(O298="Outro",'⚙️ Configuração'!$C$24,0))))</f>
        <v>0</v>
      </c>
      <c r="Q298" s="84">
        <f t="shared" si="23"/>
        <v>0</v>
      </c>
      <c r="R298" s="40" t="str">
        <f t="shared" si="22"/>
        <v>Semana 1 — ver 🔄</v>
      </c>
      <c r="S298" t="str" cm="1">
        <f t="array" ref="S298">IF(D298="","",IFERROR(_xlfn.SWITCH(B298,"Semana 1",IFERROR(INDEX('🔄 Rotação Duplas'!$D$8:$D$17,MATCH(D298,'🔄 Rotação Duplas'!$C$8:$C$17,0)),INDEX('🔄 Rotação Duplas'!$C$8:$C$17,MATCH(D298,'🔄 Rotação Duplas'!$D$8:$D$17,0))),"Semana 2",IFERROR(INDEX('🔄 Rotação Duplas'!$D$22:$D$31,MATCH(D298,'🔄 Rotação Duplas'!$C$22:$C$31,0)),INDEX('🔄 Rotação Duplas'!$C$22:$C$31,MATCH(D298,'🔄 Rotação Duplas'!$D$22:$D$31,0))),"Semana 3",IFERROR(INDEX('🔄 Rotação Duplas'!$D$36:$D$45,MATCH(D298,'🔄 Rotação Duplas'!$C$36:$C$45,0)),INDEX('🔄 Rotação Duplas'!$C$36:$C$45,MATCH(D298,'🔄 Rotação Duplas'!$D$36:$D$45,0))),"Semana 4",IFERROR(INDEX('🔄 Rotação Duplas'!$D$50:$D$59,MATCH(D298,'🔄 Rotação Duplas'!$C$50:$C$59,0)),INDEX('🔄 Rotação Duplas'!$C$50:$C$59,MATCH(D298,'🔄 Rotação Duplas'!$D$50:$D$59,0))),"Semana 5",IFERROR(INDEX('🔄 Rotação Duplas'!$D$64:$D$73,MATCH(D298,'🔄 Rotação Duplas'!$C$64:$C$73,0)),INDEX('🔄 Rotação Duplas'!$C$64:$C$73,MATCH(D298,'🔄 Rotação Duplas'!$D$64:$D$73,0))),"Semana 6",IFERROR(INDEX('🔄 Rotação Duplas'!$D$78:$D$87,MATCH(D298,'🔄 Rotação Duplas'!$C$78:$C$87,0)),INDEX('🔄 Rotação Duplas'!$C$78:$C$87,MATCH(D298,'🔄 Rotação Duplas'!$D$78:$D$87,0))),"Semana 7",IFERROR(INDEX('🔄 Rotação Duplas'!$D$92:$D$101,MATCH(D298,'🔄 Rotação Duplas'!$C$92:$C$101,0)),INDEX('🔄 Rotação Duplas'!$C$92:$C$101,MATCH(D298,'🔄 Rotação Duplas'!$D$92:$D$101,0))),"Semana 8",IFERROR(INDEX('🔄 Rotação Duplas'!$D$106:$D$115,MATCH(D298,'🔄 Rotação Duplas'!$C$106:$C$115,0)),INDEX('🔄 Rotação Duplas'!$C$106:$C$115,MATCH(D298,'🔄 Rotação Duplas'!$D$106:$D$115,0)))),""))</f>
        <v/>
      </c>
      <c r="T298">
        <f t="shared" si="24"/>
        <v>0</v>
      </c>
    </row>
    <row r="299" spans="2:20" ht="18" customHeight="1" x14ac:dyDescent="0.2">
      <c r="B299" s="78" t="s">
        <v>87</v>
      </c>
      <c r="C299" s="79" t="str">
        <f t="shared" si="26"/>
        <v>Desafio 15</v>
      </c>
      <c r="D299" s="80" t="str">
        <f>'⚙️ Configuração'!C42</f>
        <v>Patricia Isabel Silva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81">
        <f>(E299*'⚙️ Configuração'!$C$6+F299*'⚙️ Configuração'!$C$7+G299*'⚙️ Configuração'!$C$8+H299*'⚙️ Configuração'!$C$9+I299*'⚙️ Configuração'!$C$10+J299*'⚙️ Configuração'!$C$11)*IF(N299="S",2,1)</f>
        <v>0</v>
      </c>
      <c r="L299" s="90" t="s">
        <v>167</v>
      </c>
      <c r="M299" s="82">
        <f>IF(L299="AT1",'⚙️ Configuração'!$C$14,IF(L299="AT2",'⚙️ Configuração'!$C$15,IF(L299="FI",'⚙️ Configuração'!$C$16,IF(L299="FJ",'⚙️ Configuração'!$C$17,0))))</f>
        <v>0</v>
      </c>
      <c r="N299" s="91" t="s">
        <v>167</v>
      </c>
      <c r="O299" s="92"/>
      <c r="P299" s="83">
        <f>IF(O299="1",'⚙️ Configuração'!$C$21,IF(O299="2",'⚙️ Configuração'!$C$22,IF(O299="3",'⚙️ Configuração'!$C$23,IF(O299="Outro",'⚙️ Configuração'!$C$24,0))))</f>
        <v>0</v>
      </c>
      <c r="Q299" s="84">
        <f t="shared" si="23"/>
        <v>0</v>
      </c>
      <c r="R299" s="40" t="str">
        <f t="shared" si="22"/>
        <v>Semana 1 — ver 🔄</v>
      </c>
      <c r="S299" t="str" cm="1">
        <f t="array" ref="S299">IF(D299="","",IFERROR(_xlfn.SWITCH(B299,"Semana 1",IFERROR(INDEX('🔄 Rotação Duplas'!$D$8:$D$17,MATCH(D299,'🔄 Rotação Duplas'!$C$8:$C$17,0)),INDEX('🔄 Rotação Duplas'!$C$8:$C$17,MATCH(D299,'🔄 Rotação Duplas'!$D$8:$D$17,0))),"Semana 2",IFERROR(INDEX('🔄 Rotação Duplas'!$D$22:$D$31,MATCH(D299,'🔄 Rotação Duplas'!$C$22:$C$31,0)),INDEX('🔄 Rotação Duplas'!$C$22:$C$31,MATCH(D299,'🔄 Rotação Duplas'!$D$22:$D$31,0))),"Semana 3",IFERROR(INDEX('🔄 Rotação Duplas'!$D$36:$D$45,MATCH(D299,'🔄 Rotação Duplas'!$C$36:$C$45,0)),INDEX('🔄 Rotação Duplas'!$C$36:$C$45,MATCH(D299,'🔄 Rotação Duplas'!$D$36:$D$45,0))),"Semana 4",IFERROR(INDEX('🔄 Rotação Duplas'!$D$50:$D$59,MATCH(D299,'🔄 Rotação Duplas'!$C$50:$C$59,0)),INDEX('🔄 Rotação Duplas'!$C$50:$C$59,MATCH(D299,'🔄 Rotação Duplas'!$D$50:$D$59,0))),"Semana 5",IFERROR(INDEX('🔄 Rotação Duplas'!$D$64:$D$73,MATCH(D299,'🔄 Rotação Duplas'!$C$64:$C$73,0)),INDEX('🔄 Rotação Duplas'!$C$64:$C$73,MATCH(D299,'🔄 Rotação Duplas'!$D$64:$D$73,0))),"Semana 6",IFERROR(INDEX('🔄 Rotação Duplas'!$D$78:$D$87,MATCH(D299,'🔄 Rotação Duplas'!$C$78:$C$87,0)),INDEX('🔄 Rotação Duplas'!$C$78:$C$87,MATCH(D299,'🔄 Rotação Duplas'!$D$78:$D$87,0))),"Semana 7",IFERROR(INDEX('🔄 Rotação Duplas'!$D$92:$D$101,MATCH(D299,'🔄 Rotação Duplas'!$C$92:$C$101,0)),INDEX('🔄 Rotação Duplas'!$C$92:$C$101,MATCH(D299,'🔄 Rotação Duplas'!$D$92:$D$101,0))),"Semana 8",IFERROR(INDEX('🔄 Rotação Duplas'!$D$106:$D$115,MATCH(D299,'🔄 Rotação Duplas'!$C$106:$C$115,0)),INDEX('🔄 Rotação Duplas'!$C$106:$C$115,MATCH(D299,'🔄 Rotação Duplas'!$D$106:$D$115,0)))),""))</f>
        <v/>
      </c>
      <c r="T299">
        <f t="shared" si="24"/>
        <v>0</v>
      </c>
    </row>
    <row r="300" spans="2:20" ht="18" customHeight="1" x14ac:dyDescent="0.2">
      <c r="B300" s="85" t="s">
        <v>87</v>
      </c>
      <c r="C300" s="86" t="str">
        <f t="shared" si="26"/>
        <v>Desafio 15</v>
      </c>
      <c r="D300" s="87" t="str">
        <f>'⚙️ Configuração'!C43</f>
        <v>Paula Martins</v>
      </c>
      <c r="E300" s="50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81">
        <f>(E300*'⚙️ Configuração'!$C$6+F300*'⚙️ Configuração'!$C$7+G300*'⚙️ Configuração'!$C$8+H300*'⚙️ Configuração'!$C$9+I300*'⚙️ Configuração'!$C$10+J300*'⚙️ Configuração'!$C$11)*IF(N300="S",2,1)</f>
        <v>0</v>
      </c>
      <c r="L300" s="90" t="s">
        <v>167</v>
      </c>
      <c r="M300" s="82">
        <f>IF(L300="AT1",'⚙️ Configuração'!$C$14,IF(L300="AT2",'⚙️ Configuração'!$C$15,IF(L300="FI",'⚙️ Configuração'!$C$16,IF(L300="FJ",'⚙️ Configuração'!$C$17,0))))</f>
        <v>0</v>
      </c>
      <c r="N300" s="91" t="s">
        <v>167</v>
      </c>
      <c r="O300" s="92"/>
      <c r="P300" s="83">
        <f>IF(O300="1",'⚙️ Configuração'!$C$21,IF(O300="2",'⚙️ Configuração'!$C$22,IF(O300="3",'⚙️ Configuração'!$C$23,IF(O300="Outro",'⚙️ Configuração'!$C$24,0))))</f>
        <v>0</v>
      </c>
      <c r="Q300" s="84">
        <f t="shared" si="23"/>
        <v>0</v>
      </c>
      <c r="R300" s="40" t="str">
        <f t="shared" si="22"/>
        <v>Semana 1 — ver 🔄</v>
      </c>
      <c r="S300" t="str" cm="1">
        <f t="array" ref="S300">IF(D300="","",IFERROR(_xlfn.SWITCH(B300,"Semana 1",IFERROR(INDEX('🔄 Rotação Duplas'!$D$8:$D$17,MATCH(D300,'🔄 Rotação Duplas'!$C$8:$C$17,0)),INDEX('🔄 Rotação Duplas'!$C$8:$C$17,MATCH(D300,'🔄 Rotação Duplas'!$D$8:$D$17,0))),"Semana 2",IFERROR(INDEX('🔄 Rotação Duplas'!$D$22:$D$31,MATCH(D300,'🔄 Rotação Duplas'!$C$22:$C$31,0)),INDEX('🔄 Rotação Duplas'!$C$22:$C$31,MATCH(D300,'🔄 Rotação Duplas'!$D$22:$D$31,0))),"Semana 3",IFERROR(INDEX('🔄 Rotação Duplas'!$D$36:$D$45,MATCH(D300,'🔄 Rotação Duplas'!$C$36:$C$45,0)),INDEX('🔄 Rotação Duplas'!$C$36:$C$45,MATCH(D300,'🔄 Rotação Duplas'!$D$36:$D$45,0))),"Semana 4",IFERROR(INDEX('🔄 Rotação Duplas'!$D$50:$D$59,MATCH(D300,'🔄 Rotação Duplas'!$C$50:$C$59,0)),INDEX('🔄 Rotação Duplas'!$C$50:$C$59,MATCH(D300,'🔄 Rotação Duplas'!$D$50:$D$59,0))),"Semana 5",IFERROR(INDEX('🔄 Rotação Duplas'!$D$64:$D$73,MATCH(D300,'🔄 Rotação Duplas'!$C$64:$C$73,0)),INDEX('🔄 Rotação Duplas'!$C$64:$C$73,MATCH(D300,'🔄 Rotação Duplas'!$D$64:$D$73,0))),"Semana 6",IFERROR(INDEX('🔄 Rotação Duplas'!$D$78:$D$87,MATCH(D300,'🔄 Rotação Duplas'!$C$78:$C$87,0)),INDEX('🔄 Rotação Duplas'!$C$78:$C$87,MATCH(D300,'🔄 Rotação Duplas'!$D$78:$D$87,0))),"Semana 7",IFERROR(INDEX('🔄 Rotação Duplas'!$D$92:$D$101,MATCH(D300,'🔄 Rotação Duplas'!$C$92:$C$101,0)),INDEX('🔄 Rotação Duplas'!$C$92:$C$101,MATCH(D300,'🔄 Rotação Duplas'!$D$92:$D$101,0))),"Semana 8",IFERROR(INDEX('🔄 Rotação Duplas'!$D$106:$D$115,MATCH(D300,'🔄 Rotação Duplas'!$C$106:$C$115,0)),INDEX('🔄 Rotação Duplas'!$C$106:$C$115,MATCH(D300,'🔄 Rotação Duplas'!$D$106:$D$115,0)))),""))</f>
        <v/>
      </c>
      <c r="T300">
        <f t="shared" si="24"/>
        <v>0</v>
      </c>
    </row>
    <row r="301" spans="2:20" ht="18" customHeight="1" x14ac:dyDescent="0.2">
      <c r="B301" s="78" t="s">
        <v>87</v>
      </c>
      <c r="C301" s="79" t="str">
        <f t="shared" si="26"/>
        <v>Desafio 15</v>
      </c>
      <c r="D301" s="80" t="str">
        <f>'⚙️ Configuração'!C44</f>
        <v>Paula Miabara</v>
      </c>
      <c r="E301" s="50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81">
        <f>(E301*'⚙️ Configuração'!$C$6+F301*'⚙️ Configuração'!$C$7+G301*'⚙️ Configuração'!$C$8+H301*'⚙️ Configuração'!$C$9+I301*'⚙️ Configuração'!$C$10+J301*'⚙️ Configuração'!$C$11)*IF(N301="S",2,1)</f>
        <v>0</v>
      </c>
      <c r="L301" s="90" t="s">
        <v>167</v>
      </c>
      <c r="M301" s="82">
        <f>IF(L301="AT1",'⚙️ Configuração'!$C$14,IF(L301="AT2",'⚙️ Configuração'!$C$15,IF(L301="FI",'⚙️ Configuração'!$C$16,IF(L301="FJ",'⚙️ Configuração'!$C$17,0))))</f>
        <v>0</v>
      </c>
      <c r="N301" s="91" t="s">
        <v>167</v>
      </c>
      <c r="O301" s="92"/>
      <c r="P301" s="83">
        <f>IF(O301="1",'⚙️ Configuração'!$C$21,IF(O301="2",'⚙️ Configuração'!$C$22,IF(O301="3",'⚙️ Configuração'!$C$23,IF(O301="Outro",'⚙️ Configuração'!$C$24,0))))</f>
        <v>0</v>
      </c>
      <c r="Q301" s="84">
        <f t="shared" si="23"/>
        <v>0</v>
      </c>
      <c r="R301" s="40" t="str">
        <f t="shared" si="22"/>
        <v>Semana 1 — ver 🔄</v>
      </c>
      <c r="S301" t="str" cm="1">
        <f t="array" ref="S301">IF(D301="","",IFERROR(_xlfn.SWITCH(B301,"Semana 1",IFERROR(INDEX('🔄 Rotação Duplas'!$D$8:$D$17,MATCH(D301,'🔄 Rotação Duplas'!$C$8:$C$17,0)),INDEX('🔄 Rotação Duplas'!$C$8:$C$17,MATCH(D301,'🔄 Rotação Duplas'!$D$8:$D$17,0))),"Semana 2",IFERROR(INDEX('🔄 Rotação Duplas'!$D$22:$D$31,MATCH(D301,'🔄 Rotação Duplas'!$C$22:$C$31,0)),INDEX('🔄 Rotação Duplas'!$C$22:$C$31,MATCH(D301,'🔄 Rotação Duplas'!$D$22:$D$31,0))),"Semana 3",IFERROR(INDEX('🔄 Rotação Duplas'!$D$36:$D$45,MATCH(D301,'🔄 Rotação Duplas'!$C$36:$C$45,0)),INDEX('🔄 Rotação Duplas'!$C$36:$C$45,MATCH(D301,'🔄 Rotação Duplas'!$D$36:$D$45,0))),"Semana 4",IFERROR(INDEX('🔄 Rotação Duplas'!$D$50:$D$59,MATCH(D301,'🔄 Rotação Duplas'!$C$50:$C$59,0)),INDEX('🔄 Rotação Duplas'!$C$50:$C$59,MATCH(D301,'🔄 Rotação Duplas'!$D$50:$D$59,0))),"Semana 5",IFERROR(INDEX('🔄 Rotação Duplas'!$D$64:$D$73,MATCH(D301,'🔄 Rotação Duplas'!$C$64:$C$73,0)),INDEX('🔄 Rotação Duplas'!$C$64:$C$73,MATCH(D301,'🔄 Rotação Duplas'!$D$64:$D$73,0))),"Semana 6",IFERROR(INDEX('🔄 Rotação Duplas'!$D$78:$D$87,MATCH(D301,'🔄 Rotação Duplas'!$C$78:$C$87,0)),INDEX('🔄 Rotação Duplas'!$C$78:$C$87,MATCH(D301,'🔄 Rotação Duplas'!$D$78:$D$87,0))),"Semana 7",IFERROR(INDEX('🔄 Rotação Duplas'!$D$92:$D$101,MATCH(D301,'🔄 Rotação Duplas'!$C$92:$C$101,0)),INDEX('🔄 Rotação Duplas'!$C$92:$C$101,MATCH(D301,'🔄 Rotação Duplas'!$D$92:$D$101,0))),"Semana 8",IFERROR(INDEX('🔄 Rotação Duplas'!$D$106:$D$115,MATCH(D301,'🔄 Rotação Duplas'!$C$106:$C$115,0)),INDEX('🔄 Rotação Duplas'!$C$106:$C$115,MATCH(D301,'🔄 Rotação Duplas'!$D$106:$D$115,0)))),""))</f>
        <v/>
      </c>
      <c r="T301">
        <f t="shared" si="24"/>
        <v>0</v>
      </c>
    </row>
    <row r="302" spans="2:20" ht="18" customHeight="1" x14ac:dyDescent="0.2">
      <c r="B302" s="85" t="s">
        <v>87</v>
      </c>
      <c r="C302" s="86" t="str">
        <f t="shared" si="26"/>
        <v>Desafio 15</v>
      </c>
      <c r="D302" s="87" t="str">
        <f>'⚙️ Configuração'!C45</f>
        <v>Rita Carmo</v>
      </c>
      <c r="E302" s="50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81">
        <f>(E302*'⚙️ Configuração'!$C$6+F302*'⚙️ Configuração'!$C$7+G302*'⚙️ Configuração'!$C$8+H302*'⚙️ Configuração'!$C$9+I302*'⚙️ Configuração'!$C$10+J302*'⚙️ Configuração'!$C$11)*IF(N302="S",2,1)</f>
        <v>0</v>
      </c>
      <c r="L302" s="90" t="s">
        <v>167</v>
      </c>
      <c r="M302" s="82">
        <f>IF(L302="AT1",'⚙️ Configuração'!$C$14,IF(L302="AT2",'⚙️ Configuração'!$C$15,IF(L302="FI",'⚙️ Configuração'!$C$16,IF(L302="FJ",'⚙️ Configuração'!$C$17,0))))</f>
        <v>0</v>
      </c>
      <c r="N302" s="91" t="s">
        <v>167</v>
      </c>
      <c r="O302" s="92"/>
      <c r="P302" s="83">
        <f>IF(O302="1",'⚙️ Configuração'!$C$21,IF(O302="2",'⚙️ Configuração'!$C$22,IF(O302="3",'⚙️ Configuração'!$C$23,IF(O302="Outro",'⚙️ Configuração'!$C$24,0))))</f>
        <v>0</v>
      </c>
      <c r="Q302" s="84">
        <f t="shared" si="23"/>
        <v>0</v>
      </c>
      <c r="R302" s="40" t="str">
        <f t="shared" si="22"/>
        <v>Semana 1 — ver 🔄</v>
      </c>
      <c r="S302" t="str" cm="1">
        <f t="array" ref="S302">IF(D302="","",IFERROR(_xlfn.SWITCH(B302,"Semana 1",IFERROR(INDEX('🔄 Rotação Duplas'!$D$8:$D$17,MATCH(D302,'🔄 Rotação Duplas'!$C$8:$C$17,0)),INDEX('🔄 Rotação Duplas'!$C$8:$C$17,MATCH(D302,'🔄 Rotação Duplas'!$D$8:$D$17,0))),"Semana 2",IFERROR(INDEX('🔄 Rotação Duplas'!$D$22:$D$31,MATCH(D302,'🔄 Rotação Duplas'!$C$22:$C$31,0)),INDEX('🔄 Rotação Duplas'!$C$22:$C$31,MATCH(D302,'🔄 Rotação Duplas'!$D$22:$D$31,0))),"Semana 3",IFERROR(INDEX('🔄 Rotação Duplas'!$D$36:$D$45,MATCH(D302,'🔄 Rotação Duplas'!$C$36:$C$45,0)),INDEX('🔄 Rotação Duplas'!$C$36:$C$45,MATCH(D302,'🔄 Rotação Duplas'!$D$36:$D$45,0))),"Semana 4",IFERROR(INDEX('🔄 Rotação Duplas'!$D$50:$D$59,MATCH(D302,'🔄 Rotação Duplas'!$C$50:$C$59,0)),INDEX('🔄 Rotação Duplas'!$C$50:$C$59,MATCH(D302,'🔄 Rotação Duplas'!$D$50:$D$59,0))),"Semana 5",IFERROR(INDEX('🔄 Rotação Duplas'!$D$64:$D$73,MATCH(D302,'🔄 Rotação Duplas'!$C$64:$C$73,0)),INDEX('🔄 Rotação Duplas'!$C$64:$C$73,MATCH(D302,'🔄 Rotação Duplas'!$D$64:$D$73,0))),"Semana 6",IFERROR(INDEX('🔄 Rotação Duplas'!$D$78:$D$87,MATCH(D302,'🔄 Rotação Duplas'!$C$78:$C$87,0)),INDEX('🔄 Rotação Duplas'!$C$78:$C$87,MATCH(D302,'🔄 Rotação Duplas'!$D$78:$D$87,0))),"Semana 7",IFERROR(INDEX('🔄 Rotação Duplas'!$D$92:$D$101,MATCH(D302,'🔄 Rotação Duplas'!$C$92:$C$101,0)),INDEX('🔄 Rotação Duplas'!$C$92:$C$101,MATCH(D302,'🔄 Rotação Duplas'!$D$92:$D$101,0))),"Semana 8",IFERROR(INDEX('🔄 Rotação Duplas'!$D$106:$D$115,MATCH(D302,'🔄 Rotação Duplas'!$C$106:$C$115,0)),INDEX('🔄 Rotação Duplas'!$C$106:$C$115,MATCH(D302,'🔄 Rotação Duplas'!$D$106:$D$115,0)))),""))</f>
        <v/>
      </c>
      <c r="T302">
        <f t="shared" si="24"/>
        <v>0</v>
      </c>
    </row>
    <row r="303" spans="2:20" ht="18" customHeight="1" x14ac:dyDescent="0.2">
      <c r="B303" s="78" t="s">
        <v>87</v>
      </c>
      <c r="C303" s="79" t="str">
        <f t="shared" si="26"/>
        <v>Desafio 15</v>
      </c>
      <c r="D303" s="80" t="str">
        <f>'⚙️ Configuração'!C46</f>
        <v>William Fernandes</v>
      </c>
      <c r="E303" s="50">
        <v>0</v>
      </c>
      <c r="F303" s="50">
        <v>0</v>
      </c>
      <c r="G303" s="50">
        <v>0</v>
      </c>
      <c r="H303" s="50">
        <v>0</v>
      </c>
      <c r="I303" s="50">
        <v>0</v>
      </c>
      <c r="J303" s="50">
        <v>0</v>
      </c>
      <c r="K303" s="81">
        <f>(E303*'⚙️ Configuração'!$C$6+F303*'⚙️ Configuração'!$C$7+G303*'⚙️ Configuração'!$C$8+H303*'⚙️ Configuração'!$C$9+I303*'⚙️ Configuração'!$C$10+J303*'⚙️ Configuração'!$C$11)*IF(N303="S",2,1)</f>
        <v>0</v>
      </c>
      <c r="L303" s="90" t="s">
        <v>167</v>
      </c>
      <c r="M303" s="82">
        <f>IF(L303="AT1",'⚙️ Configuração'!$C$14,IF(L303="AT2",'⚙️ Configuração'!$C$15,IF(L303="FI",'⚙️ Configuração'!$C$16,IF(L303="FJ",'⚙️ Configuração'!$C$17,0))))</f>
        <v>0</v>
      </c>
      <c r="N303" s="91" t="s">
        <v>167</v>
      </c>
      <c r="O303" s="92"/>
      <c r="P303" s="83">
        <f>IF(O303="1",'⚙️ Configuração'!$C$21,IF(O303="2",'⚙️ Configuração'!$C$22,IF(O303="3",'⚙️ Configuração'!$C$23,IF(O303="Outro",'⚙️ Configuração'!$C$24,0))))</f>
        <v>0</v>
      </c>
      <c r="Q303" s="84">
        <f t="shared" si="23"/>
        <v>0</v>
      </c>
      <c r="R303" s="40" t="str">
        <f t="shared" si="22"/>
        <v>Semana 1 — ver 🔄</v>
      </c>
      <c r="S303" t="str" cm="1">
        <f t="array" ref="S303">IF(D303="","",IFERROR(_xlfn.SWITCH(B303,"Semana 1",IFERROR(INDEX('🔄 Rotação Duplas'!$D$8:$D$17,MATCH(D303,'🔄 Rotação Duplas'!$C$8:$C$17,0)),INDEX('🔄 Rotação Duplas'!$C$8:$C$17,MATCH(D303,'🔄 Rotação Duplas'!$D$8:$D$17,0))),"Semana 2",IFERROR(INDEX('🔄 Rotação Duplas'!$D$22:$D$31,MATCH(D303,'🔄 Rotação Duplas'!$C$22:$C$31,0)),INDEX('🔄 Rotação Duplas'!$C$22:$C$31,MATCH(D303,'🔄 Rotação Duplas'!$D$22:$D$31,0))),"Semana 3",IFERROR(INDEX('🔄 Rotação Duplas'!$D$36:$D$45,MATCH(D303,'🔄 Rotação Duplas'!$C$36:$C$45,0)),INDEX('🔄 Rotação Duplas'!$C$36:$C$45,MATCH(D303,'🔄 Rotação Duplas'!$D$36:$D$45,0))),"Semana 4",IFERROR(INDEX('🔄 Rotação Duplas'!$D$50:$D$59,MATCH(D303,'🔄 Rotação Duplas'!$C$50:$C$59,0)),INDEX('🔄 Rotação Duplas'!$C$50:$C$59,MATCH(D303,'🔄 Rotação Duplas'!$D$50:$D$59,0))),"Semana 5",IFERROR(INDEX('🔄 Rotação Duplas'!$D$64:$D$73,MATCH(D303,'🔄 Rotação Duplas'!$C$64:$C$73,0)),INDEX('🔄 Rotação Duplas'!$C$64:$C$73,MATCH(D303,'🔄 Rotação Duplas'!$D$64:$D$73,0))),"Semana 6",IFERROR(INDEX('🔄 Rotação Duplas'!$D$78:$D$87,MATCH(D303,'🔄 Rotação Duplas'!$C$78:$C$87,0)),INDEX('🔄 Rotação Duplas'!$C$78:$C$87,MATCH(D303,'🔄 Rotação Duplas'!$D$78:$D$87,0))),"Semana 7",IFERROR(INDEX('🔄 Rotação Duplas'!$D$92:$D$101,MATCH(D303,'🔄 Rotação Duplas'!$C$92:$C$101,0)),INDEX('🔄 Rotação Duplas'!$C$92:$C$101,MATCH(D303,'🔄 Rotação Duplas'!$D$92:$D$101,0))),"Semana 8",IFERROR(INDEX('🔄 Rotação Duplas'!$D$106:$D$115,MATCH(D303,'🔄 Rotação Duplas'!$C$106:$C$115,0)),INDEX('🔄 Rotação Duplas'!$C$106:$C$115,MATCH(D303,'🔄 Rotação Duplas'!$D$106:$D$115,0)))),""))</f>
        <v/>
      </c>
      <c r="T303">
        <f t="shared" si="24"/>
        <v>0</v>
      </c>
    </row>
    <row r="304" spans="2:20" ht="18" customHeight="1" x14ac:dyDescent="0.2">
      <c r="B304" s="85" t="s">
        <v>87</v>
      </c>
      <c r="C304" s="86" t="str">
        <f t="shared" si="26"/>
        <v>Desafio 15</v>
      </c>
      <c r="D304" s="87" t="str">
        <f>'⚙️ Configuração'!C47</f>
        <v>-</v>
      </c>
      <c r="E304" s="50">
        <v>0</v>
      </c>
      <c r="F304" s="50">
        <v>0</v>
      </c>
      <c r="G304" s="50">
        <v>0</v>
      </c>
      <c r="H304" s="50">
        <v>0</v>
      </c>
      <c r="I304" s="50">
        <v>0</v>
      </c>
      <c r="J304" s="50">
        <v>0</v>
      </c>
      <c r="K304" s="81">
        <f>(E304*'⚙️ Configuração'!$C$6+F304*'⚙️ Configuração'!$C$7+G304*'⚙️ Configuração'!$C$8+H304*'⚙️ Configuração'!$C$9+I304*'⚙️ Configuração'!$C$10+J304*'⚙️ Configuração'!$C$11)*IF(N304="S",2,1)</f>
        <v>0</v>
      </c>
      <c r="L304" s="90" t="s">
        <v>167</v>
      </c>
      <c r="M304" s="82">
        <f>IF(L304="AT1",'⚙️ Configuração'!$C$14,IF(L304="AT2",'⚙️ Configuração'!$C$15,IF(L304="FI",'⚙️ Configuração'!$C$16,IF(L304="FJ",'⚙️ Configuração'!$C$17,0))))</f>
        <v>0</v>
      </c>
      <c r="N304" s="91" t="s">
        <v>167</v>
      </c>
      <c r="O304" s="92"/>
      <c r="P304" s="83">
        <f>IF(O304="1",'⚙️ Configuração'!$C$21,IF(O304="2",'⚙️ Configuração'!$C$22,IF(O304="3",'⚙️ Configuração'!$C$23,IF(O304="Outro",'⚙️ Configuração'!$C$24,0))))</f>
        <v>0</v>
      </c>
      <c r="Q304" s="84">
        <f t="shared" si="23"/>
        <v>0</v>
      </c>
      <c r="R304" s="40" t="str">
        <f t="shared" si="22"/>
        <v>Semana 1 — ver 🔄</v>
      </c>
      <c r="S304" t="str" cm="1">
        <f t="array" ref="S304">IF(D304="","",IFERROR(_xlfn.SWITCH(B304,"Semana 1",IFERROR(INDEX('🔄 Rotação Duplas'!$D$8:$D$17,MATCH(D304,'🔄 Rotação Duplas'!$C$8:$C$17,0)),INDEX('🔄 Rotação Duplas'!$C$8:$C$17,MATCH(D304,'🔄 Rotação Duplas'!$D$8:$D$17,0))),"Semana 2",IFERROR(INDEX('🔄 Rotação Duplas'!$D$22:$D$31,MATCH(D304,'🔄 Rotação Duplas'!$C$22:$C$31,0)),INDEX('🔄 Rotação Duplas'!$C$22:$C$31,MATCH(D304,'🔄 Rotação Duplas'!$D$22:$D$31,0))),"Semana 3",IFERROR(INDEX('🔄 Rotação Duplas'!$D$36:$D$45,MATCH(D304,'🔄 Rotação Duplas'!$C$36:$C$45,0)),INDEX('🔄 Rotação Duplas'!$C$36:$C$45,MATCH(D304,'🔄 Rotação Duplas'!$D$36:$D$45,0))),"Semana 4",IFERROR(INDEX('🔄 Rotação Duplas'!$D$50:$D$59,MATCH(D304,'🔄 Rotação Duplas'!$C$50:$C$59,0)),INDEX('🔄 Rotação Duplas'!$C$50:$C$59,MATCH(D304,'🔄 Rotação Duplas'!$D$50:$D$59,0))),"Semana 5",IFERROR(INDEX('🔄 Rotação Duplas'!$D$64:$D$73,MATCH(D304,'🔄 Rotação Duplas'!$C$64:$C$73,0)),INDEX('🔄 Rotação Duplas'!$C$64:$C$73,MATCH(D304,'🔄 Rotação Duplas'!$D$64:$D$73,0))),"Semana 6",IFERROR(INDEX('🔄 Rotação Duplas'!$D$78:$D$87,MATCH(D304,'🔄 Rotação Duplas'!$C$78:$C$87,0)),INDEX('🔄 Rotação Duplas'!$C$78:$C$87,MATCH(D304,'🔄 Rotação Duplas'!$D$78:$D$87,0))),"Semana 7",IFERROR(INDEX('🔄 Rotação Duplas'!$D$92:$D$101,MATCH(D304,'🔄 Rotação Duplas'!$C$92:$C$101,0)),INDEX('🔄 Rotação Duplas'!$C$92:$C$101,MATCH(D304,'🔄 Rotação Duplas'!$D$92:$D$101,0))),"Semana 8",IFERROR(INDEX('🔄 Rotação Duplas'!$D$106:$D$115,MATCH(D304,'🔄 Rotação Duplas'!$C$106:$C$115,0)),INDEX('🔄 Rotação Duplas'!$C$106:$C$115,MATCH(D304,'🔄 Rotação Duplas'!$D$106:$D$115,0)))),""))</f>
        <v/>
      </c>
      <c r="T304">
        <f t="shared" si="24"/>
        <v>0</v>
      </c>
    </row>
    <row r="305" spans="2:20" ht="18" customHeight="1" x14ac:dyDescent="0.2">
      <c r="B305" s="78" t="s">
        <v>87</v>
      </c>
      <c r="C305" s="79" t="str">
        <f t="shared" si="26"/>
        <v>Desafio 15</v>
      </c>
      <c r="D305" s="80" t="str">
        <f>'⚙️ Configuração'!C48</f>
        <v>-</v>
      </c>
      <c r="E305" s="50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81">
        <f>(E305*'⚙️ Configuração'!$C$6+F305*'⚙️ Configuração'!$C$7+G305*'⚙️ Configuração'!$C$8+H305*'⚙️ Configuração'!$C$9+I305*'⚙️ Configuração'!$C$10+J305*'⚙️ Configuração'!$C$11)*IF(N305="S",2,1)</f>
        <v>0</v>
      </c>
      <c r="L305" s="90" t="s">
        <v>167</v>
      </c>
      <c r="M305" s="82">
        <f>IF(L305="AT1",'⚙️ Configuração'!$C$14,IF(L305="AT2",'⚙️ Configuração'!$C$15,IF(L305="FI",'⚙️ Configuração'!$C$16,IF(L305="FJ",'⚙️ Configuração'!$C$17,0))))</f>
        <v>0</v>
      </c>
      <c r="N305" s="91" t="s">
        <v>167</v>
      </c>
      <c r="O305" s="92"/>
      <c r="P305" s="83">
        <f>IF(O305="1",'⚙️ Configuração'!$C$21,IF(O305="2",'⚙️ Configuração'!$C$22,IF(O305="3",'⚙️ Configuração'!$C$23,IF(O305="Outro",'⚙️ Configuração'!$C$24,0))))</f>
        <v>0</v>
      </c>
      <c r="Q305" s="84">
        <f t="shared" si="23"/>
        <v>0</v>
      </c>
      <c r="R305" s="40" t="str">
        <f t="shared" si="22"/>
        <v>Semana 1 — ver 🔄</v>
      </c>
      <c r="S305" t="str" cm="1">
        <f t="array" ref="S305">IF(D305="","",IFERROR(_xlfn.SWITCH(B305,"Semana 1",IFERROR(INDEX('🔄 Rotação Duplas'!$D$8:$D$17,MATCH(D305,'🔄 Rotação Duplas'!$C$8:$C$17,0)),INDEX('🔄 Rotação Duplas'!$C$8:$C$17,MATCH(D305,'🔄 Rotação Duplas'!$D$8:$D$17,0))),"Semana 2",IFERROR(INDEX('🔄 Rotação Duplas'!$D$22:$D$31,MATCH(D305,'🔄 Rotação Duplas'!$C$22:$C$31,0)),INDEX('🔄 Rotação Duplas'!$C$22:$C$31,MATCH(D305,'🔄 Rotação Duplas'!$D$22:$D$31,0))),"Semana 3",IFERROR(INDEX('🔄 Rotação Duplas'!$D$36:$D$45,MATCH(D305,'🔄 Rotação Duplas'!$C$36:$C$45,0)),INDEX('🔄 Rotação Duplas'!$C$36:$C$45,MATCH(D305,'🔄 Rotação Duplas'!$D$36:$D$45,0))),"Semana 4",IFERROR(INDEX('🔄 Rotação Duplas'!$D$50:$D$59,MATCH(D305,'🔄 Rotação Duplas'!$C$50:$C$59,0)),INDEX('🔄 Rotação Duplas'!$C$50:$C$59,MATCH(D305,'🔄 Rotação Duplas'!$D$50:$D$59,0))),"Semana 5",IFERROR(INDEX('🔄 Rotação Duplas'!$D$64:$D$73,MATCH(D305,'🔄 Rotação Duplas'!$C$64:$C$73,0)),INDEX('🔄 Rotação Duplas'!$C$64:$C$73,MATCH(D305,'🔄 Rotação Duplas'!$D$64:$D$73,0))),"Semana 6",IFERROR(INDEX('🔄 Rotação Duplas'!$D$78:$D$87,MATCH(D305,'🔄 Rotação Duplas'!$C$78:$C$87,0)),INDEX('🔄 Rotação Duplas'!$C$78:$C$87,MATCH(D305,'🔄 Rotação Duplas'!$D$78:$D$87,0))),"Semana 7",IFERROR(INDEX('🔄 Rotação Duplas'!$D$92:$D$101,MATCH(D305,'🔄 Rotação Duplas'!$C$92:$C$101,0)),INDEX('🔄 Rotação Duplas'!$C$92:$C$101,MATCH(D305,'🔄 Rotação Duplas'!$D$92:$D$101,0))),"Semana 8",IFERROR(INDEX('🔄 Rotação Duplas'!$D$106:$D$115,MATCH(D305,'🔄 Rotação Duplas'!$C$106:$C$115,0)),INDEX('🔄 Rotação Duplas'!$C$106:$C$115,MATCH(D305,'🔄 Rotação Duplas'!$D$106:$D$115,0)))),""))</f>
        <v/>
      </c>
      <c r="T305">
        <f t="shared" si="24"/>
        <v>0</v>
      </c>
    </row>
    <row r="306" spans="2:20" ht="18" customHeight="1" x14ac:dyDescent="0.2">
      <c r="B306" s="85" t="s">
        <v>87</v>
      </c>
      <c r="C306" s="86" t="str">
        <f t="shared" si="26"/>
        <v>Desafio 15</v>
      </c>
      <c r="D306" s="87" t="str">
        <f>'⚙️ Configuração'!C49</f>
        <v>-</v>
      </c>
      <c r="E306" s="50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81">
        <f>(E306*'⚙️ Configuração'!$C$6+F306*'⚙️ Configuração'!$C$7+G306*'⚙️ Configuração'!$C$8+H306*'⚙️ Configuração'!$C$9+I306*'⚙️ Configuração'!$C$10+J306*'⚙️ Configuração'!$C$11)*IF(N306="S",2,1)</f>
        <v>0</v>
      </c>
      <c r="L306" s="90" t="s">
        <v>167</v>
      </c>
      <c r="M306" s="82">
        <f>IF(L306="AT1",'⚙️ Configuração'!$C$14,IF(L306="AT2",'⚙️ Configuração'!$C$15,IF(L306="FI",'⚙️ Configuração'!$C$16,IF(L306="FJ",'⚙️ Configuração'!$C$17,0))))</f>
        <v>0</v>
      </c>
      <c r="N306" s="91" t="s">
        <v>167</v>
      </c>
      <c r="O306" s="92"/>
      <c r="P306" s="83">
        <f>IF(O306="1",'⚙️ Configuração'!$C$21,IF(O306="2",'⚙️ Configuração'!$C$22,IF(O306="3",'⚙️ Configuração'!$C$23,IF(O306="Outro",'⚙️ Configuração'!$C$24,0))))</f>
        <v>0</v>
      </c>
      <c r="Q306" s="84">
        <f t="shared" si="23"/>
        <v>0</v>
      </c>
      <c r="R306" s="40" t="str">
        <f t="shared" si="22"/>
        <v>Semana 1 — ver 🔄</v>
      </c>
      <c r="S306" t="str" cm="1">
        <f t="array" ref="S306">IF(D306="","",IFERROR(_xlfn.SWITCH(B306,"Semana 1",IFERROR(INDEX('🔄 Rotação Duplas'!$D$8:$D$17,MATCH(D306,'🔄 Rotação Duplas'!$C$8:$C$17,0)),INDEX('🔄 Rotação Duplas'!$C$8:$C$17,MATCH(D306,'🔄 Rotação Duplas'!$D$8:$D$17,0))),"Semana 2",IFERROR(INDEX('🔄 Rotação Duplas'!$D$22:$D$31,MATCH(D306,'🔄 Rotação Duplas'!$C$22:$C$31,0)),INDEX('🔄 Rotação Duplas'!$C$22:$C$31,MATCH(D306,'🔄 Rotação Duplas'!$D$22:$D$31,0))),"Semana 3",IFERROR(INDEX('🔄 Rotação Duplas'!$D$36:$D$45,MATCH(D306,'🔄 Rotação Duplas'!$C$36:$C$45,0)),INDEX('🔄 Rotação Duplas'!$C$36:$C$45,MATCH(D306,'🔄 Rotação Duplas'!$D$36:$D$45,0))),"Semana 4",IFERROR(INDEX('🔄 Rotação Duplas'!$D$50:$D$59,MATCH(D306,'🔄 Rotação Duplas'!$C$50:$C$59,0)),INDEX('🔄 Rotação Duplas'!$C$50:$C$59,MATCH(D306,'🔄 Rotação Duplas'!$D$50:$D$59,0))),"Semana 5",IFERROR(INDEX('🔄 Rotação Duplas'!$D$64:$D$73,MATCH(D306,'🔄 Rotação Duplas'!$C$64:$C$73,0)),INDEX('🔄 Rotação Duplas'!$C$64:$C$73,MATCH(D306,'🔄 Rotação Duplas'!$D$64:$D$73,0))),"Semana 6",IFERROR(INDEX('🔄 Rotação Duplas'!$D$78:$D$87,MATCH(D306,'🔄 Rotação Duplas'!$C$78:$C$87,0)),INDEX('🔄 Rotação Duplas'!$C$78:$C$87,MATCH(D306,'🔄 Rotação Duplas'!$D$78:$D$87,0))),"Semana 7",IFERROR(INDEX('🔄 Rotação Duplas'!$D$92:$D$101,MATCH(D306,'🔄 Rotação Duplas'!$C$92:$C$101,0)),INDEX('🔄 Rotação Duplas'!$C$92:$C$101,MATCH(D306,'🔄 Rotação Duplas'!$D$92:$D$101,0))),"Semana 8",IFERROR(INDEX('🔄 Rotação Duplas'!$D$106:$D$115,MATCH(D306,'🔄 Rotação Duplas'!$C$106:$C$115,0)),INDEX('🔄 Rotação Duplas'!$C$106:$C$115,MATCH(D306,'🔄 Rotação Duplas'!$D$106:$D$115,0)))),""))</f>
        <v/>
      </c>
      <c r="T306">
        <f t="shared" si="24"/>
        <v>0</v>
      </c>
    </row>
    <row r="307" spans="2:20" ht="18" customHeight="1" x14ac:dyDescent="0.2">
      <c r="B307" s="78" t="s">
        <v>87</v>
      </c>
      <c r="C307" s="79" t="str">
        <f t="shared" ref="C307:C326" si="27">"Desafio 16"</f>
        <v>Desafio 16</v>
      </c>
      <c r="D307" s="80" t="str">
        <f>'⚙️ Configuração'!C30</f>
        <v>Carla Cantante</v>
      </c>
      <c r="E307" s="50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81">
        <f>(E307*'⚙️ Configuração'!$C$6+F307*'⚙️ Configuração'!$C$7+G307*'⚙️ Configuração'!$C$8+H307*'⚙️ Configuração'!$C$9+I307*'⚙️ Configuração'!$C$10+J307*'⚙️ Configuração'!$C$11)*IF(N307="S",2,1)</f>
        <v>0</v>
      </c>
      <c r="L307" s="90" t="s">
        <v>167</v>
      </c>
      <c r="M307" s="82">
        <f>IF(L307="AT1",'⚙️ Configuração'!$C$14,IF(L307="AT2",'⚙️ Configuração'!$C$15,IF(L307="FI",'⚙️ Configuração'!$C$16,IF(L307="FJ",'⚙️ Configuração'!$C$17,0))))</f>
        <v>0</v>
      </c>
      <c r="N307" s="91" t="s">
        <v>167</v>
      </c>
      <c r="O307" s="92"/>
      <c r="P307" s="83">
        <f>IF(O307="1",'⚙️ Configuração'!$C$21,IF(O307="2",'⚙️ Configuração'!$C$22,IF(O307="3",'⚙️ Configuração'!$C$23,IF(O307="Outro",'⚙️ Configuração'!$C$24,0))))</f>
        <v>0</v>
      </c>
      <c r="Q307" s="84">
        <f t="shared" si="23"/>
        <v>0</v>
      </c>
      <c r="R307" s="40" t="str">
        <f t="shared" si="22"/>
        <v>Semana 1 — ver 🔄</v>
      </c>
      <c r="S307" t="str" cm="1">
        <f t="array" ref="S307">IF(D307="","",IFERROR(_xlfn.SWITCH(B307,"Semana 1",IFERROR(INDEX('🔄 Rotação Duplas'!$D$8:$D$17,MATCH(D307,'🔄 Rotação Duplas'!$C$8:$C$17,0)),INDEX('🔄 Rotação Duplas'!$C$8:$C$17,MATCH(D307,'🔄 Rotação Duplas'!$D$8:$D$17,0))),"Semana 2",IFERROR(INDEX('🔄 Rotação Duplas'!$D$22:$D$31,MATCH(D307,'🔄 Rotação Duplas'!$C$22:$C$31,0)),INDEX('🔄 Rotação Duplas'!$C$22:$C$31,MATCH(D307,'🔄 Rotação Duplas'!$D$22:$D$31,0))),"Semana 3",IFERROR(INDEX('🔄 Rotação Duplas'!$D$36:$D$45,MATCH(D307,'🔄 Rotação Duplas'!$C$36:$C$45,0)),INDEX('🔄 Rotação Duplas'!$C$36:$C$45,MATCH(D307,'🔄 Rotação Duplas'!$D$36:$D$45,0))),"Semana 4",IFERROR(INDEX('🔄 Rotação Duplas'!$D$50:$D$59,MATCH(D307,'🔄 Rotação Duplas'!$C$50:$C$59,0)),INDEX('🔄 Rotação Duplas'!$C$50:$C$59,MATCH(D307,'🔄 Rotação Duplas'!$D$50:$D$59,0))),"Semana 5",IFERROR(INDEX('🔄 Rotação Duplas'!$D$64:$D$73,MATCH(D307,'🔄 Rotação Duplas'!$C$64:$C$73,0)),INDEX('🔄 Rotação Duplas'!$C$64:$C$73,MATCH(D307,'🔄 Rotação Duplas'!$D$64:$D$73,0))),"Semana 6",IFERROR(INDEX('🔄 Rotação Duplas'!$D$78:$D$87,MATCH(D307,'🔄 Rotação Duplas'!$C$78:$C$87,0)),INDEX('🔄 Rotação Duplas'!$C$78:$C$87,MATCH(D307,'🔄 Rotação Duplas'!$D$78:$D$87,0))),"Semana 7",IFERROR(INDEX('🔄 Rotação Duplas'!$D$92:$D$101,MATCH(D307,'🔄 Rotação Duplas'!$C$92:$C$101,0)),INDEX('🔄 Rotação Duplas'!$C$92:$C$101,MATCH(D307,'🔄 Rotação Duplas'!$D$92:$D$101,0))),"Semana 8",IFERROR(INDEX('🔄 Rotação Duplas'!$D$106:$D$115,MATCH(D307,'🔄 Rotação Duplas'!$C$106:$C$115,0)),INDEX('🔄 Rotação Duplas'!$C$106:$C$115,MATCH(D307,'🔄 Rotação Duplas'!$D$106:$D$115,0)))),""))</f>
        <v/>
      </c>
      <c r="T307">
        <f t="shared" si="24"/>
        <v>0</v>
      </c>
    </row>
    <row r="308" spans="2:20" ht="18" customHeight="1" x14ac:dyDescent="0.2">
      <c r="B308" s="85" t="s">
        <v>87</v>
      </c>
      <c r="C308" s="86" t="str">
        <f t="shared" si="27"/>
        <v>Desafio 16</v>
      </c>
      <c r="D308" s="87" t="str">
        <f>'⚙️ Configuração'!C31</f>
        <v>Elisabete Mendes</v>
      </c>
      <c r="E308" s="50">
        <v>0</v>
      </c>
      <c r="F308" s="50">
        <v>0</v>
      </c>
      <c r="G308" s="50">
        <v>0</v>
      </c>
      <c r="H308" s="50">
        <v>0</v>
      </c>
      <c r="I308" s="50">
        <v>0</v>
      </c>
      <c r="J308" s="50">
        <v>0</v>
      </c>
      <c r="K308" s="81">
        <f>(E308*'⚙️ Configuração'!$C$6+F308*'⚙️ Configuração'!$C$7+G308*'⚙️ Configuração'!$C$8+H308*'⚙️ Configuração'!$C$9+I308*'⚙️ Configuração'!$C$10+J308*'⚙️ Configuração'!$C$11)*IF(N308="S",2,1)</f>
        <v>0</v>
      </c>
      <c r="L308" s="90" t="s">
        <v>167</v>
      </c>
      <c r="M308" s="82">
        <f>IF(L308="AT1",'⚙️ Configuração'!$C$14,IF(L308="AT2",'⚙️ Configuração'!$C$15,IF(L308="FI",'⚙️ Configuração'!$C$16,IF(L308="FJ",'⚙️ Configuração'!$C$17,0))))</f>
        <v>0</v>
      </c>
      <c r="N308" s="91" t="s">
        <v>167</v>
      </c>
      <c r="O308" s="92"/>
      <c r="P308" s="83">
        <f>IF(O308="1",'⚙️ Configuração'!$C$21,IF(O308="2",'⚙️ Configuração'!$C$22,IF(O308="3",'⚙️ Configuração'!$C$23,IF(O308="Outro",'⚙️ Configuração'!$C$24,0))))</f>
        <v>0</v>
      </c>
      <c r="Q308" s="84">
        <f t="shared" si="23"/>
        <v>0</v>
      </c>
      <c r="R308" s="40" t="str">
        <f t="shared" si="22"/>
        <v>Semana 1 — ver 🔄</v>
      </c>
      <c r="S308" t="str" cm="1">
        <f t="array" ref="S308">IF(D308="","",IFERROR(_xlfn.SWITCH(B308,"Semana 1",IFERROR(INDEX('🔄 Rotação Duplas'!$D$8:$D$17,MATCH(D308,'🔄 Rotação Duplas'!$C$8:$C$17,0)),INDEX('🔄 Rotação Duplas'!$C$8:$C$17,MATCH(D308,'🔄 Rotação Duplas'!$D$8:$D$17,0))),"Semana 2",IFERROR(INDEX('🔄 Rotação Duplas'!$D$22:$D$31,MATCH(D308,'🔄 Rotação Duplas'!$C$22:$C$31,0)),INDEX('🔄 Rotação Duplas'!$C$22:$C$31,MATCH(D308,'🔄 Rotação Duplas'!$D$22:$D$31,0))),"Semana 3",IFERROR(INDEX('🔄 Rotação Duplas'!$D$36:$D$45,MATCH(D308,'🔄 Rotação Duplas'!$C$36:$C$45,0)),INDEX('🔄 Rotação Duplas'!$C$36:$C$45,MATCH(D308,'🔄 Rotação Duplas'!$D$36:$D$45,0))),"Semana 4",IFERROR(INDEX('🔄 Rotação Duplas'!$D$50:$D$59,MATCH(D308,'🔄 Rotação Duplas'!$C$50:$C$59,0)),INDEX('🔄 Rotação Duplas'!$C$50:$C$59,MATCH(D308,'🔄 Rotação Duplas'!$D$50:$D$59,0))),"Semana 5",IFERROR(INDEX('🔄 Rotação Duplas'!$D$64:$D$73,MATCH(D308,'🔄 Rotação Duplas'!$C$64:$C$73,0)),INDEX('🔄 Rotação Duplas'!$C$64:$C$73,MATCH(D308,'🔄 Rotação Duplas'!$D$64:$D$73,0))),"Semana 6",IFERROR(INDEX('🔄 Rotação Duplas'!$D$78:$D$87,MATCH(D308,'🔄 Rotação Duplas'!$C$78:$C$87,0)),INDEX('🔄 Rotação Duplas'!$C$78:$C$87,MATCH(D308,'🔄 Rotação Duplas'!$D$78:$D$87,0))),"Semana 7",IFERROR(INDEX('🔄 Rotação Duplas'!$D$92:$D$101,MATCH(D308,'🔄 Rotação Duplas'!$C$92:$C$101,0)),INDEX('🔄 Rotação Duplas'!$C$92:$C$101,MATCH(D308,'🔄 Rotação Duplas'!$D$92:$D$101,0))),"Semana 8",IFERROR(INDEX('🔄 Rotação Duplas'!$D$106:$D$115,MATCH(D308,'🔄 Rotação Duplas'!$C$106:$C$115,0)),INDEX('🔄 Rotação Duplas'!$C$106:$C$115,MATCH(D308,'🔄 Rotação Duplas'!$D$106:$D$115,0)))),""))</f>
        <v/>
      </c>
      <c r="T308">
        <f t="shared" si="24"/>
        <v>0</v>
      </c>
    </row>
    <row r="309" spans="2:20" ht="18" customHeight="1" x14ac:dyDescent="0.2">
      <c r="B309" s="78" t="s">
        <v>87</v>
      </c>
      <c r="C309" s="79" t="str">
        <f t="shared" si="27"/>
        <v>Desafio 16</v>
      </c>
      <c r="D309" s="80" t="str">
        <f>'⚙️ Configuração'!C32</f>
        <v>Filipa Cunha</v>
      </c>
      <c r="E309" s="50">
        <v>0</v>
      </c>
      <c r="F309" s="50">
        <v>0</v>
      </c>
      <c r="G309" s="50">
        <v>0</v>
      </c>
      <c r="H309" s="50">
        <v>0</v>
      </c>
      <c r="I309" s="50">
        <v>0</v>
      </c>
      <c r="J309" s="50">
        <v>0</v>
      </c>
      <c r="K309" s="81">
        <f>(E309*'⚙️ Configuração'!$C$6+F309*'⚙️ Configuração'!$C$7+G309*'⚙️ Configuração'!$C$8+H309*'⚙️ Configuração'!$C$9+I309*'⚙️ Configuração'!$C$10+J309*'⚙️ Configuração'!$C$11)*IF(N309="S",2,1)</f>
        <v>0</v>
      </c>
      <c r="L309" s="90" t="s">
        <v>167</v>
      </c>
      <c r="M309" s="82">
        <f>IF(L309="AT1",'⚙️ Configuração'!$C$14,IF(L309="AT2",'⚙️ Configuração'!$C$15,IF(L309="FI",'⚙️ Configuração'!$C$16,IF(L309="FJ",'⚙️ Configuração'!$C$17,0))))</f>
        <v>0</v>
      </c>
      <c r="N309" s="91" t="s">
        <v>167</v>
      </c>
      <c r="O309" s="92"/>
      <c r="P309" s="83">
        <f>IF(O309="1",'⚙️ Configuração'!$C$21,IF(O309="2",'⚙️ Configuração'!$C$22,IF(O309="3",'⚙️ Configuração'!$C$23,IF(O309="Outro",'⚙️ Configuração'!$C$24,0))))</f>
        <v>0</v>
      </c>
      <c r="Q309" s="84">
        <f t="shared" si="23"/>
        <v>0</v>
      </c>
      <c r="R309" s="40" t="str">
        <f t="shared" si="22"/>
        <v>Semana 1 — ver 🔄</v>
      </c>
      <c r="S309" t="str" cm="1">
        <f t="array" ref="S309">IF(D309="","",IFERROR(_xlfn.SWITCH(B309,"Semana 1",IFERROR(INDEX('🔄 Rotação Duplas'!$D$8:$D$17,MATCH(D309,'🔄 Rotação Duplas'!$C$8:$C$17,0)),INDEX('🔄 Rotação Duplas'!$C$8:$C$17,MATCH(D309,'🔄 Rotação Duplas'!$D$8:$D$17,0))),"Semana 2",IFERROR(INDEX('🔄 Rotação Duplas'!$D$22:$D$31,MATCH(D309,'🔄 Rotação Duplas'!$C$22:$C$31,0)),INDEX('🔄 Rotação Duplas'!$C$22:$C$31,MATCH(D309,'🔄 Rotação Duplas'!$D$22:$D$31,0))),"Semana 3",IFERROR(INDEX('🔄 Rotação Duplas'!$D$36:$D$45,MATCH(D309,'🔄 Rotação Duplas'!$C$36:$C$45,0)),INDEX('🔄 Rotação Duplas'!$C$36:$C$45,MATCH(D309,'🔄 Rotação Duplas'!$D$36:$D$45,0))),"Semana 4",IFERROR(INDEX('🔄 Rotação Duplas'!$D$50:$D$59,MATCH(D309,'🔄 Rotação Duplas'!$C$50:$C$59,0)),INDEX('🔄 Rotação Duplas'!$C$50:$C$59,MATCH(D309,'🔄 Rotação Duplas'!$D$50:$D$59,0))),"Semana 5",IFERROR(INDEX('🔄 Rotação Duplas'!$D$64:$D$73,MATCH(D309,'🔄 Rotação Duplas'!$C$64:$C$73,0)),INDEX('🔄 Rotação Duplas'!$C$64:$C$73,MATCH(D309,'🔄 Rotação Duplas'!$D$64:$D$73,0))),"Semana 6",IFERROR(INDEX('🔄 Rotação Duplas'!$D$78:$D$87,MATCH(D309,'🔄 Rotação Duplas'!$C$78:$C$87,0)),INDEX('🔄 Rotação Duplas'!$C$78:$C$87,MATCH(D309,'🔄 Rotação Duplas'!$D$78:$D$87,0))),"Semana 7",IFERROR(INDEX('🔄 Rotação Duplas'!$D$92:$D$101,MATCH(D309,'🔄 Rotação Duplas'!$C$92:$C$101,0)),INDEX('🔄 Rotação Duplas'!$C$92:$C$101,MATCH(D309,'🔄 Rotação Duplas'!$D$92:$D$101,0))),"Semana 8",IFERROR(INDEX('🔄 Rotação Duplas'!$D$106:$D$115,MATCH(D309,'🔄 Rotação Duplas'!$C$106:$C$115,0)),INDEX('🔄 Rotação Duplas'!$C$106:$C$115,MATCH(D309,'🔄 Rotação Duplas'!$D$106:$D$115,0)))),""))</f>
        <v/>
      </c>
      <c r="T309">
        <f t="shared" si="24"/>
        <v>0</v>
      </c>
    </row>
    <row r="310" spans="2:20" ht="18" customHeight="1" x14ac:dyDescent="0.2">
      <c r="B310" s="85" t="s">
        <v>87</v>
      </c>
      <c r="C310" s="86" t="str">
        <f t="shared" si="27"/>
        <v>Desafio 16</v>
      </c>
      <c r="D310" s="87" t="str">
        <f>'⚙️ Configuração'!C33</f>
        <v>Helena Rocha</v>
      </c>
      <c r="E310" s="50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81">
        <f>(E310*'⚙️ Configuração'!$C$6+F310*'⚙️ Configuração'!$C$7+G310*'⚙️ Configuração'!$C$8+H310*'⚙️ Configuração'!$C$9+I310*'⚙️ Configuração'!$C$10+J310*'⚙️ Configuração'!$C$11)*IF(N310="S",2,1)</f>
        <v>0</v>
      </c>
      <c r="L310" s="90" t="s">
        <v>167</v>
      </c>
      <c r="M310" s="82">
        <f>IF(L310="AT1",'⚙️ Configuração'!$C$14,IF(L310="AT2",'⚙️ Configuração'!$C$15,IF(L310="FI",'⚙️ Configuração'!$C$16,IF(L310="FJ",'⚙️ Configuração'!$C$17,0))))</f>
        <v>0</v>
      </c>
      <c r="N310" s="91" t="s">
        <v>167</v>
      </c>
      <c r="O310" s="92"/>
      <c r="P310" s="83">
        <f>IF(O310="1",'⚙️ Configuração'!$C$21,IF(O310="2",'⚙️ Configuração'!$C$22,IF(O310="3",'⚙️ Configuração'!$C$23,IF(O310="Outro",'⚙️ Configuração'!$C$24,0))))</f>
        <v>0</v>
      </c>
      <c r="Q310" s="84">
        <f t="shared" si="23"/>
        <v>0</v>
      </c>
      <c r="R310" s="40" t="str">
        <f t="shared" si="22"/>
        <v>Semana 1 — ver 🔄</v>
      </c>
      <c r="S310" t="str" cm="1">
        <f t="array" ref="S310">IF(D310="","",IFERROR(_xlfn.SWITCH(B310,"Semana 1",IFERROR(INDEX('🔄 Rotação Duplas'!$D$8:$D$17,MATCH(D310,'🔄 Rotação Duplas'!$C$8:$C$17,0)),INDEX('🔄 Rotação Duplas'!$C$8:$C$17,MATCH(D310,'🔄 Rotação Duplas'!$D$8:$D$17,0))),"Semana 2",IFERROR(INDEX('🔄 Rotação Duplas'!$D$22:$D$31,MATCH(D310,'🔄 Rotação Duplas'!$C$22:$C$31,0)),INDEX('🔄 Rotação Duplas'!$C$22:$C$31,MATCH(D310,'🔄 Rotação Duplas'!$D$22:$D$31,0))),"Semana 3",IFERROR(INDEX('🔄 Rotação Duplas'!$D$36:$D$45,MATCH(D310,'🔄 Rotação Duplas'!$C$36:$C$45,0)),INDEX('🔄 Rotação Duplas'!$C$36:$C$45,MATCH(D310,'🔄 Rotação Duplas'!$D$36:$D$45,0))),"Semana 4",IFERROR(INDEX('🔄 Rotação Duplas'!$D$50:$D$59,MATCH(D310,'🔄 Rotação Duplas'!$C$50:$C$59,0)),INDEX('🔄 Rotação Duplas'!$C$50:$C$59,MATCH(D310,'🔄 Rotação Duplas'!$D$50:$D$59,0))),"Semana 5",IFERROR(INDEX('🔄 Rotação Duplas'!$D$64:$D$73,MATCH(D310,'🔄 Rotação Duplas'!$C$64:$C$73,0)),INDEX('🔄 Rotação Duplas'!$C$64:$C$73,MATCH(D310,'🔄 Rotação Duplas'!$D$64:$D$73,0))),"Semana 6",IFERROR(INDEX('🔄 Rotação Duplas'!$D$78:$D$87,MATCH(D310,'🔄 Rotação Duplas'!$C$78:$C$87,0)),INDEX('🔄 Rotação Duplas'!$C$78:$C$87,MATCH(D310,'🔄 Rotação Duplas'!$D$78:$D$87,0))),"Semana 7",IFERROR(INDEX('🔄 Rotação Duplas'!$D$92:$D$101,MATCH(D310,'🔄 Rotação Duplas'!$C$92:$C$101,0)),INDEX('🔄 Rotação Duplas'!$C$92:$C$101,MATCH(D310,'🔄 Rotação Duplas'!$D$92:$D$101,0))),"Semana 8",IFERROR(INDEX('🔄 Rotação Duplas'!$D$106:$D$115,MATCH(D310,'🔄 Rotação Duplas'!$C$106:$C$115,0)),INDEX('🔄 Rotação Duplas'!$C$106:$C$115,MATCH(D310,'🔄 Rotação Duplas'!$D$106:$D$115,0)))),""))</f>
        <v/>
      </c>
      <c r="T310">
        <f t="shared" si="24"/>
        <v>0</v>
      </c>
    </row>
    <row r="311" spans="2:20" ht="18" customHeight="1" x14ac:dyDescent="0.2">
      <c r="B311" s="78" t="s">
        <v>87</v>
      </c>
      <c r="C311" s="79" t="str">
        <f t="shared" si="27"/>
        <v>Desafio 16</v>
      </c>
      <c r="D311" s="80" t="str">
        <f>'⚙️ Configuração'!C34</f>
        <v>João Xavier</v>
      </c>
      <c r="E311" s="50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81">
        <f>(E311*'⚙️ Configuração'!$C$6+F311*'⚙️ Configuração'!$C$7+G311*'⚙️ Configuração'!$C$8+H311*'⚙️ Configuração'!$C$9+I311*'⚙️ Configuração'!$C$10+J311*'⚙️ Configuração'!$C$11)*IF(N311="S",2,1)</f>
        <v>0</v>
      </c>
      <c r="L311" s="90" t="s">
        <v>167</v>
      </c>
      <c r="M311" s="82">
        <f>IF(L311="AT1",'⚙️ Configuração'!$C$14,IF(L311="AT2",'⚙️ Configuração'!$C$15,IF(L311="FI",'⚙️ Configuração'!$C$16,IF(L311="FJ",'⚙️ Configuração'!$C$17,0))))</f>
        <v>0</v>
      </c>
      <c r="N311" s="91" t="s">
        <v>167</v>
      </c>
      <c r="O311" s="92"/>
      <c r="P311" s="83">
        <f>IF(O311="1",'⚙️ Configuração'!$C$21,IF(O311="2",'⚙️ Configuração'!$C$22,IF(O311="3",'⚙️ Configuração'!$C$23,IF(O311="Outro",'⚙️ Configuração'!$C$24,0))))</f>
        <v>0</v>
      </c>
      <c r="Q311" s="84">
        <f t="shared" si="23"/>
        <v>0</v>
      </c>
      <c r="R311" s="40" t="str">
        <f t="shared" si="22"/>
        <v>Semana 1 — ver 🔄</v>
      </c>
      <c r="S311" t="str" cm="1">
        <f t="array" ref="S311">IF(D311="","",IFERROR(_xlfn.SWITCH(B311,"Semana 1",IFERROR(INDEX('🔄 Rotação Duplas'!$D$8:$D$17,MATCH(D311,'🔄 Rotação Duplas'!$C$8:$C$17,0)),INDEX('🔄 Rotação Duplas'!$C$8:$C$17,MATCH(D311,'🔄 Rotação Duplas'!$D$8:$D$17,0))),"Semana 2",IFERROR(INDEX('🔄 Rotação Duplas'!$D$22:$D$31,MATCH(D311,'🔄 Rotação Duplas'!$C$22:$C$31,0)),INDEX('🔄 Rotação Duplas'!$C$22:$C$31,MATCH(D311,'🔄 Rotação Duplas'!$D$22:$D$31,0))),"Semana 3",IFERROR(INDEX('🔄 Rotação Duplas'!$D$36:$D$45,MATCH(D311,'🔄 Rotação Duplas'!$C$36:$C$45,0)),INDEX('🔄 Rotação Duplas'!$C$36:$C$45,MATCH(D311,'🔄 Rotação Duplas'!$D$36:$D$45,0))),"Semana 4",IFERROR(INDEX('🔄 Rotação Duplas'!$D$50:$D$59,MATCH(D311,'🔄 Rotação Duplas'!$C$50:$C$59,0)),INDEX('🔄 Rotação Duplas'!$C$50:$C$59,MATCH(D311,'🔄 Rotação Duplas'!$D$50:$D$59,0))),"Semana 5",IFERROR(INDEX('🔄 Rotação Duplas'!$D$64:$D$73,MATCH(D311,'🔄 Rotação Duplas'!$C$64:$C$73,0)),INDEX('🔄 Rotação Duplas'!$C$64:$C$73,MATCH(D311,'🔄 Rotação Duplas'!$D$64:$D$73,0))),"Semana 6",IFERROR(INDEX('🔄 Rotação Duplas'!$D$78:$D$87,MATCH(D311,'🔄 Rotação Duplas'!$C$78:$C$87,0)),INDEX('🔄 Rotação Duplas'!$C$78:$C$87,MATCH(D311,'🔄 Rotação Duplas'!$D$78:$D$87,0))),"Semana 7",IFERROR(INDEX('🔄 Rotação Duplas'!$D$92:$D$101,MATCH(D311,'🔄 Rotação Duplas'!$C$92:$C$101,0)),INDEX('🔄 Rotação Duplas'!$C$92:$C$101,MATCH(D311,'🔄 Rotação Duplas'!$D$92:$D$101,0))),"Semana 8",IFERROR(INDEX('🔄 Rotação Duplas'!$D$106:$D$115,MATCH(D311,'🔄 Rotação Duplas'!$C$106:$C$115,0)),INDEX('🔄 Rotação Duplas'!$C$106:$C$115,MATCH(D311,'🔄 Rotação Duplas'!$D$106:$D$115,0)))),""))</f>
        <v/>
      </c>
      <c r="T311">
        <f t="shared" si="24"/>
        <v>0</v>
      </c>
    </row>
    <row r="312" spans="2:20" ht="18" customHeight="1" x14ac:dyDescent="0.2">
      <c r="B312" s="85" t="s">
        <v>87</v>
      </c>
      <c r="C312" s="86" t="str">
        <f t="shared" si="27"/>
        <v>Desafio 16</v>
      </c>
      <c r="D312" s="87" t="str">
        <f>'⚙️ Configuração'!C35</f>
        <v>Tomás Carlos</v>
      </c>
      <c r="E312" s="50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81">
        <f>(E312*'⚙️ Configuração'!$C$6+F312*'⚙️ Configuração'!$C$7+G312*'⚙️ Configuração'!$C$8+H312*'⚙️ Configuração'!$C$9+I312*'⚙️ Configuração'!$C$10+J312*'⚙️ Configuração'!$C$11)*IF(N312="S",2,1)</f>
        <v>0</v>
      </c>
      <c r="L312" s="90" t="s">
        <v>167</v>
      </c>
      <c r="M312" s="82">
        <f>IF(L312="AT1",'⚙️ Configuração'!$C$14,IF(L312="AT2",'⚙️ Configuração'!$C$15,IF(L312="FI",'⚙️ Configuração'!$C$16,IF(L312="FJ",'⚙️ Configuração'!$C$17,0))))</f>
        <v>0</v>
      </c>
      <c r="N312" s="91" t="s">
        <v>167</v>
      </c>
      <c r="O312" s="92"/>
      <c r="P312" s="83">
        <f>IF(O312="1",'⚙️ Configuração'!$C$21,IF(O312="2",'⚙️ Configuração'!$C$22,IF(O312="3",'⚙️ Configuração'!$C$23,IF(O312="Outro",'⚙️ Configuração'!$C$24,0))))</f>
        <v>0</v>
      </c>
      <c r="Q312" s="84">
        <f t="shared" si="23"/>
        <v>0</v>
      </c>
      <c r="R312" s="40" t="str">
        <f t="shared" si="22"/>
        <v>Semana 1 — ver 🔄</v>
      </c>
      <c r="S312" t="str" cm="1">
        <f t="array" ref="S312">IF(D312="","",IFERROR(_xlfn.SWITCH(B312,"Semana 1",IFERROR(INDEX('🔄 Rotação Duplas'!$D$8:$D$17,MATCH(D312,'🔄 Rotação Duplas'!$C$8:$C$17,0)),INDEX('🔄 Rotação Duplas'!$C$8:$C$17,MATCH(D312,'🔄 Rotação Duplas'!$D$8:$D$17,0))),"Semana 2",IFERROR(INDEX('🔄 Rotação Duplas'!$D$22:$D$31,MATCH(D312,'🔄 Rotação Duplas'!$C$22:$C$31,0)),INDEX('🔄 Rotação Duplas'!$C$22:$C$31,MATCH(D312,'🔄 Rotação Duplas'!$D$22:$D$31,0))),"Semana 3",IFERROR(INDEX('🔄 Rotação Duplas'!$D$36:$D$45,MATCH(D312,'🔄 Rotação Duplas'!$C$36:$C$45,0)),INDEX('🔄 Rotação Duplas'!$C$36:$C$45,MATCH(D312,'🔄 Rotação Duplas'!$D$36:$D$45,0))),"Semana 4",IFERROR(INDEX('🔄 Rotação Duplas'!$D$50:$D$59,MATCH(D312,'🔄 Rotação Duplas'!$C$50:$C$59,0)),INDEX('🔄 Rotação Duplas'!$C$50:$C$59,MATCH(D312,'🔄 Rotação Duplas'!$D$50:$D$59,0))),"Semana 5",IFERROR(INDEX('🔄 Rotação Duplas'!$D$64:$D$73,MATCH(D312,'🔄 Rotação Duplas'!$C$64:$C$73,0)),INDEX('🔄 Rotação Duplas'!$C$64:$C$73,MATCH(D312,'🔄 Rotação Duplas'!$D$64:$D$73,0))),"Semana 6",IFERROR(INDEX('🔄 Rotação Duplas'!$D$78:$D$87,MATCH(D312,'🔄 Rotação Duplas'!$C$78:$C$87,0)),INDEX('🔄 Rotação Duplas'!$C$78:$C$87,MATCH(D312,'🔄 Rotação Duplas'!$D$78:$D$87,0))),"Semana 7",IFERROR(INDEX('🔄 Rotação Duplas'!$D$92:$D$101,MATCH(D312,'🔄 Rotação Duplas'!$C$92:$C$101,0)),INDEX('🔄 Rotação Duplas'!$C$92:$C$101,MATCH(D312,'🔄 Rotação Duplas'!$D$92:$D$101,0))),"Semana 8",IFERROR(INDEX('🔄 Rotação Duplas'!$D$106:$D$115,MATCH(D312,'🔄 Rotação Duplas'!$C$106:$C$115,0)),INDEX('🔄 Rotação Duplas'!$C$106:$C$115,MATCH(D312,'🔄 Rotação Duplas'!$D$106:$D$115,0)))),""))</f>
        <v/>
      </c>
      <c r="T312">
        <f t="shared" si="24"/>
        <v>0</v>
      </c>
    </row>
    <row r="313" spans="2:20" ht="18" customHeight="1" x14ac:dyDescent="0.2">
      <c r="B313" s="78" t="s">
        <v>87</v>
      </c>
      <c r="C313" s="79" t="str">
        <f t="shared" si="27"/>
        <v>Desafio 16</v>
      </c>
      <c r="D313" s="80" t="str">
        <f>'⚙️ Configuração'!C36</f>
        <v>Alexandra Correia</v>
      </c>
      <c r="E313" s="50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81">
        <f>(E313*'⚙️ Configuração'!$C$6+F313*'⚙️ Configuração'!$C$7+G313*'⚙️ Configuração'!$C$8+H313*'⚙️ Configuração'!$C$9+I313*'⚙️ Configuração'!$C$10+J313*'⚙️ Configuração'!$C$11)*IF(N313="S",2,1)</f>
        <v>0</v>
      </c>
      <c r="L313" s="90" t="s">
        <v>167</v>
      </c>
      <c r="M313" s="82">
        <f>IF(L313="AT1",'⚙️ Configuração'!$C$14,IF(L313="AT2",'⚙️ Configuração'!$C$15,IF(L313="FI",'⚙️ Configuração'!$C$16,IF(L313="FJ",'⚙️ Configuração'!$C$17,0))))</f>
        <v>0</v>
      </c>
      <c r="N313" s="91" t="s">
        <v>167</v>
      </c>
      <c r="O313" s="92"/>
      <c r="P313" s="83">
        <f>IF(O313="1",'⚙️ Configuração'!$C$21,IF(O313="2",'⚙️ Configuração'!$C$22,IF(O313="3",'⚙️ Configuração'!$C$23,IF(O313="Outro",'⚙️ Configuração'!$C$24,0))))</f>
        <v>0</v>
      </c>
      <c r="Q313" s="84">
        <f t="shared" si="23"/>
        <v>0</v>
      </c>
      <c r="R313" s="40" t="str">
        <f t="shared" si="22"/>
        <v>Semana 1 — ver 🔄</v>
      </c>
      <c r="S313" t="str" cm="1">
        <f t="array" ref="S313">IF(D313="","",IFERROR(_xlfn.SWITCH(B313,"Semana 1",IFERROR(INDEX('🔄 Rotação Duplas'!$D$8:$D$17,MATCH(D313,'🔄 Rotação Duplas'!$C$8:$C$17,0)),INDEX('🔄 Rotação Duplas'!$C$8:$C$17,MATCH(D313,'🔄 Rotação Duplas'!$D$8:$D$17,0))),"Semana 2",IFERROR(INDEX('🔄 Rotação Duplas'!$D$22:$D$31,MATCH(D313,'🔄 Rotação Duplas'!$C$22:$C$31,0)),INDEX('🔄 Rotação Duplas'!$C$22:$C$31,MATCH(D313,'🔄 Rotação Duplas'!$D$22:$D$31,0))),"Semana 3",IFERROR(INDEX('🔄 Rotação Duplas'!$D$36:$D$45,MATCH(D313,'🔄 Rotação Duplas'!$C$36:$C$45,0)),INDEX('🔄 Rotação Duplas'!$C$36:$C$45,MATCH(D313,'🔄 Rotação Duplas'!$D$36:$D$45,0))),"Semana 4",IFERROR(INDEX('🔄 Rotação Duplas'!$D$50:$D$59,MATCH(D313,'🔄 Rotação Duplas'!$C$50:$C$59,0)),INDEX('🔄 Rotação Duplas'!$C$50:$C$59,MATCH(D313,'🔄 Rotação Duplas'!$D$50:$D$59,0))),"Semana 5",IFERROR(INDEX('🔄 Rotação Duplas'!$D$64:$D$73,MATCH(D313,'🔄 Rotação Duplas'!$C$64:$C$73,0)),INDEX('🔄 Rotação Duplas'!$C$64:$C$73,MATCH(D313,'🔄 Rotação Duplas'!$D$64:$D$73,0))),"Semana 6",IFERROR(INDEX('🔄 Rotação Duplas'!$D$78:$D$87,MATCH(D313,'🔄 Rotação Duplas'!$C$78:$C$87,0)),INDEX('🔄 Rotação Duplas'!$C$78:$C$87,MATCH(D313,'🔄 Rotação Duplas'!$D$78:$D$87,0))),"Semana 7",IFERROR(INDEX('🔄 Rotação Duplas'!$D$92:$D$101,MATCH(D313,'🔄 Rotação Duplas'!$C$92:$C$101,0)),INDEX('🔄 Rotação Duplas'!$C$92:$C$101,MATCH(D313,'🔄 Rotação Duplas'!$D$92:$D$101,0))),"Semana 8",IFERROR(INDEX('🔄 Rotação Duplas'!$D$106:$D$115,MATCH(D313,'🔄 Rotação Duplas'!$C$106:$C$115,0)),INDEX('🔄 Rotação Duplas'!$C$106:$C$115,MATCH(D313,'🔄 Rotação Duplas'!$D$106:$D$115,0)))),""))</f>
        <v/>
      </c>
      <c r="T313">
        <f t="shared" si="24"/>
        <v>0</v>
      </c>
    </row>
    <row r="314" spans="2:20" ht="18" customHeight="1" x14ac:dyDescent="0.2">
      <c r="B314" s="85" t="s">
        <v>87</v>
      </c>
      <c r="C314" s="86" t="str">
        <f t="shared" si="27"/>
        <v>Desafio 16</v>
      </c>
      <c r="D314" s="87" t="str">
        <f>'⚙️ Configuração'!C37</f>
        <v>Carla Barata</v>
      </c>
      <c r="E314" s="50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81">
        <f>(E314*'⚙️ Configuração'!$C$6+F314*'⚙️ Configuração'!$C$7+G314*'⚙️ Configuração'!$C$8+H314*'⚙️ Configuração'!$C$9+I314*'⚙️ Configuração'!$C$10+J314*'⚙️ Configuração'!$C$11)*IF(N314="S",2,1)</f>
        <v>0</v>
      </c>
      <c r="L314" s="90" t="s">
        <v>167</v>
      </c>
      <c r="M314" s="82">
        <f>IF(L314="AT1",'⚙️ Configuração'!$C$14,IF(L314="AT2",'⚙️ Configuração'!$C$15,IF(L314="FI",'⚙️ Configuração'!$C$16,IF(L314="FJ",'⚙️ Configuração'!$C$17,0))))</f>
        <v>0</v>
      </c>
      <c r="N314" s="91" t="s">
        <v>167</v>
      </c>
      <c r="O314" s="92"/>
      <c r="P314" s="83">
        <f>IF(O314="1",'⚙️ Configuração'!$C$21,IF(O314="2",'⚙️ Configuração'!$C$22,IF(O314="3",'⚙️ Configuração'!$C$23,IF(O314="Outro",'⚙️ Configuração'!$C$24,0))))</f>
        <v>0</v>
      </c>
      <c r="Q314" s="84">
        <f t="shared" si="23"/>
        <v>0</v>
      </c>
      <c r="R314" s="40" t="str">
        <f t="shared" si="22"/>
        <v>Semana 1 — ver 🔄</v>
      </c>
      <c r="S314" t="str" cm="1">
        <f t="array" ref="S314">IF(D314="","",IFERROR(_xlfn.SWITCH(B314,"Semana 1",IFERROR(INDEX('🔄 Rotação Duplas'!$D$8:$D$17,MATCH(D314,'🔄 Rotação Duplas'!$C$8:$C$17,0)),INDEX('🔄 Rotação Duplas'!$C$8:$C$17,MATCH(D314,'🔄 Rotação Duplas'!$D$8:$D$17,0))),"Semana 2",IFERROR(INDEX('🔄 Rotação Duplas'!$D$22:$D$31,MATCH(D314,'🔄 Rotação Duplas'!$C$22:$C$31,0)),INDEX('🔄 Rotação Duplas'!$C$22:$C$31,MATCH(D314,'🔄 Rotação Duplas'!$D$22:$D$31,0))),"Semana 3",IFERROR(INDEX('🔄 Rotação Duplas'!$D$36:$D$45,MATCH(D314,'🔄 Rotação Duplas'!$C$36:$C$45,0)),INDEX('🔄 Rotação Duplas'!$C$36:$C$45,MATCH(D314,'🔄 Rotação Duplas'!$D$36:$D$45,0))),"Semana 4",IFERROR(INDEX('🔄 Rotação Duplas'!$D$50:$D$59,MATCH(D314,'🔄 Rotação Duplas'!$C$50:$C$59,0)),INDEX('🔄 Rotação Duplas'!$C$50:$C$59,MATCH(D314,'🔄 Rotação Duplas'!$D$50:$D$59,0))),"Semana 5",IFERROR(INDEX('🔄 Rotação Duplas'!$D$64:$D$73,MATCH(D314,'🔄 Rotação Duplas'!$C$64:$C$73,0)),INDEX('🔄 Rotação Duplas'!$C$64:$C$73,MATCH(D314,'🔄 Rotação Duplas'!$D$64:$D$73,0))),"Semana 6",IFERROR(INDEX('🔄 Rotação Duplas'!$D$78:$D$87,MATCH(D314,'🔄 Rotação Duplas'!$C$78:$C$87,0)),INDEX('🔄 Rotação Duplas'!$C$78:$C$87,MATCH(D314,'🔄 Rotação Duplas'!$D$78:$D$87,0))),"Semana 7",IFERROR(INDEX('🔄 Rotação Duplas'!$D$92:$D$101,MATCH(D314,'🔄 Rotação Duplas'!$C$92:$C$101,0)),INDEX('🔄 Rotação Duplas'!$C$92:$C$101,MATCH(D314,'🔄 Rotação Duplas'!$D$92:$D$101,0))),"Semana 8",IFERROR(INDEX('🔄 Rotação Duplas'!$D$106:$D$115,MATCH(D314,'🔄 Rotação Duplas'!$C$106:$C$115,0)),INDEX('🔄 Rotação Duplas'!$C$106:$C$115,MATCH(D314,'🔄 Rotação Duplas'!$D$106:$D$115,0)))),""))</f>
        <v/>
      </c>
      <c r="T314">
        <f t="shared" si="24"/>
        <v>0</v>
      </c>
    </row>
    <row r="315" spans="2:20" ht="18" customHeight="1" x14ac:dyDescent="0.2">
      <c r="B315" s="78" t="s">
        <v>87</v>
      </c>
      <c r="C315" s="79" t="str">
        <f t="shared" si="27"/>
        <v>Desafio 16</v>
      </c>
      <c r="D315" s="80" t="str">
        <f>'⚙️ Configuração'!C38</f>
        <v>Denise Filipe</v>
      </c>
      <c r="E315" s="50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81">
        <f>(E315*'⚙️ Configuração'!$C$6+F315*'⚙️ Configuração'!$C$7+G315*'⚙️ Configuração'!$C$8+H315*'⚙️ Configuração'!$C$9+I315*'⚙️ Configuração'!$C$10+J315*'⚙️ Configuração'!$C$11)*IF(N315="S",2,1)</f>
        <v>0</v>
      </c>
      <c r="L315" s="90" t="s">
        <v>167</v>
      </c>
      <c r="M315" s="82">
        <f>IF(L315="AT1",'⚙️ Configuração'!$C$14,IF(L315="AT2",'⚙️ Configuração'!$C$15,IF(L315="FI",'⚙️ Configuração'!$C$16,IF(L315="FJ",'⚙️ Configuração'!$C$17,0))))</f>
        <v>0</v>
      </c>
      <c r="N315" s="91" t="s">
        <v>167</v>
      </c>
      <c r="O315" s="92"/>
      <c r="P315" s="83">
        <f>IF(O315="1",'⚙️ Configuração'!$C$21,IF(O315="2",'⚙️ Configuração'!$C$22,IF(O315="3",'⚙️ Configuração'!$C$23,IF(O315="Outro",'⚙️ Configuração'!$C$24,0))))</f>
        <v>0</v>
      </c>
      <c r="Q315" s="84">
        <f t="shared" si="23"/>
        <v>0</v>
      </c>
      <c r="R315" s="40" t="str">
        <f t="shared" si="22"/>
        <v>Semana 1 — ver 🔄</v>
      </c>
      <c r="S315" t="str" cm="1">
        <f t="array" ref="S315">IF(D315="","",IFERROR(_xlfn.SWITCH(B315,"Semana 1",IFERROR(INDEX('🔄 Rotação Duplas'!$D$8:$D$17,MATCH(D315,'🔄 Rotação Duplas'!$C$8:$C$17,0)),INDEX('🔄 Rotação Duplas'!$C$8:$C$17,MATCH(D315,'🔄 Rotação Duplas'!$D$8:$D$17,0))),"Semana 2",IFERROR(INDEX('🔄 Rotação Duplas'!$D$22:$D$31,MATCH(D315,'🔄 Rotação Duplas'!$C$22:$C$31,0)),INDEX('🔄 Rotação Duplas'!$C$22:$C$31,MATCH(D315,'🔄 Rotação Duplas'!$D$22:$D$31,0))),"Semana 3",IFERROR(INDEX('🔄 Rotação Duplas'!$D$36:$D$45,MATCH(D315,'🔄 Rotação Duplas'!$C$36:$C$45,0)),INDEX('🔄 Rotação Duplas'!$C$36:$C$45,MATCH(D315,'🔄 Rotação Duplas'!$D$36:$D$45,0))),"Semana 4",IFERROR(INDEX('🔄 Rotação Duplas'!$D$50:$D$59,MATCH(D315,'🔄 Rotação Duplas'!$C$50:$C$59,0)),INDEX('🔄 Rotação Duplas'!$C$50:$C$59,MATCH(D315,'🔄 Rotação Duplas'!$D$50:$D$59,0))),"Semana 5",IFERROR(INDEX('🔄 Rotação Duplas'!$D$64:$D$73,MATCH(D315,'🔄 Rotação Duplas'!$C$64:$C$73,0)),INDEX('🔄 Rotação Duplas'!$C$64:$C$73,MATCH(D315,'🔄 Rotação Duplas'!$D$64:$D$73,0))),"Semana 6",IFERROR(INDEX('🔄 Rotação Duplas'!$D$78:$D$87,MATCH(D315,'🔄 Rotação Duplas'!$C$78:$C$87,0)),INDEX('🔄 Rotação Duplas'!$C$78:$C$87,MATCH(D315,'🔄 Rotação Duplas'!$D$78:$D$87,0))),"Semana 7",IFERROR(INDEX('🔄 Rotação Duplas'!$D$92:$D$101,MATCH(D315,'🔄 Rotação Duplas'!$C$92:$C$101,0)),INDEX('🔄 Rotação Duplas'!$C$92:$C$101,MATCH(D315,'🔄 Rotação Duplas'!$D$92:$D$101,0))),"Semana 8",IFERROR(INDEX('🔄 Rotação Duplas'!$D$106:$D$115,MATCH(D315,'🔄 Rotação Duplas'!$C$106:$C$115,0)),INDEX('🔄 Rotação Duplas'!$C$106:$C$115,MATCH(D315,'🔄 Rotação Duplas'!$D$106:$D$115,0)))),""))</f>
        <v/>
      </c>
      <c r="T315">
        <f t="shared" si="24"/>
        <v>0</v>
      </c>
    </row>
    <row r="316" spans="2:20" ht="18" customHeight="1" x14ac:dyDescent="0.2">
      <c r="B316" s="85" t="s">
        <v>87</v>
      </c>
      <c r="C316" s="86" t="str">
        <f t="shared" si="27"/>
        <v>Desafio 16</v>
      </c>
      <c r="D316" s="87" t="str">
        <f>'⚙️ Configuração'!C39</f>
        <v>Fátima Rodriguez</v>
      </c>
      <c r="E316" s="50">
        <v>0</v>
      </c>
      <c r="F316" s="50">
        <v>0</v>
      </c>
      <c r="G316" s="50">
        <v>0</v>
      </c>
      <c r="H316" s="50">
        <v>0</v>
      </c>
      <c r="I316" s="50">
        <v>0</v>
      </c>
      <c r="J316" s="50">
        <v>0</v>
      </c>
      <c r="K316" s="81">
        <f>(E316*'⚙️ Configuração'!$C$6+F316*'⚙️ Configuração'!$C$7+G316*'⚙️ Configuração'!$C$8+H316*'⚙️ Configuração'!$C$9+I316*'⚙️ Configuração'!$C$10+J316*'⚙️ Configuração'!$C$11)*IF(N316="S",2,1)</f>
        <v>0</v>
      </c>
      <c r="L316" s="90" t="s">
        <v>167</v>
      </c>
      <c r="M316" s="82">
        <f>IF(L316="AT1",'⚙️ Configuração'!$C$14,IF(L316="AT2",'⚙️ Configuração'!$C$15,IF(L316="FI",'⚙️ Configuração'!$C$16,IF(L316="FJ",'⚙️ Configuração'!$C$17,0))))</f>
        <v>0</v>
      </c>
      <c r="N316" s="91" t="s">
        <v>167</v>
      </c>
      <c r="O316" s="92"/>
      <c r="P316" s="83">
        <f>IF(O316="1",'⚙️ Configuração'!$C$21,IF(O316="2",'⚙️ Configuração'!$C$22,IF(O316="3",'⚙️ Configuração'!$C$23,IF(O316="Outro",'⚙️ Configuração'!$C$24,0))))</f>
        <v>0</v>
      </c>
      <c r="Q316" s="84">
        <f t="shared" si="23"/>
        <v>0</v>
      </c>
      <c r="R316" s="40" t="str">
        <f t="shared" si="22"/>
        <v>Semana 1 — ver 🔄</v>
      </c>
      <c r="S316" t="str" cm="1">
        <f t="array" ref="S316">IF(D316="","",IFERROR(_xlfn.SWITCH(B316,"Semana 1",IFERROR(INDEX('🔄 Rotação Duplas'!$D$8:$D$17,MATCH(D316,'🔄 Rotação Duplas'!$C$8:$C$17,0)),INDEX('🔄 Rotação Duplas'!$C$8:$C$17,MATCH(D316,'🔄 Rotação Duplas'!$D$8:$D$17,0))),"Semana 2",IFERROR(INDEX('🔄 Rotação Duplas'!$D$22:$D$31,MATCH(D316,'🔄 Rotação Duplas'!$C$22:$C$31,0)),INDEX('🔄 Rotação Duplas'!$C$22:$C$31,MATCH(D316,'🔄 Rotação Duplas'!$D$22:$D$31,0))),"Semana 3",IFERROR(INDEX('🔄 Rotação Duplas'!$D$36:$D$45,MATCH(D316,'🔄 Rotação Duplas'!$C$36:$C$45,0)),INDEX('🔄 Rotação Duplas'!$C$36:$C$45,MATCH(D316,'🔄 Rotação Duplas'!$D$36:$D$45,0))),"Semana 4",IFERROR(INDEX('🔄 Rotação Duplas'!$D$50:$D$59,MATCH(D316,'🔄 Rotação Duplas'!$C$50:$C$59,0)),INDEX('🔄 Rotação Duplas'!$C$50:$C$59,MATCH(D316,'🔄 Rotação Duplas'!$D$50:$D$59,0))),"Semana 5",IFERROR(INDEX('🔄 Rotação Duplas'!$D$64:$D$73,MATCH(D316,'🔄 Rotação Duplas'!$C$64:$C$73,0)),INDEX('🔄 Rotação Duplas'!$C$64:$C$73,MATCH(D316,'🔄 Rotação Duplas'!$D$64:$D$73,0))),"Semana 6",IFERROR(INDEX('🔄 Rotação Duplas'!$D$78:$D$87,MATCH(D316,'🔄 Rotação Duplas'!$C$78:$C$87,0)),INDEX('🔄 Rotação Duplas'!$C$78:$C$87,MATCH(D316,'🔄 Rotação Duplas'!$D$78:$D$87,0))),"Semana 7",IFERROR(INDEX('🔄 Rotação Duplas'!$D$92:$D$101,MATCH(D316,'🔄 Rotação Duplas'!$C$92:$C$101,0)),INDEX('🔄 Rotação Duplas'!$C$92:$C$101,MATCH(D316,'🔄 Rotação Duplas'!$D$92:$D$101,0))),"Semana 8",IFERROR(INDEX('🔄 Rotação Duplas'!$D$106:$D$115,MATCH(D316,'🔄 Rotação Duplas'!$C$106:$C$115,0)),INDEX('🔄 Rotação Duplas'!$C$106:$C$115,MATCH(D316,'🔄 Rotação Duplas'!$D$106:$D$115,0)))),""))</f>
        <v/>
      </c>
      <c r="T316">
        <f t="shared" si="24"/>
        <v>0</v>
      </c>
    </row>
    <row r="317" spans="2:20" ht="18" customHeight="1" x14ac:dyDescent="0.2">
      <c r="B317" s="78" t="s">
        <v>87</v>
      </c>
      <c r="C317" s="79" t="str">
        <f t="shared" si="27"/>
        <v>Desafio 16</v>
      </c>
      <c r="D317" s="80" t="str">
        <f>'⚙️ Configuração'!C40</f>
        <v>Maria João Travassos</v>
      </c>
      <c r="E317" s="50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81">
        <f>(E317*'⚙️ Configuração'!$C$6+F317*'⚙️ Configuração'!$C$7+G317*'⚙️ Configuração'!$C$8+H317*'⚙️ Configuração'!$C$9+I317*'⚙️ Configuração'!$C$10+J317*'⚙️ Configuração'!$C$11)*IF(N317="S",2,1)</f>
        <v>0</v>
      </c>
      <c r="L317" s="90" t="s">
        <v>167</v>
      </c>
      <c r="M317" s="82">
        <f>IF(L317="AT1",'⚙️ Configuração'!$C$14,IF(L317="AT2",'⚙️ Configuração'!$C$15,IF(L317="FI",'⚙️ Configuração'!$C$16,IF(L317="FJ",'⚙️ Configuração'!$C$17,0))))</f>
        <v>0</v>
      </c>
      <c r="N317" s="91" t="s">
        <v>167</v>
      </c>
      <c r="O317" s="92"/>
      <c r="P317" s="83">
        <f>IF(O317="1",'⚙️ Configuração'!$C$21,IF(O317="2",'⚙️ Configuração'!$C$22,IF(O317="3",'⚙️ Configuração'!$C$23,IF(O317="Outro",'⚙️ Configuração'!$C$24,0))))</f>
        <v>0</v>
      </c>
      <c r="Q317" s="84">
        <f t="shared" si="23"/>
        <v>0</v>
      </c>
      <c r="R317" s="40" t="str">
        <f t="shared" si="22"/>
        <v>Semana 1 — ver 🔄</v>
      </c>
      <c r="S317" t="str" cm="1">
        <f t="array" ref="S317">IF(D317="","",IFERROR(_xlfn.SWITCH(B317,"Semana 1",IFERROR(INDEX('🔄 Rotação Duplas'!$D$8:$D$17,MATCH(D317,'🔄 Rotação Duplas'!$C$8:$C$17,0)),INDEX('🔄 Rotação Duplas'!$C$8:$C$17,MATCH(D317,'🔄 Rotação Duplas'!$D$8:$D$17,0))),"Semana 2",IFERROR(INDEX('🔄 Rotação Duplas'!$D$22:$D$31,MATCH(D317,'🔄 Rotação Duplas'!$C$22:$C$31,0)),INDEX('🔄 Rotação Duplas'!$C$22:$C$31,MATCH(D317,'🔄 Rotação Duplas'!$D$22:$D$31,0))),"Semana 3",IFERROR(INDEX('🔄 Rotação Duplas'!$D$36:$D$45,MATCH(D317,'🔄 Rotação Duplas'!$C$36:$C$45,0)),INDEX('🔄 Rotação Duplas'!$C$36:$C$45,MATCH(D317,'🔄 Rotação Duplas'!$D$36:$D$45,0))),"Semana 4",IFERROR(INDEX('🔄 Rotação Duplas'!$D$50:$D$59,MATCH(D317,'🔄 Rotação Duplas'!$C$50:$C$59,0)),INDEX('🔄 Rotação Duplas'!$C$50:$C$59,MATCH(D317,'🔄 Rotação Duplas'!$D$50:$D$59,0))),"Semana 5",IFERROR(INDEX('🔄 Rotação Duplas'!$D$64:$D$73,MATCH(D317,'🔄 Rotação Duplas'!$C$64:$C$73,0)),INDEX('🔄 Rotação Duplas'!$C$64:$C$73,MATCH(D317,'🔄 Rotação Duplas'!$D$64:$D$73,0))),"Semana 6",IFERROR(INDEX('🔄 Rotação Duplas'!$D$78:$D$87,MATCH(D317,'🔄 Rotação Duplas'!$C$78:$C$87,0)),INDEX('🔄 Rotação Duplas'!$C$78:$C$87,MATCH(D317,'🔄 Rotação Duplas'!$D$78:$D$87,0))),"Semana 7",IFERROR(INDEX('🔄 Rotação Duplas'!$D$92:$D$101,MATCH(D317,'🔄 Rotação Duplas'!$C$92:$C$101,0)),INDEX('🔄 Rotação Duplas'!$C$92:$C$101,MATCH(D317,'🔄 Rotação Duplas'!$D$92:$D$101,0))),"Semana 8",IFERROR(INDEX('🔄 Rotação Duplas'!$D$106:$D$115,MATCH(D317,'🔄 Rotação Duplas'!$C$106:$C$115,0)),INDEX('🔄 Rotação Duplas'!$C$106:$C$115,MATCH(D317,'🔄 Rotação Duplas'!$D$106:$D$115,0)))),""))</f>
        <v/>
      </c>
      <c r="T317">
        <f t="shared" si="24"/>
        <v>0</v>
      </c>
    </row>
    <row r="318" spans="2:20" ht="18" customHeight="1" x14ac:dyDescent="0.2">
      <c r="B318" s="85" t="s">
        <v>87</v>
      </c>
      <c r="C318" s="86" t="str">
        <f t="shared" si="27"/>
        <v>Desafio 16</v>
      </c>
      <c r="D318" s="87" t="str">
        <f>'⚙️ Configuração'!C41</f>
        <v>Marta Torres</v>
      </c>
      <c r="E318" s="50">
        <v>0</v>
      </c>
      <c r="F318" s="50">
        <v>0</v>
      </c>
      <c r="G318" s="50">
        <v>0</v>
      </c>
      <c r="H318" s="50">
        <v>0</v>
      </c>
      <c r="I318" s="50">
        <v>0</v>
      </c>
      <c r="J318" s="50">
        <v>0</v>
      </c>
      <c r="K318" s="81">
        <f>(E318*'⚙️ Configuração'!$C$6+F318*'⚙️ Configuração'!$C$7+G318*'⚙️ Configuração'!$C$8+H318*'⚙️ Configuração'!$C$9+I318*'⚙️ Configuração'!$C$10+J318*'⚙️ Configuração'!$C$11)*IF(N318="S",2,1)</f>
        <v>0</v>
      </c>
      <c r="L318" s="90" t="s">
        <v>167</v>
      </c>
      <c r="M318" s="82">
        <f>IF(L318="AT1",'⚙️ Configuração'!$C$14,IF(L318="AT2",'⚙️ Configuração'!$C$15,IF(L318="FI",'⚙️ Configuração'!$C$16,IF(L318="FJ",'⚙️ Configuração'!$C$17,0))))</f>
        <v>0</v>
      </c>
      <c r="N318" s="91" t="s">
        <v>167</v>
      </c>
      <c r="O318" s="92"/>
      <c r="P318" s="83">
        <f>IF(O318="1",'⚙️ Configuração'!$C$21,IF(O318="2",'⚙️ Configuração'!$C$22,IF(O318="3",'⚙️ Configuração'!$C$23,IF(O318="Outro",'⚙️ Configuração'!$C$24,0))))</f>
        <v>0</v>
      </c>
      <c r="Q318" s="84">
        <f t="shared" si="23"/>
        <v>0</v>
      </c>
      <c r="R318" s="40" t="str">
        <f t="shared" si="22"/>
        <v>Semana 1 — ver 🔄</v>
      </c>
      <c r="S318" t="str" cm="1">
        <f t="array" ref="S318">IF(D318="","",IFERROR(_xlfn.SWITCH(B318,"Semana 1",IFERROR(INDEX('🔄 Rotação Duplas'!$D$8:$D$17,MATCH(D318,'🔄 Rotação Duplas'!$C$8:$C$17,0)),INDEX('🔄 Rotação Duplas'!$C$8:$C$17,MATCH(D318,'🔄 Rotação Duplas'!$D$8:$D$17,0))),"Semana 2",IFERROR(INDEX('🔄 Rotação Duplas'!$D$22:$D$31,MATCH(D318,'🔄 Rotação Duplas'!$C$22:$C$31,0)),INDEX('🔄 Rotação Duplas'!$C$22:$C$31,MATCH(D318,'🔄 Rotação Duplas'!$D$22:$D$31,0))),"Semana 3",IFERROR(INDEX('🔄 Rotação Duplas'!$D$36:$D$45,MATCH(D318,'🔄 Rotação Duplas'!$C$36:$C$45,0)),INDEX('🔄 Rotação Duplas'!$C$36:$C$45,MATCH(D318,'🔄 Rotação Duplas'!$D$36:$D$45,0))),"Semana 4",IFERROR(INDEX('🔄 Rotação Duplas'!$D$50:$D$59,MATCH(D318,'🔄 Rotação Duplas'!$C$50:$C$59,0)),INDEX('🔄 Rotação Duplas'!$C$50:$C$59,MATCH(D318,'🔄 Rotação Duplas'!$D$50:$D$59,0))),"Semana 5",IFERROR(INDEX('🔄 Rotação Duplas'!$D$64:$D$73,MATCH(D318,'🔄 Rotação Duplas'!$C$64:$C$73,0)),INDEX('🔄 Rotação Duplas'!$C$64:$C$73,MATCH(D318,'🔄 Rotação Duplas'!$D$64:$D$73,0))),"Semana 6",IFERROR(INDEX('🔄 Rotação Duplas'!$D$78:$D$87,MATCH(D318,'🔄 Rotação Duplas'!$C$78:$C$87,0)),INDEX('🔄 Rotação Duplas'!$C$78:$C$87,MATCH(D318,'🔄 Rotação Duplas'!$D$78:$D$87,0))),"Semana 7",IFERROR(INDEX('🔄 Rotação Duplas'!$D$92:$D$101,MATCH(D318,'🔄 Rotação Duplas'!$C$92:$C$101,0)),INDEX('🔄 Rotação Duplas'!$C$92:$C$101,MATCH(D318,'🔄 Rotação Duplas'!$D$92:$D$101,0))),"Semana 8",IFERROR(INDEX('🔄 Rotação Duplas'!$D$106:$D$115,MATCH(D318,'🔄 Rotação Duplas'!$C$106:$C$115,0)),INDEX('🔄 Rotação Duplas'!$C$106:$C$115,MATCH(D318,'🔄 Rotação Duplas'!$D$106:$D$115,0)))),""))</f>
        <v/>
      </c>
      <c r="T318">
        <f t="shared" si="24"/>
        <v>0</v>
      </c>
    </row>
    <row r="319" spans="2:20" ht="18" customHeight="1" x14ac:dyDescent="0.2">
      <c r="B319" s="78" t="s">
        <v>87</v>
      </c>
      <c r="C319" s="79" t="str">
        <f t="shared" si="27"/>
        <v>Desafio 16</v>
      </c>
      <c r="D319" s="80" t="str">
        <f>'⚙️ Configuração'!C42</f>
        <v>Patricia Isabel Silva</v>
      </c>
      <c r="E319" s="50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81">
        <f>(E319*'⚙️ Configuração'!$C$6+F319*'⚙️ Configuração'!$C$7+G319*'⚙️ Configuração'!$C$8+H319*'⚙️ Configuração'!$C$9+I319*'⚙️ Configuração'!$C$10+J319*'⚙️ Configuração'!$C$11)*IF(N319="S",2,1)</f>
        <v>0</v>
      </c>
      <c r="L319" s="90" t="s">
        <v>167</v>
      </c>
      <c r="M319" s="82">
        <f>IF(L319="AT1",'⚙️ Configuração'!$C$14,IF(L319="AT2",'⚙️ Configuração'!$C$15,IF(L319="FI",'⚙️ Configuração'!$C$16,IF(L319="FJ",'⚙️ Configuração'!$C$17,0))))</f>
        <v>0</v>
      </c>
      <c r="N319" s="91" t="s">
        <v>167</v>
      </c>
      <c r="O319" s="92"/>
      <c r="P319" s="83">
        <f>IF(O319="1",'⚙️ Configuração'!$C$21,IF(O319="2",'⚙️ Configuração'!$C$22,IF(O319="3",'⚙️ Configuração'!$C$23,IF(O319="Outro",'⚙️ Configuração'!$C$24,0))))</f>
        <v>0</v>
      </c>
      <c r="Q319" s="84">
        <f t="shared" si="23"/>
        <v>0</v>
      </c>
      <c r="R319" s="40" t="str">
        <f t="shared" si="22"/>
        <v>Semana 1 — ver 🔄</v>
      </c>
      <c r="S319" t="str" cm="1">
        <f t="array" ref="S319">IF(D319="","",IFERROR(_xlfn.SWITCH(B319,"Semana 1",IFERROR(INDEX('🔄 Rotação Duplas'!$D$8:$D$17,MATCH(D319,'🔄 Rotação Duplas'!$C$8:$C$17,0)),INDEX('🔄 Rotação Duplas'!$C$8:$C$17,MATCH(D319,'🔄 Rotação Duplas'!$D$8:$D$17,0))),"Semana 2",IFERROR(INDEX('🔄 Rotação Duplas'!$D$22:$D$31,MATCH(D319,'🔄 Rotação Duplas'!$C$22:$C$31,0)),INDEX('🔄 Rotação Duplas'!$C$22:$C$31,MATCH(D319,'🔄 Rotação Duplas'!$D$22:$D$31,0))),"Semana 3",IFERROR(INDEX('🔄 Rotação Duplas'!$D$36:$D$45,MATCH(D319,'🔄 Rotação Duplas'!$C$36:$C$45,0)),INDEX('🔄 Rotação Duplas'!$C$36:$C$45,MATCH(D319,'🔄 Rotação Duplas'!$D$36:$D$45,0))),"Semana 4",IFERROR(INDEX('🔄 Rotação Duplas'!$D$50:$D$59,MATCH(D319,'🔄 Rotação Duplas'!$C$50:$C$59,0)),INDEX('🔄 Rotação Duplas'!$C$50:$C$59,MATCH(D319,'🔄 Rotação Duplas'!$D$50:$D$59,0))),"Semana 5",IFERROR(INDEX('🔄 Rotação Duplas'!$D$64:$D$73,MATCH(D319,'🔄 Rotação Duplas'!$C$64:$C$73,0)),INDEX('🔄 Rotação Duplas'!$C$64:$C$73,MATCH(D319,'🔄 Rotação Duplas'!$D$64:$D$73,0))),"Semana 6",IFERROR(INDEX('🔄 Rotação Duplas'!$D$78:$D$87,MATCH(D319,'🔄 Rotação Duplas'!$C$78:$C$87,0)),INDEX('🔄 Rotação Duplas'!$C$78:$C$87,MATCH(D319,'🔄 Rotação Duplas'!$D$78:$D$87,0))),"Semana 7",IFERROR(INDEX('🔄 Rotação Duplas'!$D$92:$D$101,MATCH(D319,'🔄 Rotação Duplas'!$C$92:$C$101,0)),INDEX('🔄 Rotação Duplas'!$C$92:$C$101,MATCH(D319,'🔄 Rotação Duplas'!$D$92:$D$101,0))),"Semana 8",IFERROR(INDEX('🔄 Rotação Duplas'!$D$106:$D$115,MATCH(D319,'🔄 Rotação Duplas'!$C$106:$C$115,0)),INDEX('🔄 Rotação Duplas'!$C$106:$C$115,MATCH(D319,'🔄 Rotação Duplas'!$D$106:$D$115,0)))),""))</f>
        <v/>
      </c>
      <c r="T319">
        <f t="shared" si="24"/>
        <v>0</v>
      </c>
    </row>
    <row r="320" spans="2:20" ht="18" customHeight="1" x14ac:dyDescent="0.2">
      <c r="B320" s="85" t="s">
        <v>87</v>
      </c>
      <c r="C320" s="86" t="str">
        <f t="shared" si="27"/>
        <v>Desafio 16</v>
      </c>
      <c r="D320" s="87" t="str">
        <f>'⚙️ Configuração'!C43</f>
        <v>Paula Martins</v>
      </c>
      <c r="E320" s="50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81">
        <f>(E320*'⚙️ Configuração'!$C$6+F320*'⚙️ Configuração'!$C$7+G320*'⚙️ Configuração'!$C$8+H320*'⚙️ Configuração'!$C$9+I320*'⚙️ Configuração'!$C$10+J320*'⚙️ Configuração'!$C$11)*IF(N320="S",2,1)</f>
        <v>0</v>
      </c>
      <c r="L320" s="90" t="s">
        <v>167</v>
      </c>
      <c r="M320" s="82">
        <f>IF(L320="AT1",'⚙️ Configuração'!$C$14,IF(L320="AT2",'⚙️ Configuração'!$C$15,IF(L320="FI",'⚙️ Configuração'!$C$16,IF(L320="FJ",'⚙️ Configuração'!$C$17,0))))</f>
        <v>0</v>
      </c>
      <c r="N320" s="91" t="s">
        <v>167</v>
      </c>
      <c r="O320" s="92"/>
      <c r="P320" s="83">
        <f>IF(O320="1",'⚙️ Configuração'!$C$21,IF(O320="2",'⚙️ Configuração'!$C$22,IF(O320="3",'⚙️ Configuração'!$C$23,IF(O320="Outro",'⚙️ Configuração'!$C$24,0))))</f>
        <v>0</v>
      </c>
      <c r="Q320" s="84">
        <f t="shared" si="23"/>
        <v>0</v>
      </c>
      <c r="R320" s="40" t="str">
        <f t="shared" si="22"/>
        <v>Semana 1 — ver 🔄</v>
      </c>
      <c r="S320" t="str" cm="1">
        <f t="array" ref="S320">IF(D320="","",IFERROR(_xlfn.SWITCH(B320,"Semana 1",IFERROR(INDEX('🔄 Rotação Duplas'!$D$8:$D$17,MATCH(D320,'🔄 Rotação Duplas'!$C$8:$C$17,0)),INDEX('🔄 Rotação Duplas'!$C$8:$C$17,MATCH(D320,'🔄 Rotação Duplas'!$D$8:$D$17,0))),"Semana 2",IFERROR(INDEX('🔄 Rotação Duplas'!$D$22:$D$31,MATCH(D320,'🔄 Rotação Duplas'!$C$22:$C$31,0)),INDEX('🔄 Rotação Duplas'!$C$22:$C$31,MATCH(D320,'🔄 Rotação Duplas'!$D$22:$D$31,0))),"Semana 3",IFERROR(INDEX('🔄 Rotação Duplas'!$D$36:$D$45,MATCH(D320,'🔄 Rotação Duplas'!$C$36:$C$45,0)),INDEX('🔄 Rotação Duplas'!$C$36:$C$45,MATCH(D320,'🔄 Rotação Duplas'!$D$36:$D$45,0))),"Semana 4",IFERROR(INDEX('🔄 Rotação Duplas'!$D$50:$D$59,MATCH(D320,'🔄 Rotação Duplas'!$C$50:$C$59,0)),INDEX('🔄 Rotação Duplas'!$C$50:$C$59,MATCH(D320,'🔄 Rotação Duplas'!$D$50:$D$59,0))),"Semana 5",IFERROR(INDEX('🔄 Rotação Duplas'!$D$64:$D$73,MATCH(D320,'🔄 Rotação Duplas'!$C$64:$C$73,0)),INDEX('🔄 Rotação Duplas'!$C$64:$C$73,MATCH(D320,'🔄 Rotação Duplas'!$D$64:$D$73,0))),"Semana 6",IFERROR(INDEX('🔄 Rotação Duplas'!$D$78:$D$87,MATCH(D320,'🔄 Rotação Duplas'!$C$78:$C$87,0)),INDEX('🔄 Rotação Duplas'!$C$78:$C$87,MATCH(D320,'🔄 Rotação Duplas'!$D$78:$D$87,0))),"Semana 7",IFERROR(INDEX('🔄 Rotação Duplas'!$D$92:$D$101,MATCH(D320,'🔄 Rotação Duplas'!$C$92:$C$101,0)),INDEX('🔄 Rotação Duplas'!$C$92:$C$101,MATCH(D320,'🔄 Rotação Duplas'!$D$92:$D$101,0))),"Semana 8",IFERROR(INDEX('🔄 Rotação Duplas'!$D$106:$D$115,MATCH(D320,'🔄 Rotação Duplas'!$C$106:$C$115,0)),INDEX('🔄 Rotação Duplas'!$C$106:$C$115,MATCH(D320,'🔄 Rotação Duplas'!$D$106:$D$115,0)))),""))</f>
        <v/>
      </c>
      <c r="T320">
        <f t="shared" si="24"/>
        <v>0</v>
      </c>
    </row>
    <row r="321" spans="2:20" ht="18" customHeight="1" x14ac:dyDescent="0.2">
      <c r="B321" s="78" t="s">
        <v>87</v>
      </c>
      <c r="C321" s="79" t="str">
        <f t="shared" si="27"/>
        <v>Desafio 16</v>
      </c>
      <c r="D321" s="80" t="str">
        <f>'⚙️ Configuração'!C44</f>
        <v>Paula Miabara</v>
      </c>
      <c r="E321" s="50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81">
        <f>(E321*'⚙️ Configuração'!$C$6+F321*'⚙️ Configuração'!$C$7+G321*'⚙️ Configuração'!$C$8+H321*'⚙️ Configuração'!$C$9+I321*'⚙️ Configuração'!$C$10+J321*'⚙️ Configuração'!$C$11)*IF(N321="S",2,1)</f>
        <v>0</v>
      </c>
      <c r="L321" s="90" t="s">
        <v>167</v>
      </c>
      <c r="M321" s="82">
        <f>IF(L321="AT1",'⚙️ Configuração'!$C$14,IF(L321="AT2",'⚙️ Configuração'!$C$15,IF(L321="FI",'⚙️ Configuração'!$C$16,IF(L321="FJ",'⚙️ Configuração'!$C$17,0))))</f>
        <v>0</v>
      </c>
      <c r="N321" s="91" t="s">
        <v>167</v>
      </c>
      <c r="O321" s="92"/>
      <c r="P321" s="83">
        <f>IF(O321="1",'⚙️ Configuração'!$C$21,IF(O321="2",'⚙️ Configuração'!$C$22,IF(O321="3",'⚙️ Configuração'!$C$23,IF(O321="Outro",'⚙️ Configuração'!$C$24,0))))</f>
        <v>0</v>
      </c>
      <c r="Q321" s="84">
        <f t="shared" si="23"/>
        <v>0</v>
      </c>
      <c r="R321" s="40" t="str">
        <f t="shared" si="22"/>
        <v>Semana 1 — ver 🔄</v>
      </c>
      <c r="S321" t="str" cm="1">
        <f t="array" ref="S321">IF(D321="","",IFERROR(_xlfn.SWITCH(B321,"Semana 1",IFERROR(INDEX('🔄 Rotação Duplas'!$D$8:$D$17,MATCH(D321,'🔄 Rotação Duplas'!$C$8:$C$17,0)),INDEX('🔄 Rotação Duplas'!$C$8:$C$17,MATCH(D321,'🔄 Rotação Duplas'!$D$8:$D$17,0))),"Semana 2",IFERROR(INDEX('🔄 Rotação Duplas'!$D$22:$D$31,MATCH(D321,'🔄 Rotação Duplas'!$C$22:$C$31,0)),INDEX('🔄 Rotação Duplas'!$C$22:$C$31,MATCH(D321,'🔄 Rotação Duplas'!$D$22:$D$31,0))),"Semana 3",IFERROR(INDEX('🔄 Rotação Duplas'!$D$36:$D$45,MATCH(D321,'🔄 Rotação Duplas'!$C$36:$C$45,0)),INDEX('🔄 Rotação Duplas'!$C$36:$C$45,MATCH(D321,'🔄 Rotação Duplas'!$D$36:$D$45,0))),"Semana 4",IFERROR(INDEX('🔄 Rotação Duplas'!$D$50:$D$59,MATCH(D321,'🔄 Rotação Duplas'!$C$50:$C$59,0)),INDEX('🔄 Rotação Duplas'!$C$50:$C$59,MATCH(D321,'🔄 Rotação Duplas'!$D$50:$D$59,0))),"Semana 5",IFERROR(INDEX('🔄 Rotação Duplas'!$D$64:$D$73,MATCH(D321,'🔄 Rotação Duplas'!$C$64:$C$73,0)),INDEX('🔄 Rotação Duplas'!$C$64:$C$73,MATCH(D321,'🔄 Rotação Duplas'!$D$64:$D$73,0))),"Semana 6",IFERROR(INDEX('🔄 Rotação Duplas'!$D$78:$D$87,MATCH(D321,'🔄 Rotação Duplas'!$C$78:$C$87,0)),INDEX('🔄 Rotação Duplas'!$C$78:$C$87,MATCH(D321,'🔄 Rotação Duplas'!$D$78:$D$87,0))),"Semana 7",IFERROR(INDEX('🔄 Rotação Duplas'!$D$92:$D$101,MATCH(D321,'🔄 Rotação Duplas'!$C$92:$C$101,0)),INDEX('🔄 Rotação Duplas'!$C$92:$C$101,MATCH(D321,'🔄 Rotação Duplas'!$D$92:$D$101,0))),"Semana 8",IFERROR(INDEX('🔄 Rotação Duplas'!$D$106:$D$115,MATCH(D321,'🔄 Rotação Duplas'!$C$106:$C$115,0)),INDEX('🔄 Rotação Duplas'!$C$106:$C$115,MATCH(D321,'🔄 Rotação Duplas'!$D$106:$D$115,0)))),""))</f>
        <v/>
      </c>
      <c r="T321">
        <f t="shared" si="24"/>
        <v>0</v>
      </c>
    </row>
    <row r="322" spans="2:20" ht="18" customHeight="1" x14ac:dyDescent="0.2">
      <c r="B322" s="85" t="s">
        <v>87</v>
      </c>
      <c r="C322" s="86" t="str">
        <f t="shared" si="27"/>
        <v>Desafio 16</v>
      </c>
      <c r="D322" s="87" t="str">
        <f>'⚙️ Configuração'!C45</f>
        <v>Rita Carmo</v>
      </c>
      <c r="E322" s="50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81">
        <f>(E322*'⚙️ Configuração'!$C$6+F322*'⚙️ Configuração'!$C$7+G322*'⚙️ Configuração'!$C$8+H322*'⚙️ Configuração'!$C$9+I322*'⚙️ Configuração'!$C$10+J322*'⚙️ Configuração'!$C$11)*IF(N322="S",2,1)</f>
        <v>0</v>
      </c>
      <c r="L322" s="90" t="s">
        <v>167</v>
      </c>
      <c r="M322" s="82">
        <f>IF(L322="AT1",'⚙️ Configuração'!$C$14,IF(L322="AT2",'⚙️ Configuração'!$C$15,IF(L322="FI",'⚙️ Configuração'!$C$16,IF(L322="FJ",'⚙️ Configuração'!$C$17,0))))</f>
        <v>0</v>
      </c>
      <c r="N322" s="91" t="s">
        <v>167</v>
      </c>
      <c r="O322" s="92"/>
      <c r="P322" s="83">
        <f>IF(O322="1",'⚙️ Configuração'!$C$21,IF(O322="2",'⚙️ Configuração'!$C$22,IF(O322="3",'⚙️ Configuração'!$C$23,IF(O322="Outro",'⚙️ Configuração'!$C$24,0))))</f>
        <v>0</v>
      </c>
      <c r="Q322" s="84">
        <f t="shared" si="23"/>
        <v>0</v>
      </c>
      <c r="R322" s="40" t="str">
        <f t="shared" si="22"/>
        <v>Semana 1 — ver 🔄</v>
      </c>
      <c r="S322" t="str" cm="1">
        <f t="array" ref="S322">IF(D322="","",IFERROR(_xlfn.SWITCH(B322,"Semana 1",IFERROR(INDEX('🔄 Rotação Duplas'!$D$8:$D$17,MATCH(D322,'🔄 Rotação Duplas'!$C$8:$C$17,0)),INDEX('🔄 Rotação Duplas'!$C$8:$C$17,MATCH(D322,'🔄 Rotação Duplas'!$D$8:$D$17,0))),"Semana 2",IFERROR(INDEX('🔄 Rotação Duplas'!$D$22:$D$31,MATCH(D322,'🔄 Rotação Duplas'!$C$22:$C$31,0)),INDEX('🔄 Rotação Duplas'!$C$22:$C$31,MATCH(D322,'🔄 Rotação Duplas'!$D$22:$D$31,0))),"Semana 3",IFERROR(INDEX('🔄 Rotação Duplas'!$D$36:$D$45,MATCH(D322,'🔄 Rotação Duplas'!$C$36:$C$45,0)),INDEX('🔄 Rotação Duplas'!$C$36:$C$45,MATCH(D322,'🔄 Rotação Duplas'!$D$36:$D$45,0))),"Semana 4",IFERROR(INDEX('🔄 Rotação Duplas'!$D$50:$D$59,MATCH(D322,'🔄 Rotação Duplas'!$C$50:$C$59,0)),INDEX('🔄 Rotação Duplas'!$C$50:$C$59,MATCH(D322,'🔄 Rotação Duplas'!$D$50:$D$59,0))),"Semana 5",IFERROR(INDEX('🔄 Rotação Duplas'!$D$64:$D$73,MATCH(D322,'🔄 Rotação Duplas'!$C$64:$C$73,0)),INDEX('🔄 Rotação Duplas'!$C$64:$C$73,MATCH(D322,'🔄 Rotação Duplas'!$D$64:$D$73,0))),"Semana 6",IFERROR(INDEX('🔄 Rotação Duplas'!$D$78:$D$87,MATCH(D322,'🔄 Rotação Duplas'!$C$78:$C$87,0)),INDEX('🔄 Rotação Duplas'!$C$78:$C$87,MATCH(D322,'🔄 Rotação Duplas'!$D$78:$D$87,0))),"Semana 7",IFERROR(INDEX('🔄 Rotação Duplas'!$D$92:$D$101,MATCH(D322,'🔄 Rotação Duplas'!$C$92:$C$101,0)),INDEX('🔄 Rotação Duplas'!$C$92:$C$101,MATCH(D322,'🔄 Rotação Duplas'!$D$92:$D$101,0))),"Semana 8",IFERROR(INDEX('🔄 Rotação Duplas'!$D$106:$D$115,MATCH(D322,'🔄 Rotação Duplas'!$C$106:$C$115,0)),INDEX('🔄 Rotação Duplas'!$C$106:$C$115,MATCH(D322,'🔄 Rotação Duplas'!$D$106:$D$115,0)))),""))</f>
        <v/>
      </c>
      <c r="T322">
        <f t="shared" si="24"/>
        <v>0</v>
      </c>
    </row>
    <row r="323" spans="2:20" ht="18" customHeight="1" x14ac:dyDescent="0.2">
      <c r="B323" s="78" t="s">
        <v>87</v>
      </c>
      <c r="C323" s="79" t="str">
        <f t="shared" si="27"/>
        <v>Desafio 16</v>
      </c>
      <c r="D323" s="80" t="str">
        <f>'⚙️ Configuração'!C46</f>
        <v>William Fernandes</v>
      </c>
      <c r="E323" s="50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81">
        <f>(E323*'⚙️ Configuração'!$C$6+F323*'⚙️ Configuração'!$C$7+G323*'⚙️ Configuração'!$C$8+H323*'⚙️ Configuração'!$C$9+I323*'⚙️ Configuração'!$C$10+J323*'⚙️ Configuração'!$C$11)*IF(N323="S",2,1)</f>
        <v>0</v>
      </c>
      <c r="L323" s="90" t="s">
        <v>167</v>
      </c>
      <c r="M323" s="82">
        <f>IF(L323="AT1",'⚙️ Configuração'!$C$14,IF(L323="AT2",'⚙️ Configuração'!$C$15,IF(L323="FI",'⚙️ Configuração'!$C$16,IF(L323="FJ",'⚙️ Configuração'!$C$17,0))))</f>
        <v>0</v>
      </c>
      <c r="N323" s="91" t="s">
        <v>167</v>
      </c>
      <c r="O323" s="92"/>
      <c r="P323" s="83">
        <f>IF(O323="1",'⚙️ Configuração'!$C$21,IF(O323="2",'⚙️ Configuração'!$C$22,IF(O323="3",'⚙️ Configuração'!$C$23,IF(O323="Outro",'⚙️ Configuração'!$C$24,0))))</f>
        <v>0</v>
      </c>
      <c r="Q323" s="84">
        <f t="shared" si="23"/>
        <v>0</v>
      </c>
      <c r="R323" s="40" t="str">
        <f t="shared" si="22"/>
        <v>Semana 1 — ver 🔄</v>
      </c>
      <c r="S323" t="str" cm="1">
        <f t="array" ref="S323">IF(D323="","",IFERROR(_xlfn.SWITCH(B323,"Semana 1",IFERROR(INDEX('🔄 Rotação Duplas'!$D$8:$D$17,MATCH(D323,'🔄 Rotação Duplas'!$C$8:$C$17,0)),INDEX('🔄 Rotação Duplas'!$C$8:$C$17,MATCH(D323,'🔄 Rotação Duplas'!$D$8:$D$17,0))),"Semana 2",IFERROR(INDEX('🔄 Rotação Duplas'!$D$22:$D$31,MATCH(D323,'🔄 Rotação Duplas'!$C$22:$C$31,0)),INDEX('🔄 Rotação Duplas'!$C$22:$C$31,MATCH(D323,'🔄 Rotação Duplas'!$D$22:$D$31,0))),"Semana 3",IFERROR(INDEX('🔄 Rotação Duplas'!$D$36:$D$45,MATCH(D323,'🔄 Rotação Duplas'!$C$36:$C$45,0)),INDEX('🔄 Rotação Duplas'!$C$36:$C$45,MATCH(D323,'🔄 Rotação Duplas'!$D$36:$D$45,0))),"Semana 4",IFERROR(INDEX('🔄 Rotação Duplas'!$D$50:$D$59,MATCH(D323,'🔄 Rotação Duplas'!$C$50:$C$59,0)),INDEX('🔄 Rotação Duplas'!$C$50:$C$59,MATCH(D323,'🔄 Rotação Duplas'!$D$50:$D$59,0))),"Semana 5",IFERROR(INDEX('🔄 Rotação Duplas'!$D$64:$D$73,MATCH(D323,'🔄 Rotação Duplas'!$C$64:$C$73,0)),INDEX('🔄 Rotação Duplas'!$C$64:$C$73,MATCH(D323,'🔄 Rotação Duplas'!$D$64:$D$73,0))),"Semana 6",IFERROR(INDEX('🔄 Rotação Duplas'!$D$78:$D$87,MATCH(D323,'🔄 Rotação Duplas'!$C$78:$C$87,0)),INDEX('🔄 Rotação Duplas'!$C$78:$C$87,MATCH(D323,'🔄 Rotação Duplas'!$D$78:$D$87,0))),"Semana 7",IFERROR(INDEX('🔄 Rotação Duplas'!$D$92:$D$101,MATCH(D323,'🔄 Rotação Duplas'!$C$92:$C$101,0)),INDEX('🔄 Rotação Duplas'!$C$92:$C$101,MATCH(D323,'🔄 Rotação Duplas'!$D$92:$D$101,0))),"Semana 8",IFERROR(INDEX('🔄 Rotação Duplas'!$D$106:$D$115,MATCH(D323,'🔄 Rotação Duplas'!$C$106:$C$115,0)),INDEX('🔄 Rotação Duplas'!$C$106:$C$115,MATCH(D323,'🔄 Rotação Duplas'!$D$106:$D$115,0)))),""))</f>
        <v/>
      </c>
      <c r="T323">
        <f t="shared" si="24"/>
        <v>0</v>
      </c>
    </row>
    <row r="324" spans="2:20" ht="18" customHeight="1" x14ac:dyDescent="0.2">
      <c r="B324" s="85" t="s">
        <v>87</v>
      </c>
      <c r="C324" s="86" t="str">
        <f t="shared" si="27"/>
        <v>Desafio 16</v>
      </c>
      <c r="D324" s="87" t="str">
        <f>'⚙️ Configuração'!C47</f>
        <v>-</v>
      </c>
      <c r="E324" s="50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81">
        <f>(E324*'⚙️ Configuração'!$C$6+F324*'⚙️ Configuração'!$C$7+G324*'⚙️ Configuração'!$C$8+H324*'⚙️ Configuração'!$C$9+I324*'⚙️ Configuração'!$C$10+J324*'⚙️ Configuração'!$C$11)*IF(N324="S",2,1)</f>
        <v>0</v>
      </c>
      <c r="L324" s="90" t="s">
        <v>167</v>
      </c>
      <c r="M324" s="82">
        <f>IF(L324="AT1",'⚙️ Configuração'!$C$14,IF(L324="AT2",'⚙️ Configuração'!$C$15,IF(L324="FI",'⚙️ Configuração'!$C$16,IF(L324="FJ",'⚙️ Configuração'!$C$17,0))))</f>
        <v>0</v>
      </c>
      <c r="N324" s="91" t="s">
        <v>167</v>
      </c>
      <c r="O324" s="92"/>
      <c r="P324" s="83">
        <f>IF(O324="1",'⚙️ Configuração'!$C$21,IF(O324="2",'⚙️ Configuração'!$C$22,IF(O324="3",'⚙️ Configuração'!$C$23,IF(O324="Outro",'⚙️ Configuração'!$C$24,0))))</f>
        <v>0</v>
      </c>
      <c r="Q324" s="84">
        <f t="shared" si="23"/>
        <v>0</v>
      </c>
      <c r="R324" s="40" t="str">
        <f t="shared" si="22"/>
        <v>Semana 1 — ver 🔄</v>
      </c>
      <c r="S324" t="str" cm="1">
        <f t="array" ref="S324">IF(D324="","",IFERROR(_xlfn.SWITCH(B324,"Semana 1",IFERROR(INDEX('🔄 Rotação Duplas'!$D$8:$D$17,MATCH(D324,'🔄 Rotação Duplas'!$C$8:$C$17,0)),INDEX('🔄 Rotação Duplas'!$C$8:$C$17,MATCH(D324,'🔄 Rotação Duplas'!$D$8:$D$17,0))),"Semana 2",IFERROR(INDEX('🔄 Rotação Duplas'!$D$22:$D$31,MATCH(D324,'🔄 Rotação Duplas'!$C$22:$C$31,0)),INDEX('🔄 Rotação Duplas'!$C$22:$C$31,MATCH(D324,'🔄 Rotação Duplas'!$D$22:$D$31,0))),"Semana 3",IFERROR(INDEX('🔄 Rotação Duplas'!$D$36:$D$45,MATCH(D324,'🔄 Rotação Duplas'!$C$36:$C$45,0)),INDEX('🔄 Rotação Duplas'!$C$36:$C$45,MATCH(D324,'🔄 Rotação Duplas'!$D$36:$D$45,0))),"Semana 4",IFERROR(INDEX('🔄 Rotação Duplas'!$D$50:$D$59,MATCH(D324,'🔄 Rotação Duplas'!$C$50:$C$59,0)),INDEX('🔄 Rotação Duplas'!$C$50:$C$59,MATCH(D324,'🔄 Rotação Duplas'!$D$50:$D$59,0))),"Semana 5",IFERROR(INDEX('🔄 Rotação Duplas'!$D$64:$D$73,MATCH(D324,'🔄 Rotação Duplas'!$C$64:$C$73,0)),INDEX('🔄 Rotação Duplas'!$C$64:$C$73,MATCH(D324,'🔄 Rotação Duplas'!$D$64:$D$73,0))),"Semana 6",IFERROR(INDEX('🔄 Rotação Duplas'!$D$78:$D$87,MATCH(D324,'🔄 Rotação Duplas'!$C$78:$C$87,0)),INDEX('🔄 Rotação Duplas'!$C$78:$C$87,MATCH(D324,'🔄 Rotação Duplas'!$D$78:$D$87,0))),"Semana 7",IFERROR(INDEX('🔄 Rotação Duplas'!$D$92:$D$101,MATCH(D324,'🔄 Rotação Duplas'!$C$92:$C$101,0)),INDEX('🔄 Rotação Duplas'!$C$92:$C$101,MATCH(D324,'🔄 Rotação Duplas'!$D$92:$D$101,0))),"Semana 8",IFERROR(INDEX('🔄 Rotação Duplas'!$D$106:$D$115,MATCH(D324,'🔄 Rotação Duplas'!$C$106:$C$115,0)),INDEX('🔄 Rotação Duplas'!$C$106:$C$115,MATCH(D324,'🔄 Rotação Duplas'!$D$106:$D$115,0)))),""))</f>
        <v/>
      </c>
      <c r="T324">
        <f t="shared" si="24"/>
        <v>0</v>
      </c>
    </row>
    <row r="325" spans="2:20" ht="18" customHeight="1" x14ac:dyDescent="0.2">
      <c r="B325" s="78" t="s">
        <v>87</v>
      </c>
      <c r="C325" s="79" t="str">
        <f t="shared" si="27"/>
        <v>Desafio 16</v>
      </c>
      <c r="D325" s="80" t="str">
        <f>'⚙️ Configuração'!C48</f>
        <v>-</v>
      </c>
      <c r="E325" s="50">
        <v>0</v>
      </c>
      <c r="F325" s="50">
        <v>0</v>
      </c>
      <c r="G325" s="50">
        <v>0</v>
      </c>
      <c r="H325" s="50">
        <v>0</v>
      </c>
      <c r="I325" s="50">
        <v>0</v>
      </c>
      <c r="J325" s="50">
        <v>0</v>
      </c>
      <c r="K325" s="81">
        <f>(E325*'⚙️ Configuração'!$C$6+F325*'⚙️ Configuração'!$C$7+G325*'⚙️ Configuração'!$C$8+H325*'⚙️ Configuração'!$C$9+I325*'⚙️ Configuração'!$C$10+J325*'⚙️ Configuração'!$C$11)*IF(N325="S",2,1)</f>
        <v>0</v>
      </c>
      <c r="L325" s="90" t="s">
        <v>167</v>
      </c>
      <c r="M325" s="82">
        <f>IF(L325="AT1",'⚙️ Configuração'!$C$14,IF(L325="AT2",'⚙️ Configuração'!$C$15,IF(L325="FI",'⚙️ Configuração'!$C$16,IF(L325="FJ",'⚙️ Configuração'!$C$17,0))))</f>
        <v>0</v>
      </c>
      <c r="N325" s="91" t="s">
        <v>167</v>
      </c>
      <c r="O325" s="92"/>
      <c r="P325" s="83">
        <f>IF(O325="1",'⚙️ Configuração'!$C$21,IF(O325="2",'⚙️ Configuração'!$C$22,IF(O325="3",'⚙️ Configuração'!$C$23,IF(O325="Outro",'⚙️ Configuração'!$C$24,0))))</f>
        <v>0</v>
      </c>
      <c r="Q325" s="84">
        <f t="shared" si="23"/>
        <v>0</v>
      </c>
      <c r="R325" s="40" t="str">
        <f t="shared" si="22"/>
        <v>Semana 1 — ver 🔄</v>
      </c>
      <c r="S325" t="str" cm="1">
        <f t="array" ref="S325">IF(D325="","",IFERROR(_xlfn.SWITCH(B325,"Semana 1",IFERROR(INDEX('🔄 Rotação Duplas'!$D$8:$D$17,MATCH(D325,'🔄 Rotação Duplas'!$C$8:$C$17,0)),INDEX('🔄 Rotação Duplas'!$C$8:$C$17,MATCH(D325,'🔄 Rotação Duplas'!$D$8:$D$17,0))),"Semana 2",IFERROR(INDEX('🔄 Rotação Duplas'!$D$22:$D$31,MATCH(D325,'🔄 Rotação Duplas'!$C$22:$C$31,0)),INDEX('🔄 Rotação Duplas'!$C$22:$C$31,MATCH(D325,'🔄 Rotação Duplas'!$D$22:$D$31,0))),"Semana 3",IFERROR(INDEX('🔄 Rotação Duplas'!$D$36:$D$45,MATCH(D325,'🔄 Rotação Duplas'!$C$36:$C$45,0)),INDEX('🔄 Rotação Duplas'!$C$36:$C$45,MATCH(D325,'🔄 Rotação Duplas'!$D$36:$D$45,0))),"Semana 4",IFERROR(INDEX('🔄 Rotação Duplas'!$D$50:$D$59,MATCH(D325,'🔄 Rotação Duplas'!$C$50:$C$59,0)),INDEX('🔄 Rotação Duplas'!$C$50:$C$59,MATCH(D325,'🔄 Rotação Duplas'!$D$50:$D$59,0))),"Semana 5",IFERROR(INDEX('🔄 Rotação Duplas'!$D$64:$D$73,MATCH(D325,'🔄 Rotação Duplas'!$C$64:$C$73,0)),INDEX('🔄 Rotação Duplas'!$C$64:$C$73,MATCH(D325,'🔄 Rotação Duplas'!$D$64:$D$73,0))),"Semana 6",IFERROR(INDEX('🔄 Rotação Duplas'!$D$78:$D$87,MATCH(D325,'🔄 Rotação Duplas'!$C$78:$C$87,0)),INDEX('🔄 Rotação Duplas'!$C$78:$C$87,MATCH(D325,'🔄 Rotação Duplas'!$D$78:$D$87,0))),"Semana 7",IFERROR(INDEX('🔄 Rotação Duplas'!$D$92:$D$101,MATCH(D325,'🔄 Rotação Duplas'!$C$92:$C$101,0)),INDEX('🔄 Rotação Duplas'!$C$92:$C$101,MATCH(D325,'🔄 Rotação Duplas'!$D$92:$D$101,0))),"Semana 8",IFERROR(INDEX('🔄 Rotação Duplas'!$D$106:$D$115,MATCH(D325,'🔄 Rotação Duplas'!$C$106:$C$115,0)),INDEX('🔄 Rotação Duplas'!$C$106:$C$115,MATCH(D325,'🔄 Rotação Duplas'!$D$106:$D$115,0)))),""))</f>
        <v/>
      </c>
      <c r="T325">
        <f t="shared" si="24"/>
        <v>0</v>
      </c>
    </row>
    <row r="326" spans="2:20" ht="18" customHeight="1" x14ac:dyDescent="0.2">
      <c r="B326" s="85" t="s">
        <v>87</v>
      </c>
      <c r="C326" s="86" t="str">
        <f t="shared" si="27"/>
        <v>Desafio 16</v>
      </c>
      <c r="D326" s="87" t="str">
        <f>'⚙️ Configuração'!C49</f>
        <v>-</v>
      </c>
      <c r="E326" s="50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81">
        <f>(E326*'⚙️ Configuração'!$C$6+F326*'⚙️ Configuração'!$C$7+G326*'⚙️ Configuração'!$C$8+H326*'⚙️ Configuração'!$C$9+I326*'⚙️ Configuração'!$C$10+J326*'⚙️ Configuração'!$C$11)*IF(N326="S",2,1)</f>
        <v>0</v>
      </c>
      <c r="L326" s="90" t="s">
        <v>167</v>
      </c>
      <c r="M326" s="82">
        <f>IF(L326="AT1",'⚙️ Configuração'!$C$14,IF(L326="AT2",'⚙️ Configuração'!$C$15,IF(L326="FI",'⚙️ Configuração'!$C$16,IF(L326="FJ",'⚙️ Configuração'!$C$17,0))))</f>
        <v>0</v>
      </c>
      <c r="N326" s="91" t="s">
        <v>167</v>
      </c>
      <c r="O326" s="92"/>
      <c r="P326" s="83">
        <f>IF(O326="1",'⚙️ Configuração'!$C$21,IF(O326="2",'⚙️ Configuração'!$C$22,IF(O326="3",'⚙️ Configuração'!$C$23,IF(O326="Outro",'⚙️ Configuração'!$C$24,0))))</f>
        <v>0</v>
      </c>
      <c r="Q326" s="84">
        <f t="shared" si="23"/>
        <v>0</v>
      </c>
      <c r="R326" s="40" t="str">
        <f t="shared" si="22"/>
        <v>Semana 1 — ver 🔄</v>
      </c>
      <c r="S326" t="str" cm="1">
        <f t="array" ref="S326">IF(D326="","",IFERROR(_xlfn.SWITCH(B326,"Semana 1",IFERROR(INDEX('🔄 Rotação Duplas'!$D$8:$D$17,MATCH(D326,'🔄 Rotação Duplas'!$C$8:$C$17,0)),INDEX('🔄 Rotação Duplas'!$C$8:$C$17,MATCH(D326,'🔄 Rotação Duplas'!$D$8:$D$17,0))),"Semana 2",IFERROR(INDEX('🔄 Rotação Duplas'!$D$22:$D$31,MATCH(D326,'🔄 Rotação Duplas'!$C$22:$C$31,0)),INDEX('🔄 Rotação Duplas'!$C$22:$C$31,MATCH(D326,'🔄 Rotação Duplas'!$D$22:$D$31,0))),"Semana 3",IFERROR(INDEX('🔄 Rotação Duplas'!$D$36:$D$45,MATCH(D326,'🔄 Rotação Duplas'!$C$36:$C$45,0)),INDEX('🔄 Rotação Duplas'!$C$36:$C$45,MATCH(D326,'🔄 Rotação Duplas'!$D$36:$D$45,0))),"Semana 4",IFERROR(INDEX('🔄 Rotação Duplas'!$D$50:$D$59,MATCH(D326,'🔄 Rotação Duplas'!$C$50:$C$59,0)),INDEX('🔄 Rotação Duplas'!$C$50:$C$59,MATCH(D326,'🔄 Rotação Duplas'!$D$50:$D$59,0))),"Semana 5",IFERROR(INDEX('🔄 Rotação Duplas'!$D$64:$D$73,MATCH(D326,'🔄 Rotação Duplas'!$C$64:$C$73,0)),INDEX('🔄 Rotação Duplas'!$C$64:$C$73,MATCH(D326,'🔄 Rotação Duplas'!$D$64:$D$73,0))),"Semana 6",IFERROR(INDEX('🔄 Rotação Duplas'!$D$78:$D$87,MATCH(D326,'🔄 Rotação Duplas'!$C$78:$C$87,0)),INDEX('🔄 Rotação Duplas'!$C$78:$C$87,MATCH(D326,'🔄 Rotação Duplas'!$D$78:$D$87,0))),"Semana 7",IFERROR(INDEX('🔄 Rotação Duplas'!$D$92:$D$101,MATCH(D326,'🔄 Rotação Duplas'!$C$92:$C$101,0)),INDEX('🔄 Rotação Duplas'!$C$92:$C$101,MATCH(D326,'🔄 Rotação Duplas'!$D$92:$D$101,0))),"Semana 8",IFERROR(INDEX('🔄 Rotação Duplas'!$D$106:$D$115,MATCH(D326,'🔄 Rotação Duplas'!$C$106:$C$115,0)),INDEX('🔄 Rotação Duplas'!$C$106:$C$115,MATCH(D326,'🔄 Rotação Duplas'!$D$106:$D$115,0)))),""))</f>
        <v/>
      </c>
      <c r="T326">
        <f t="shared" si="24"/>
        <v>0</v>
      </c>
    </row>
    <row r="327" spans="2:20" ht="18" customHeight="1" x14ac:dyDescent="0.2">
      <c r="B327" s="78" t="s">
        <v>99</v>
      </c>
      <c r="C327" s="79" t="str">
        <f t="shared" ref="C327:C346" si="28">"Desafio 17"</f>
        <v>Desafio 17</v>
      </c>
      <c r="D327" s="80" t="str">
        <f>'⚙️ Configuração'!C30</f>
        <v>Carla Cantante</v>
      </c>
      <c r="E327" s="50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81">
        <f>(E327*'⚙️ Configuração'!$C$6+F327*'⚙️ Configuração'!$C$7+G327*'⚙️ Configuração'!$C$8+H327*'⚙️ Configuração'!$C$9+I327*'⚙️ Configuração'!$C$10+J327*'⚙️ Configuração'!$C$11)*IF(N327="S",2,1)</f>
        <v>0</v>
      </c>
      <c r="L327" s="90" t="s">
        <v>167</v>
      </c>
      <c r="M327" s="82">
        <f>IF(L327="AT1",'⚙️ Configuração'!$C$14,IF(L327="AT2",'⚙️ Configuração'!$C$15,IF(L327="FI",'⚙️ Configuração'!$C$16,IF(L327="FJ",'⚙️ Configuração'!$C$17,0))))</f>
        <v>0</v>
      </c>
      <c r="N327" s="91" t="s">
        <v>167</v>
      </c>
      <c r="O327" s="92"/>
      <c r="P327" s="83">
        <f>IF(O327="1",'⚙️ Configuração'!$C$21,IF(O327="2",'⚙️ Configuração'!$C$22,IF(O327="3",'⚙️ Configuração'!$C$23,IF(O327="Outro",'⚙️ Configuração'!$C$24,0))))</f>
        <v>0</v>
      </c>
      <c r="Q327" s="84">
        <f t="shared" si="23"/>
        <v>0</v>
      </c>
      <c r="R327" s="40" t="str">
        <f t="shared" si="22"/>
        <v>Semana 1 — ver 🔄</v>
      </c>
      <c r="S327" t="str" cm="1">
        <f t="array" ref="S327">IF(D327="","",IFERROR(_xlfn.SWITCH(B327,"Semana 1",IFERROR(INDEX('🔄 Rotação Duplas'!$D$8:$D$17,MATCH(D327,'🔄 Rotação Duplas'!$C$8:$C$17,0)),INDEX('🔄 Rotação Duplas'!$C$8:$C$17,MATCH(D327,'🔄 Rotação Duplas'!$D$8:$D$17,0))),"Semana 2",IFERROR(INDEX('🔄 Rotação Duplas'!$D$22:$D$31,MATCH(D327,'🔄 Rotação Duplas'!$C$22:$C$31,0)),INDEX('🔄 Rotação Duplas'!$C$22:$C$31,MATCH(D327,'🔄 Rotação Duplas'!$D$22:$D$31,0))),"Semana 3",IFERROR(INDEX('🔄 Rotação Duplas'!$D$36:$D$45,MATCH(D327,'🔄 Rotação Duplas'!$C$36:$C$45,0)),INDEX('🔄 Rotação Duplas'!$C$36:$C$45,MATCH(D327,'🔄 Rotação Duplas'!$D$36:$D$45,0))),"Semana 4",IFERROR(INDEX('🔄 Rotação Duplas'!$D$50:$D$59,MATCH(D327,'🔄 Rotação Duplas'!$C$50:$C$59,0)),INDEX('🔄 Rotação Duplas'!$C$50:$C$59,MATCH(D327,'🔄 Rotação Duplas'!$D$50:$D$59,0))),"Semana 5",IFERROR(INDEX('🔄 Rotação Duplas'!$D$64:$D$73,MATCH(D327,'🔄 Rotação Duplas'!$C$64:$C$73,0)),INDEX('🔄 Rotação Duplas'!$C$64:$C$73,MATCH(D327,'🔄 Rotação Duplas'!$D$64:$D$73,0))),"Semana 6",IFERROR(INDEX('🔄 Rotação Duplas'!$D$78:$D$87,MATCH(D327,'🔄 Rotação Duplas'!$C$78:$C$87,0)),INDEX('🔄 Rotação Duplas'!$C$78:$C$87,MATCH(D327,'🔄 Rotação Duplas'!$D$78:$D$87,0))),"Semana 7",IFERROR(INDEX('🔄 Rotação Duplas'!$D$92:$D$101,MATCH(D327,'🔄 Rotação Duplas'!$C$92:$C$101,0)),INDEX('🔄 Rotação Duplas'!$C$92:$C$101,MATCH(D327,'🔄 Rotação Duplas'!$D$92:$D$101,0))),"Semana 8",IFERROR(INDEX('🔄 Rotação Duplas'!$D$106:$D$115,MATCH(D327,'🔄 Rotação Duplas'!$C$106:$C$115,0)),INDEX('🔄 Rotação Duplas'!$C$106:$C$115,MATCH(D327,'🔄 Rotação Duplas'!$D$106:$D$115,0)))),""))</f>
        <v/>
      </c>
      <c r="T327">
        <f t="shared" si="24"/>
        <v>0</v>
      </c>
    </row>
    <row r="328" spans="2:20" ht="18" customHeight="1" x14ac:dyDescent="0.2">
      <c r="B328" s="85" t="s">
        <v>99</v>
      </c>
      <c r="C328" s="86" t="str">
        <f t="shared" si="28"/>
        <v>Desafio 17</v>
      </c>
      <c r="D328" s="87" t="str">
        <f>'⚙️ Configuração'!C31</f>
        <v>Elisabete Mendes</v>
      </c>
      <c r="E328" s="50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81">
        <f>(E328*'⚙️ Configuração'!$C$6+F328*'⚙️ Configuração'!$C$7+G328*'⚙️ Configuração'!$C$8+H328*'⚙️ Configuração'!$C$9+I328*'⚙️ Configuração'!$C$10+J328*'⚙️ Configuração'!$C$11)*IF(N328="S",2,1)</f>
        <v>0</v>
      </c>
      <c r="L328" s="90" t="s">
        <v>167</v>
      </c>
      <c r="M328" s="82">
        <f>IF(L328="AT1",'⚙️ Configuração'!$C$14,IF(L328="AT2",'⚙️ Configuração'!$C$15,IF(L328="FI",'⚙️ Configuração'!$C$16,IF(L328="FJ",'⚙️ Configuração'!$C$17,0))))</f>
        <v>0</v>
      </c>
      <c r="N328" s="91" t="s">
        <v>167</v>
      </c>
      <c r="O328" s="92"/>
      <c r="P328" s="83">
        <f>IF(O328="1",'⚙️ Configuração'!$C$21,IF(O328="2",'⚙️ Configuração'!$C$22,IF(O328="3",'⚙️ Configuração'!$C$23,IF(O328="Outro",'⚙️ Configuração'!$C$24,0))))</f>
        <v>0</v>
      </c>
      <c r="Q328" s="84">
        <f t="shared" ref="Q328:Q391" si="29">K328+M328+P328</f>
        <v>0</v>
      </c>
      <c r="R328" s="40" t="str">
        <f t="shared" si="22"/>
        <v>Semana 1 — ver 🔄</v>
      </c>
      <c r="S328" t="str" cm="1">
        <f t="array" ref="S328">IF(D328="","",IFERROR(_xlfn.SWITCH(B328,"Semana 1",IFERROR(INDEX('🔄 Rotação Duplas'!$D$8:$D$17,MATCH(D328,'🔄 Rotação Duplas'!$C$8:$C$17,0)),INDEX('🔄 Rotação Duplas'!$C$8:$C$17,MATCH(D328,'🔄 Rotação Duplas'!$D$8:$D$17,0))),"Semana 2",IFERROR(INDEX('🔄 Rotação Duplas'!$D$22:$D$31,MATCH(D328,'🔄 Rotação Duplas'!$C$22:$C$31,0)),INDEX('🔄 Rotação Duplas'!$C$22:$C$31,MATCH(D328,'🔄 Rotação Duplas'!$D$22:$D$31,0))),"Semana 3",IFERROR(INDEX('🔄 Rotação Duplas'!$D$36:$D$45,MATCH(D328,'🔄 Rotação Duplas'!$C$36:$C$45,0)),INDEX('🔄 Rotação Duplas'!$C$36:$C$45,MATCH(D328,'🔄 Rotação Duplas'!$D$36:$D$45,0))),"Semana 4",IFERROR(INDEX('🔄 Rotação Duplas'!$D$50:$D$59,MATCH(D328,'🔄 Rotação Duplas'!$C$50:$C$59,0)),INDEX('🔄 Rotação Duplas'!$C$50:$C$59,MATCH(D328,'🔄 Rotação Duplas'!$D$50:$D$59,0))),"Semana 5",IFERROR(INDEX('🔄 Rotação Duplas'!$D$64:$D$73,MATCH(D328,'🔄 Rotação Duplas'!$C$64:$C$73,0)),INDEX('🔄 Rotação Duplas'!$C$64:$C$73,MATCH(D328,'🔄 Rotação Duplas'!$D$64:$D$73,0))),"Semana 6",IFERROR(INDEX('🔄 Rotação Duplas'!$D$78:$D$87,MATCH(D328,'🔄 Rotação Duplas'!$C$78:$C$87,0)),INDEX('🔄 Rotação Duplas'!$C$78:$C$87,MATCH(D328,'🔄 Rotação Duplas'!$D$78:$D$87,0))),"Semana 7",IFERROR(INDEX('🔄 Rotação Duplas'!$D$92:$D$101,MATCH(D328,'🔄 Rotação Duplas'!$C$92:$C$101,0)),INDEX('🔄 Rotação Duplas'!$C$92:$C$101,MATCH(D328,'🔄 Rotação Duplas'!$D$92:$D$101,0))),"Semana 8",IFERROR(INDEX('🔄 Rotação Duplas'!$D$106:$D$115,MATCH(D328,'🔄 Rotação Duplas'!$C$106:$C$115,0)),INDEX('🔄 Rotação Duplas'!$C$106:$C$115,MATCH(D328,'🔄 Rotação Duplas'!$D$106:$D$115,0)))),""))</f>
        <v/>
      </c>
      <c r="T328">
        <f t="shared" ref="T328:T391" si="30">IF(OR(D328="",D328="-",S328="",S328="-"),0,COUNTIFS($B$7:$B$646,B328,$D$7:$D$646,D328,$N$7:$N$646,"S")+COUNTIFS($B$7:$B$646,B328,$D$7:$D$646,S328,$N$7:$N$646,"S"))</f>
        <v>0</v>
      </c>
    </row>
    <row r="329" spans="2:20" ht="18" customHeight="1" x14ac:dyDescent="0.2">
      <c r="B329" s="78" t="s">
        <v>99</v>
      </c>
      <c r="C329" s="79" t="str">
        <f t="shared" si="28"/>
        <v>Desafio 17</v>
      </c>
      <c r="D329" s="80" t="str">
        <f>'⚙️ Configuração'!C32</f>
        <v>Filipa Cunha</v>
      </c>
      <c r="E329" s="50">
        <v>0</v>
      </c>
      <c r="F329" s="50">
        <v>0</v>
      </c>
      <c r="G329" s="50">
        <v>0</v>
      </c>
      <c r="H329" s="50">
        <v>0</v>
      </c>
      <c r="I329" s="50">
        <v>0</v>
      </c>
      <c r="J329" s="50">
        <v>0</v>
      </c>
      <c r="K329" s="81">
        <f>(E329*'⚙️ Configuração'!$C$6+F329*'⚙️ Configuração'!$C$7+G329*'⚙️ Configuração'!$C$8+H329*'⚙️ Configuração'!$C$9+I329*'⚙️ Configuração'!$C$10+J329*'⚙️ Configuração'!$C$11)*IF(N329="S",2,1)</f>
        <v>0</v>
      </c>
      <c r="L329" s="90" t="s">
        <v>167</v>
      </c>
      <c r="M329" s="82">
        <f>IF(L329="AT1",'⚙️ Configuração'!$C$14,IF(L329="AT2",'⚙️ Configuração'!$C$15,IF(L329="FI",'⚙️ Configuração'!$C$16,IF(L329="FJ",'⚙️ Configuração'!$C$17,0))))</f>
        <v>0</v>
      </c>
      <c r="N329" s="91" t="s">
        <v>167</v>
      </c>
      <c r="O329" s="92"/>
      <c r="P329" s="83">
        <f>IF(O329="1",'⚙️ Configuração'!$C$21,IF(O329="2",'⚙️ Configuração'!$C$22,IF(O329="3",'⚙️ Configuração'!$C$23,IF(O329="Outro",'⚙️ Configuração'!$C$24,0))))</f>
        <v>0</v>
      </c>
      <c r="Q329" s="84">
        <f t="shared" si="29"/>
        <v>0</v>
      </c>
      <c r="R329" s="40" t="str">
        <f t="shared" si="22"/>
        <v>Semana 1 — ver 🔄</v>
      </c>
      <c r="S329" t="str" cm="1">
        <f t="array" ref="S329">IF(D329="","",IFERROR(_xlfn.SWITCH(B329,"Semana 1",IFERROR(INDEX('🔄 Rotação Duplas'!$D$8:$D$17,MATCH(D329,'🔄 Rotação Duplas'!$C$8:$C$17,0)),INDEX('🔄 Rotação Duplas'!$C$8:$C$17,MATCH(D329,'🔄 Rotação Duplas'!$D$8:$D$17,0))),"Semana 2",IFERROR(INDEX('🔄 Rotação Duplas'!$D$22:$D$31,MATCH(D329,'🔄 Rotação Duplas'!$C$22:$C$31,0)),INDEX('🔄 Rotação Duplas'!$C$22:$C$31,MATCH(D329,'🔄 Rotação Duplas'!$D$22:$D$31,0))),"Semana 3",IFERROR(INDEX('🔄 Rotação Duplas'!$D$36:$D$45,MATCH(D329,'🔄 Rotação Duplas'!$C$36:$C$45,0)),INDEX('🔄 Rotação Duplas'!$C$36:$C$45,MATCH(D329,'🔄 Rotação Duplas'!$D$36:$D$45,0))),"Semana 4",IFERROR(INDEX('🔄 Rotação Duplas'!$D$50:$D$59,MATCH(D329,'🔄 Rotação Duplas'!$C$50:$C$59,0)),INDEX('🔄 Rotação Duplas'!$C$50:$C$59,MATCH(D329,'🔄 Rotação Duplas'!$D$50:$D$59,0))),"Semana 5",IFERROR(INDEX('🔄 Rotação Duplas'!$D$64:$D$73,MATCH(D329,'🔄 Rotação Duplas'!$C$64:$C$73,0)),INDEX('🔄 Rotação Duplas'!$C$64:$C$73,MATCH(D329,'🔄 Rotação Duplas'!$D$64:$D$73,0))),"Semana 6",IFERROR(INDEX('🔄 Rotação Duplas'!$D$78:$D$87,MATCH(D329,'🔄 Rotação Duplas'!$C$78:$C$87,0)),INDEX('🔄 Rotação Duplas'!$C$78:$C$87,MATCH(D329,'🔄 Rotação Duplas'!$D$78:$D$87,0))),"Semana 7",IFERROR(INDEX('🔄 Rotação Duplas'!$D$92:$D$101,MATCH(D329,'🔄 Rotação Duplas'!$C$92:$C$101,0)),INDEX('🔄 Rotação Duplas'!$C$92:$C$101,MATCH(D329,'🔄 Rotação Duplas'!$D$92:$D$101,0))),"Semana 8",IFERROR(INDEX('🔄 Rotação Duplas'!$D$106:$D$115,MATCH(D329,'🔄 Rotação Duplas'!$C$106:$C$115,0)),INDEX('🔄 Rotação Duplas'!$C$106:$C$115,MATCH(D329,'🔄 Rotação Duplas'!$D$106:$D$115,0)))),""))</f>
        <v/>
      </c>
      <c r="T329">
        <f t="shared" si="30"/>
        <v>0</v>
      </c>
    </row>
    <row r="330" spans="2:20" ht="18" customHeight="1" x14ac:dyDescent="0.2">
      <c r="B330" s="85" t="s">
        <v>99</v>
      </c>
      <c r="C330" s="86" t="str">
        <f t="shared" si="28"/>
        <v>Desafio 17</v>
      </c>
      <c r="D330" s="87" t="str">
        <f>'⚙️ Configuração'!C33</f>
        <v>Helena Rocha</v>
      </c>
      <c r="E330" s="50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81">
        <f>(E330*'⚙️ Configuração'!$C$6+F330*'⚙️ Configuração'!$C$7+G330*'⚙️ Configuração'!$C$8+H330*'⚙️ Configuração'!$C$9+I330*'⚙️ Configuração'!$C$10+J330*'⚙️ Configuração'!$C$11)*IF(N330="S",2,1)</f>
        <v>0</v>
      </c>
      <c r="L330" s="90" t="s">
        <v>167</v>
      </c>
      <c r="M330" s="82">
        <f>IF(L330="AT1",'⚙️ Configuração'!$C$14,IF(L330="AT2",'⚙️ Configuração'!$C$15,IF(L330="FI",'⚙️ Configuração'!$C$16,IF(L330="FJ",'⚙️ Configuração'!$C$17,0))))</f>
        <v>0</v>
      </c>
      <c r="N330" s="91" t="s">
        <v>167</v>
      </c>
      <c r="O330" s="92"/>
      <c r="P330" s="83">
        <f>IF(O330="1",'⚙️ Configuração'!$C$21,IF(O330="2",'⚙️ Configuração'!$C$22,IF(O330="3",'⚙️ Configuração'!$C$23,IF(O330="Outro",'⚙️ Configuração'!$C$24,0))))</f>
        <v>0</v>
      </c>
      <c r="Q330" s="84">
        <f t="shared" si="29"/>
        <v>0</v>
      </c>
      <c r="R330" s="40" t="str">
        <f t="shared" si="22"/>
        <v>Semana 1 — ver 🔄</v>
      </c>
      <c r="S330" t="str" cm="1">
        <f t="array" ref="S330">IF(D330="","",IFERROR(_xlfn.SWITCH(B330,"Semana 1",IFERROR(INDEX('🔄 Rotação Duplas'!$D$8:$D$17,MATCH(D330,'🔄 Rotação Duplas'!$C$8:$C$17,0)),INDEX('🔄 Rotação Duplas'!$C$8:$C$17,MATCH(D330,'🔄 Rotação Duplas'!$D$8:$D$17,0))),"Semana 2",IFERROR(INDEX('🔄 Rotação Duplas'!$D$22:$D$31,MATCH(D330,'🔄 Rotação Duplas'!$C$22:$C$31,0)),INDEX('🔄 Rotação Duplas'!$C$22:$C$31,MATCH(D330,'🔄 Rotação Duplas'!$D$22:$D$31,0))),"Semana 3",IFERROR(INDEX('🔄 Rotação Duplas'!$D$36:$D$45,MATCH(D330,'🔄 Rotação Duplas'!$C$36:$C$45,0)),INDEX('🔄 Rotação Duplas'!$C$36:$C$45,MATCH(D330,'🔄 Rotação Duplas'!$D$36:$D$45,0))),"Semana 4",IFERROR(INDEX('🔄 Rotação Duplas'!$D$50:$D$59,MATCH(D330,'🔄 Rotação Duplas'!$C$50:$C$59,0)),INDEX('🔄 Rotação Duplas'!$C$50:$C$59,MATCH(D330,'🔄 Rotação Duplas'!$D$50:$D$59,0))),"Semana 5",IFERROR(INDEX('🔄 Rotação Duplas'!$D$64:$D$73,MATCH(D330,'🔄 Rotação Duplas'!$C$64:$C$73,0)),INDEX('🔄 Rotação Duplas'!$C$64:$C$73,MATCH(D330,'🔄 Rotação Duplas'!$D$64:$D$73,0))),"Semana 6",IFERROR(INDEX('🔄 Rotação Duplas'!$D$78:$D$87,MATCH(D330,'🔄 Rotação Duplas'!$C$78:$C$87,0)),INDEX('🔄 Rotação Duplas'!$C$78:$C$87,MATCH(D330,'🔄 Rotação Duplas'!$D$78:$D$87,0))),"Semana 7",IFERROR(INDEX('🔄 Rotação Duplas'!$D$92:$D$101,MATCH(D330,'🔄 Rotação Duplas'!$C$92:$C$101,0)),INDEX('🔄 Rotação Duplas'!$C$92:$C$101,MATCH(D330,'🔄 Rotação Duplas'!$D$92:$D$101,0))),"Semana 8",IFERROR(INDEX('🔄 Rotação Duplas'!$D$106:$D$115,MATCH(D330,'🔄 Rotação Duplas'!$C$106:$C$115,0)),INDEX('🔄 Rotação Duplas'!$C$106:$C$115,MATCH(D330,'🔄 Rotação Duplas'!$D$106:$D$115,0)))),""))</f>
        <v/>
      </c>
      <c r="T330">
        <f t="shared" si="30"/>
        <v>0</v>
      </c>
    </row>
    <row r="331" spans="2:20" ht="18" customHeight="1" x14ac:dyDescent="0.2">
      <c r="B331" s="78" t="s">
        <v>99</v>
      </c>
      <c r="C331" s="79" t="str">
        <f t="shared" si="28"/>
        <v>Desafio 17</v>
      </c>
      <c r="D331" s="80" t="str">
        <f>'⚙️ Configuração'!C34</f>
        <v>João Xavier</v>
      </c>
      <c r="E331" s="50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81">
        <f>(E331*'⚙️ Configuração'!$C$6+F331*'⚙️ Configuração'!$C$7+G331*'⚙️ Configuração'!$C$8+H331*'⚙️ Configuração'!$C$9+I331*'⚙️ Configuração'!$C$10+J331*'⚙️ Configuração'!$C$11)*IF(N331="S",2,1)</f>
        <v>0</v>
      </c>
      <c r="L331" s="90" t="s">
        <v>167</v>
      </c>
      <c r="M331" s="82">
        <f>IF(L331="AT1",'⚙️ Configuração'!$C$14,IF(L331="AT2",'⚙️ Configuração'!$C$15,IF(L331="FI",'⚙️ Configuração'!$C$16,IF(L331="FJ",'⚙️ Configuração'!$C$17,0))))</f>
        <v>0</v>
      </c>
      <c r="N331" s="91" t="s">
        <v>167</v>
      </c>
      <c r="O331" s="92"/>
      <c r="P331" s="83">
        <f>IF(O331="1",'⚙️ Configuração'!$C$21,IF(O331="2",'⚙️ Configuração'!$C$22,IF(O331="3",'⚙️ Configuração'!$C$23,IF(O331="Outro",'⚙️ Configuração'!$C$24,0))))</f>
        <v>0</v>
      </c>
      <c r="Q331" s="84">
        <f t="shared" si="29"/>
        <v>0</v>
      </c>
      <c r="R331" s="40" t="str">
        <f t="shared" si="22"/>
        <v>Semana 1 — ver 🔄</v>
      </c>
      <c r="S331" t="str" cm="1">
        <f t="array" ref="S331">IF(D331="","",IFERROR(_xlfn.SWITCH(B331,"Semana 1",IFERROR(INDEX('🔄 Rotação Duplas'!$D$8:$D$17,MATCH(D331,'🔄 Rotação Duplas'!$C$8:$C$17,0)),INDEX('🔄 Rotação Duplas'!$C$8:$C$17,MATCH(D331,'🔄 Rotação Duplas'!$D$8:$D$17,0))),"Semana 2",IFERROR(INDEX('🔄 Rotação Duplas'!$D$22:$D$31,MATCH(D331,'🔄 Rotação Duplas'!$C$22:$C$31,0)),INDEX('🔄 Rotação Duplas'!$C$22:$C$31,MATCH(D331,'🔄 Rotação Duplas'!$D$22:$D$31,0))),"Semana 3",IFERROR(INDEX('🔄 Rotação Duplas'!$D$36:$D$45,MATCH(D331,'🔄 Rotação Duplas'!$C$36:$C$45,0)),INDEX('🔄 Rotação Duplas'!$C$36:$C$45,MATCH(D331,'🔄 Rotação Duplas'!$D$36:$D$45,0))),"Semana 4",IFERROR(INDEX('🔄 Rotação Duplas'!$D$50:$D$59,MATCH(D331,'🔄 Rotação Duplas'!$C$50:$C$59,0)),INDEX('🔄 Rotação Duplas'!$C$50:$C$59,MATCH(D331,'🔄 Rotação Duplas'!$D$50:$D$59,0))),"Semana 5",IFERROR(INDEX('🔄 Rotação Duplas'!$D$64:$D$73,MATCH(D331,'🔄 Rotação Duplas'!$C$64:$C$73,0)),INDEX('🔄 Rotação Duplas'!$C$64:$C$73,MATCH(D331,'🔄 Rotação Duplas'!$D$64:$D$73,0))),"Semana 6",IFERROR(INDEX('🔄 Rotação Duplas'!$D$78:$D$87,MATCH(D331,'🔄 Rotação Duplas'!$C$78:$C$87,0)),INDEX('🔄 Rotação Duplas'!$C$78:$C$87,MATCH(D331,'🔄 Rotação Duplas'!$D$78:$D$87,0))),"Semana 7",IFERROR(INDEX('🔄 Rotação Duplas'!$D$92:$D$101,MATCH(D331,'🔄 Rotação Duplas'!$C$92:$C$101,0)),INDEX('🔄 Rotação Duplas'!$C$92:$C$101,MATCH(D331,'🔄 Rotação Duplas'!$D$92:$D$101,0))),"Semana 8",IFERROR(INDEX('🔄 Rotação Duplas'!$D$106:$D$115,MATCH(D331,'🔄 Rotação Duplas'!$C$106:$C$115,0)),INDEX('🔄 Rotação Duplas'!$C$106:$C$115,MATCH(D331,'🔄 Rotação Duplas'!$D$106:$D$115,0)))),""))</f>
        <v/>
      </c>
      <c r="T331">
        <f t="shared" si="30"/>
        <v>0</v>
      </c>
    </row>
    <row r="332" spans="2:20" ht="18" customHeight="1" x14ac:dyDescent="0.2">
      <c r="B332" s="85" t="s">
        <v>99</v>
      </c>
      <c r="C332" s="86" t="str">
        <f t="shared" si="28"/>
        <v>Desafio 17</v>
      </c>
      <c r="D332" s="87" t="str">
        <f>'⚙️ Configuração'!C35</f>
        <v>Tomás Carlos</v>
      </c>
      <c r="E332" s="50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81">
        <f>(E332*'⚙️ Configuração'!$C$6+F332*'⚙️ Configuração'!$C$7+G332*'⚙️ Configuração'!$C$8+H332*'⚙️ Configuração'!$C$9+I332*'⚙️ Configuração'!$C$10+J332*'⚙️ Configuração'!$C$11)*IF(N332="S",2,1)</f>
        <v>0</v>
      </c>
      <c r="L332" s="90" t="s">
        <v>167</v>
      </c>
      <c r="M332" s="82">
        <f>IF(L332="AT1",'⚙️ Configuração'!$C$14,IF(L332="AT2",'⚙️ Configuração'!$C$15,IF(L332="FI",'⚙️ Configuração'!$C$16,IF(L332="FJ",'⚙️ Configuração'!$C$17,0))))</f>
        <v>0</v>
      </c>
      <c r="N332" s="91" t="s">
        <v>167</v>
      </c>
      <c r="O332" s="92"/>
      <c r="P332" s="83">
        <f>IF(O332="1",'⚙️ Configuração'!$C$21,IF(O332="2",'⚙️ Configuração'!$C$22,IF(O332="3",'⚙️ Configuração'!$C$23,IF(O332="Outro",'⚙️ Configuração'!$C$24,0))))</f>
        <v>0</v>
      </c>
      <c r="Q332" s="84">
        <f t="shared" si="29"/>
        <v>0</v>
      </c>
      <c r="R332" s="40" t="str">
        <f t="shared" si="22"/>
        <v>Semana 1 — ver 🔄</v>
      </c>
      <c r="S332" t="str" cm="1">
        <f t="array" ref="S332">IF(D332="","",IFERROR(_xlfn.SWITCH(B332,"Semana 1",IFERROR(INDEX('🔄 Rotação Duplas'!$D$8:$D$17,MATCH(D332,'🔄 Rotação Duplas'!$C$8:$C$17,0)),INDEX('🔄 Rotação Duplas'!$C$8:$C$17,MATCH(D332,'🔄 Rotação Duplas'!$D$8:$D$17,0))),"Semana 2",IFERROR(INDEX('🔄 Rotação Duplas'!$D$22:$D$31,MATCH(D332,'🔄 Rotação Duplas'!$C$22:$C$31,0)),INDEX('🔄 Rotação Duplas'!$C$22:$C$31,MATCH(D332,'🔄 Rotação Duplas'!$D$22:$D$31,0))),"Semana 3",IFERROR(INDEX('🔄 Rotação Duplas'!$D$36:$D$45,MATCH(D332,'🔄 Rotação Duplas'!$C$36:$C$45,0)),INDEX('🔄 Rotação Duplas'!$C$36:$C$45,MATCH(D332,'🔄 Rotação Duplas'!$D$36:$D$45,0))),"Semana 4",IFERROR(INDEX('🔄 Rotação Duplas'!$D$50:$D$59,MATCH(D332,'🔄 Rotação Duplas'!$C$50:$C$59,0)),INDEX('🔄 Rotação Duplas'!$C$50:$C$59,MATCH(D332,'🔄 Rotação Duplas'!$D$50:$D$59,0))),"Semana 5",IFERROR(INDEX('🔄 Rotação Duplas'!$D$64:$D$73,MATCH(D332,'🔄 Rotação Duplas'!$C$64:$C$73,0)),INDEX('🔄 Rotação Duplas'!$C$64:$C$73,MATCH(D332,'🔄 Rotação Duplas'!$D$64:$D$73,0))),"Semana 6",IFERROR(INDEX('🔄 Rotação Duplas'!$D$78:$D$87,MATCH(D332,'🔄 Rotação Duplas'!$C$78:$C$87,0)),INDEX('🔄 Rotação Duplas'!$C$78:$C$87,MATCH(D332,'🔄 Rotação Duplas'!$D$78:$D$87,0))),"Semana 7",IFERROR(INDEX('🔄 Rotação Duplas'!$D$92:$D$101,MATCH(D332,'🔄 Rotação Duplas'!$C$92:$C$101,0)),INDEX('🔄 Rotação Duplas'!$C$92:$C$101,MATCH(D332,'🔄 Rotação Duplas'!$D$92:$D$101,0))),"Semana 8",IFERROR(INDEX('🔄 Rotação Duplas'!$D$106:$D$115,MATCH(D332,'🔄 Rotação Duplas'!$C$106:$C$115,0)),INDEX('🔄 Rotação Duplas'!$C$106:$C$115,MATCH(D332,'🔄 Rotação Duplas'!$D$106:$D$115,0)))),""))</f>
        <v/>
      </c>
      <c r="T332">
        <f t="shared" si="30"/>
        <v>0</v>
      </c>
    </row>
    <row r="333" spans="2:20" ht="18" customHeight="1" x14ac:dyDescent="0.2">
      <c r="B333" s="78" t="s">
        <v>99</v>
      </c>
      <c r="C333" s="79" t="str">
        <f t="shared" si="28"/>
        <v>Desafio 17</v>
      </c>
      <c r="D333" s="80" t="str">
        <f>'⚙️ Configuração'!C36</f>
        <v>Alexandra Correia</v>
      </c>
      <c r="E333" s="50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81">
        <f>(E333*'⚙️ Configuração'!$C$6+F333*'⚙️ Configuração'!$C$7+G333*'⚙️ Configuração'!$C$8+H333*'⚙️ Configuração'!$C$9+I333*'⚙️ Configuração'!$C$10+J333*'⚙️ Configuração'!$C$11)*IF(N333="S",2,1)</f>
        <v>0</v>
      </c>
      <c r="L333" s="90" t="s">
        <v>167</v>
      </c>
      <c r="M333" s="82">
        <f>IF(L333="AT1",'⚙️ Configuração'!$C$14,IF(L333="AT2",'⚙️ Configuração'!$C$15,IF(L333="FI",'⚙️ Configuração'!$C$16,IF(L333="FJ",'⚙️ Configuração'!$C$17,0))))</f>
        <v>0</v>
      </c>
      <c r="N333" s="91" t="s">
        <v>167</v>
      </c>
      <c r="O333" s="92"/>
      <c r="P333" s="83">
        <f>IF(O333="1",'⚙️ Configuração'!$C$21,IF(O333="2",'⚙️ Configuração'!$C$22,IF(O333="3",'⚙️ Configuração'!$C$23,IF(O333="Outro",'⚙️ Configuração'!$C$24,0))))</f>
        <v>0</v>
      </c>
      <c r="Q333" s="84">
        <f t="shared" si="29"/>
        <v>0</v>
      </c>
      <c r="R333" s="40" t="str">
        <f t="shared" si="22"/>
        <v>Semana 1 — ver 🔄</v>
      </c>
      <c r="S333" t="str" cm="1">
        <f t="array" ref="S333">IF(D333="","",IFERROR(_xlfn.SWITCH(B333,"Semana 1",IFERROR(INDEX('🔄 Rotação Duplas'!$D$8:$D$17,MATCH(D333,'🔄 Rotação Duplas'!$C$8:$C$17,0)),INDEX('🔄 Rotação Duplas'!$C$8:$C$17,MATCH(D333,'🔄 Rotação Duplas'!$D$8:$D$17,0))),"Semana 2",IFERROR(INDEX('🔄 Rotação Duplas'!$D$22:$D$31,MATCH(D333,'🔄 Rotação Duplas'!$C$22:$C$31,0)),INDEX('🔄 Rotação Duplas'!$C$22:$C$31,MATCH(D333,'🔄 Rotação Duplas'!$D$22:$D$31,0))),"Semana 3",IFERROR(INDEX('🔄 Rotação Duplas'!$D$36:$D$45,MATCH(D333,'🔄 Rotação Duplas'!$C$36:$C$45,0)),INDEX('🔄 Rotação Duplas'!$C$36:$C$45,MATCH(D333,'🔄 Rotação Duplas'!$D$36:$D$45,0))),"Semana 4",IFERROR(INDEX('🔄 Rotação Duplas'!$D$50:$D$59,MATCH(D333,'🔄 Rotação Duplas'!$C$50:$C$59,0)),INDEX('🔄 Rotação Duplas'!$C$50:$C$59,MATCH(D333,'🔄 Rotação Duplas'!$D$50:$D$59,0))),"Semana 5",IFERROR(INDEX('🔄 Rotação Duplas'!$D$64:$D$73,MATCH(D333,'🔄 Rotação Duplas'!$C$64:$C$73,0)),INDEX('🔄 Rotação Duplas'!$C$64:$C$73,MATCH(D333,'🔄 Rotação Duplas'!$D$64:$D$73,0))),"Semana 6",IFERROR(INDEX('🔄 Rotação Duplas'!$D$78:$D$87,MATCH(D333,'🔄 Rotação Duplas'!$C$78:$C$87,0)),INDEX('🔄 Rotação Duplas'!$C$78:$C$87,MATCH(D333,'🔄 Rotação Duplas'!$D$78:$D$87,0))),"Semana 7",IFERROR(INDEX('🔄 Rotação Duplas'!$D$92:$D$101,MATCH(D333,'🔄 Rotação Duplas'!$C$92:$C$101,0)),INDEX('🔄 Rotação Duplas'!$C$92:$C$101,MATCH(D333,'🔄 Rotação Duplas'!$D$92:$D$101,0))),"Semana 8",IFERROR(INDEX('🔄 Rotação Duplas'!$D$106:$D$115,MATCH(D333,'🔄 Rotação Duplas'!$C$106:$C$115,0)),INDEX('🔄 Rotação Duplas'!$C$106:$C$115,MATCH(D333,'🔄 Rotação Duplas'!$D$106:$D$115,0)))),""))</f>
        <v/>
      </c>
      <c r="T333">
        <f t="shared" si="30"/>
        <v>0</v>
      </c>
    </row>
    <row r="334" spans="2:20" ht="18" customHeight="1" x14ac:dyDescent="0.2">
      <c r="B334" s="85" t="s">
        <v>99</v>
      </c>
      <c r="C334" s="86" t="str">
        <f t="shared" si="28"/>
        <v>Desafio 17</v>
      </c>
      <c r="D334" s="87" t="str">
        <f>'⚙️ Configuração'!C37</f>
        <v>Carla Barata</v>
      </c>
      <c r="E334" s="50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81">
        <f>(E334*'⚙️ Configuração'!$C$6+F334*'⚙️ Configuração'!$C$7+G334*'⚙️ Configuração'!$C$8+H334*'⚙️ Configuração'!$C$9+I334*'⚙️ Configuração'!$C$10+J334*'⚙️ Configuração'!$C$11)*IF(N334="S",2,1)</f>
        <v>0</v>
      </c>
      <c r="L334" s="90" t="s">
        <v>167</v>
      </c>
      <c r="M334" s="82">
        <f>IF(L334="AT1",'⚙️ Configuração'!$C$14,IF(L334="AT2",'⚙️ Configuração'!$C$15,IF(L334="FI",'⚙️ Configuração'!$C$16,IF(L334="FJ",'⚙️ Configuração'!$C$17,0))))</f>
        <v>0</v>
      </c>
      <c r="N334" s="91" t="s">
        <v>167</v>
      </c>
      <c r="O334" s="92"/>
      <c r="P334" s="83">
        <f>IF(O334="1",'⚙️ Configuração'!$C$21,IF(O334="2",'⚙️ Configuração'!$C$22,IF(O334="3",'⚙️ Configuração'!$C$23,IF(O334="Outro",'⚙️ Configuração'!$C$24,0))))</f>
        <v>0</v>
      </c>
      <c r="Q334" s="84">
        <f t="shared" si="29"/>
        <v>0</v>
      </c>
      <c r="R334" s="40" t="str">
        <f t="shared" si="22"/>
        <v>Semana 1 — ver 🔄</v>
      </c>
      <c r="S334" t="str" cm="1">
        <f t="array" ref="S334">IF(D334="","",IFERROR(_xlfn.SWITCH(B334,"Semana 1",IFERROR(INDEX('🔄 Rotação Duplas'!$D$8:$D$17,MATCH(D334,'🔄 Rotação Duplas'!$C$8:$C$17,0)),INDEX('🔄 Rotação Duplas'!$C$8:$C$17,MATCH(D334,'🔄 Rotação Duplas'!$D$8:$D$17,0))),"Semana 2",IFERROR(INDEX('🔄 Rotação Duplas'!$D$22:$D$31,MATCH(D334,'🔄 Rotação Duplas'!$C$22:$C$31,0)),INDEX('🔄 Rotação Duplas'!$C$22:$C$31,MATCH(D334,'🔄 Rotação Duplas'!$D$22:$D$31,0))),"Semana 3",IFERROR(INDEX('🔄 Rotação Duplas'!$D$36:$D$45,MATCH(D334,'🔄 Rotação Duplas'!$C$36:$C$45,0)),INDEX('🔄 Rotação Duplas'!$C$36:$C$45,MATCH(D334,'🔄 Rotação Duplas'!$D$36:$D$45,0))),"Semana 4",IFERROR(INDEX('🔄 Rotação Duplas'!$D$50:$D$59,MATCH(D334,'🔄 Rotação Duplas'!$C$50:$C$59,0)),INDEX('🔄 Rotação Duplas'!$C$50:$C$59,MATCH(D334,'🔄 Rotação Duplas'!$D$50:$D$59,0))),"Semana 5",IFERROR(INDEX('🔄 Rotação Duplas'!$D$64:$D$73,MATCH(D334,'🔄 Rotação Duplas'!$C$64:$C$73,0)),INDEX('🔄 Rotação Duplas'!$C$64:$C$73,MATCH(D334,'🔄 Rotação Duplas'!$D$64:$D$73,0))),"Semana 6",IFERROR(INDEX('🔄 Rotação Duplas'!$D$78:$D$87,MATCH(D334,'🔄 Rotação Duplas'!$C$78:$C$87,0)),INDEX('🔄 Rotação Duplas'!$C$78:$C$87,MATCH(D334,'🔄 Rotação Duplas'!$D$78:$D$87,0))),"Semana 7",IFERROR(INDEX('🔄 Rotação Duplas'!$D$92:$D$101,MATCH(D334,'🔄 Rotação Duplas'!$C$92:$C$101,0)),INDEX('🔄 Rotação Duplas'!$C$92:$C$101,MATCH(D334,'🔄 Rotação Duplas'!$D$92:$D$101,0))),"Semana 8",IFERROR(INDEX('🔄 Rotação Duplas'!$D$106:$D$115,MATCH(D334,'🔄 Rotação Duplas'!$C$106:$C$115,0)),INDEX('🔄 Rotação Duplas'!$C$106:$C$115,MATCH(D334,'🔄 Rotação Duplas'!$D$106:$D$115,0)))),""))</f>
        <v/>
      </c>
      <c r="T334">
        <f t="shared" si="30"/>
        <v>0</v>
      </c>
    </row>
    <row r="335" spans="2:20" ht="18" customHeight="1" x14ac:dyDescent="0.2">
      <c r="B335" s="78" t="s">
        <v>99</v>
      </c>
      <c r="C335" s="79" t="str">
        <f t="shared" si="28"/>
        <v>Desafio 17</v>
      </c>
      <c r="D335" s="80" t="str">
        <f>'⚙️ Configuração'!C38</f>
        <v>Denise Filipe</v>
      </c>
      <c r="E335" s="50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81">
        <f>(E335*'⚙️ Configuração'!$C$6+F335*'⚙️ Configuração'!$C$7+G335*'⚙️ Configuração'!$C$8+H335*'⚙️ Configuração'!$C$9+I335*'⚙️ Configuração'!$C$10+J335*'⚙️ Configuração'!$C$11)*IF(N335="S",2,1)</f>
        <v>0</v>
      </c>
      <c r="L335" s="90" t="s">
        <v>167</v>
      </c>
      <c r="M335" s="82">
        <f>IF(L335="AT1",'⚙️ Configuração'!$C$14,IF(L335="AT2",'⚙️ Configuração'!$C$15,IF(L335="FI",'⚙️ Configuração'!$C$16,IF(L335="FJ",'⚙️ Configuração'!$C$17,0))))</f>
        <v>0</v>
      </c>
      <c r="N335" s="91" t="s">
        <v>167</v>
      </c>
      <c r="O335" s="92"/>
      <c r="P335" s="83">
        <f>IF(O335="1",'⚙️ Configuração'!$C$21,IF(O335="2",'⚙️ Configuração'!$C$22,IF(O335="3",'⚙️ Configuração'!$C$23,IF(O335="Outro",'⚙️ Configuração'!$C$24,0))))</f>
        <v>0</v>
      </c>
      <c r="Q335" s="84">
        <f t="shared" si="29"/>
        <v>0</v>
      </c>
      <c r="R335" s="40" t="str">
        <f t="shared" si="22"/>
        <v>Semana 1 — ver 🔄</v>
      </c>
      <c r="S335" t="str" cm="1">
        <f t="array" ref="S335">IF(D335="","",IFERROR(_xlfn.SWITCH(B335,"Semana 1",IFERROR(INDEX('🔄 Rotação Duplas'!$D$8:$D$17,MATCH(D335,'🔄 Rotação Duplas'!$C$8:$C$17,0)),INDEX('🔄 Rotação Duplas'!$C$8:$C$17,MATCH(D335,'🔄 Rotação Duplas'!$D$8:$D$17,0))),"Semana 2",IFERROR(INDEX('🔄 Rotação Duplas'!$D$22:$D$31,MATCH(D335,'🔄 Rotação Duplas'!$C$22:$C$31,0)),INDEX('🔄 Rotação Duplas'!$C$22:$C$31,MATCH(D335,'🔄 Rotação Duplas'!$D$22:$D$31,0))),"Semana 3",IFERROR(INDEX('🔄 Rotação Duplas'!$D$36:$D$45,MATCH(D335,'🔄 Rotação Duplas'!$C$36:$C$45,0)),INDEX('🔄 Rotação Duplas'!$C$36:$C$45,MATCH(D335,'🔄 Rotação Duplas'!$D$36:$D$45,0))),"Semana 4",IFERROR(INDEX('🔄 Rotação Duplas'!$D$50:$D$59,MATCH(D335,'🔄 Rotação Duplas'!$C$50:$C$59,0)),INDEX('🔄 Rotação Duplas'!$C$50:$C$59,MATCH(D335,'🔄 Rotação Duplas'!$D$50:$D$59,0))),"Semana 5",IFERROR(INDEX('🔄 Rotação Duplas'!$D$64:$D$73,MATCH(D335,'🔄 Rotação Duplas'!$C$64:$C$73,0)),INDEX('🔄 Rotação Duplas'!$C$64:$C$73,MATCH(D335,'🔄 Rotação Duplas'!$D$64:$D$73,0))),"Semana 6",IFERROR(INDEX('🔄 Rotação Duplas'!$D$78:$D$87,MATCH(D335,'🔄 Rotação Duplas'!$C$78:$C$87,0)),INDEX('🔄 Rotação Duplas'!$C$78:$C$87,MATCH(D335,'🔄 Rotação Duplas'!$D$78:$D$87,0))),"Semana 7",IFERROR(INDEX('🔄 Rotação Duplas'!$D$92:$D$101,MATCH(D335,'🔄 Rotação Duplas'!$C$92:$C$101,0)),INDEX('🔄 Rotação Duplas'!$C$92:$C$101,MATCH(D335,'🔄 Rotação Duplas'!$D$92:$D$101,0))),"Semana 8",IFERROR(INDEX('🔄 Rotação Duplas'!$D$106:$D$115,MATCH(D335,'🔄 Rotação Duplas'!$C$106:$C$115,0)),INDEX('🔄 Rotação Duplas'!$C$106:$C$115,MATCH(D335,'🔄 Rotação Duplas'!$D$106:$D$115,0)))),""))</f>
        <v/>
      </c>
      <c r="T335">
        <f t="shared" si="30"/>
        <v>0</v>
      </c>
    </row>
    <row r="336" spans="2:20" ht="18" customHeight="1" x14ac:dyDescent="0.2">
      <c r="B336" s="85" t="s">
        <v>99</v>
      </c>
      <c r="C336" s="86" t="str">
        <f t="shared" si="28"/>
        <v>Desafio 17</v>
      </c>
      <c r="D336" s="87" t="str">
        <f>'⚙️ Configuração'!C39</f>
        <v>Fátima Rodriguez</v>
      </c>
      <c r="E336" s="50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81">
        <f>(E336*'⚙️ Configuração'!$C$6+F336*'⚙️ Configuração'!$C$7+G336*'⚙️ Configuração'!$C$8+H336*'⚙️ Configuração'!$C$9+I336*'⚙️ Configuração'!$C$10+J336*'⚙️ Configuração'!$C$11)*IF(N336="S",2,1)</f>
        <v>0</v>
      </c>
      <c r="L336" s="90" t="s">
        <v>167</v>
      </c>
      <c r="M336" s="82">
        <f>IF(L336="AT1",'⚙️ Configuração'!$C$14,IF(L336="AT2",'⚙️ Configuração'!$C$15,IF(L336="FI",'⚙️ Configuração'!$C$16,IF(L336="FJ",'⚙️ Configuração'!$C$17,0))))</f>
        <v>0</v>
      </c>
      <c r="N336" s="91" t="s">
        <v>167</v>
      </c>
      <c r="O336" s="92"/>
      <c r="P336" s="83">
        <f>IF(O336="1",'⚙️ Configuração'!$C$21,IF(O336="2",'⚙️ Configuração'!$C$22,IF(O336="3",'⚙️ Configuração'!$C$23,IF(O336="Outro",'⚙️ Configuração'!$C$24,0))))</f>
        <v>0</v>
      </c>
      <c r="Q336" s="84">
        <f t="shared" si="29"/>
        <v>0</v>
      </c>
      <c r="R336" s="40" t="str">
        <f t="shared" si="22"/>
        <v>Semana 1 — ver 🔄</v>
      </c>
      <c r="S336" t="str" cm="1">
        <f t="array" ref="S336">IF(D336="","",IFERROR(_xlfn.SWITCH(B336,"Semana 1",IFERROR(INDEX('🔄 Rotação Duplas'!$D$8:$D$17,MATCH(D336,'🔄 Rotação Duplas'!$C$8:$C$17,0)),INDEX('🔄 Rotação Duplas'!$C$8:$C$17,MATCH(D336,'🔄 Rotação Duplas'!$D$8:$D$17,0))),"Semana 2",IFERROR(INDEX('🔄 Rotação Duplas'!$D$22:$D$31,MATCH(D336,'🔄 Rotação Duplas'!$C$22:$C$31,0)),INDEX('🔄 Rotação Duplas'!$C$22:$C$31,MATCH(D336,'🔄 Rotação Duplas'!$D$22:$D$31,0))),"Semana 3",IFERROR(INDEX('🔄 Rotação Duplas'!$D$36:$D$45,MATCH(D336,'🔄 Rotação Duplas'!$C$36:$C$45,0)),INDEX('🔄 Rotação Duplas'!$C$36:$C$45,MATCH(D336,'🔄 Rotação Duplas'!$D$36:$D$45,0))),"Semana 4",IFERROR(INDEX('🔄 Rotação Duplas'!$D$50:$D$59,MATCH(D336,'🔄 Rotação Duplas'!$C$50:$C$59,0)),INDEX('🔄 Rotação Duplas'!$C$50:$C$59,MATCH(D336,'🔄 Rotação Duplas'!$D$50:$D$59,0))),"Semana 5",IFERROR(INDEX('🔄 Rotação Duplas'!$D$64:$D$73,MATCH(D336,'🔄 Rotação Duplas'!$C$64:$C$73,0)),INDEX('🔄 Rotação Duplas'!$C$64:$C$73,MATCH(D336,'🔄 Rotação Duplas'!$D$64:$D$73,0))),"Semana 6",IFERROR(INDEX('🔄 Rotação Duplas'!$D$78:$D$87,MATCH(D336,'🔄 Rotação Duplas'!$C$78:$C$87,0)),INDEX('🔄 Rotação Duplas'!$C$78:$C$87,MATCH(D336,'🔄 Rotação Duplas'!$D$78:$D$87,0))),"Semana 7",IFERROR(INDEX('🔄 Rotação Duplas'!$D$92:$D$101,MATCH(D336,'🔄 Rotação Duplas'!$C$92:$C$101,0)),INDEX('🔄 Rotação Duplas'!$C$92:$C$101,MATCH(D336,'🔄 Rotação Duplas'!$D$92:$D$101,0))),"Semana 8",IFERROR(INDEX('🔄 Rotação Duplas'!$D$106:$D$115,MATCH(D336,'🔄 Rotação Duplas'!$C$106:$C$115,0)),INDEX('🔄 Rotação Duplas'!$C$106:$C$115,MATCH(D336,'🔄 Rotação Duplas'!$D$106:$D$115,0)))),""))</f>
        <v/>
      </c>
      <c r="T336">
        <f t="shared" si="30"/>
        <v>0</v>
      </c>
    </row>
    <row r="337" spans="2:20" ht="18" customHeight="1" x14ac:dyDescent="0.2">
      <c r="B337" s="78" t="s">
        <v>99</v>
      </c>
      <c r="C337" s="79" t="str">
        <f t="shared" si="28"/>
        <v>Desafio 17</v>
      </c>
      <c r="D337" s="80" t="str">
        <f>'⚙️ Configuração'!C40</f>
        <v>Maria João Travassos</v>
      </c>
      <c r="E337" s="50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81">
        <f>(E337*'⚙️ Configuração'!$C$6+F337*'⚙️ Configuração'!$C$7+G337*'⚙️ Configuração'!$C$8+H337*'⚙️ Configuração'!$C$9+I337*'⚙️ Configuração'!$C$10+J337*'⚙️ Configuração'!$C$11)*IF(N337="S",2,1)</f>
        <v>0</v>
      </c>
      <c r="L337" s="90" t="s">
        <v>167</v>
      </c>
      <c r="M337" s="82">
        <f>IF(L337="AT1",'⚙️ Configuração'!$C$14,IF(L337="AT2",'⚙️ Configuração'!$C$15,IF(L337="FI",'⚙️ Configuração'!$C$16,IF(L337="FJ",'⚙️ Configuração'!$C$17,0))))</f>
        <v>0</v>
      </c>
      <c r="N337" s="91" t="s">
        <v>167</v>
      </c>
      <c r="O337" s="92"/>
      <c r="P337" s="83">
        <f>IF(O337="1",'⚙️ Configuração'!$C$21,IF(O337="2",'⚙️ Configuração'!$C$22,IF(O337="3",'⚙️ Configuração'!$C$23,IF(O337="Outro",'⚙️ Configuração'!$C$24,0))))</f>
        <v>0</v>
      </c>
      <c r="Q337" s="84">
        <f t="shared" si="29"/>
        <v>0</v>
      </c>
      <c r="R337" s="40" t="str">
        <f t="shared" si="22"/>
        <v>Semana 1 — ver 🔄</v>
      </c>
      <c r="S337" t="str" cm="1">
        <f t="array" ref="S337">IF(D337="","",IFERROR(_xlfn.SWITCH(B337,"Semana 1",IFERROR(INDEX('🔄 Rotação Duplas'!$D$8:$D$17,MATCH(D337,'🔄 Rotação Duplas'!$C$8:$C$17,0)),INDEX('🔄 Rotação Duplas'!$C$8:$C$17,MATCH(D337,'🔄 Rotação Duplas'!$D$8:$D$17,0))),"Semana 2",IFERROR(INDEX('🔄 Rotação Duplas'!$D$22:$D$31,MATCH(D337,'🔄 Rotação Duplas'!$C$22:$C$31,0)),INDEX('🔄 Rotação Duplas'!$C$22:$C$31,MATCH(D337,'🔄 Rotação Duplas'!$D$22:$D$31,0))),"Semana 3",IFERROR(INDEX('🔄 Rotação Duplas'!$D$36:$D$45,MATCH(D337,'🔄 Rotação Duplas'!$C$36:$C$45,0)),INDEX('🔄 Rotação Duplas'!$C$36:$C$45,MATCH(D337,'🔄 Rotação Duplas'!$D$36:$D$45,0))),"Semana 4",IFERROR(INDEX('🔄 Rotação Duplas'!$D$50:$D$59,MATCH(D337,'🔄 Rotação Duplas'!$C$50:$C$59,0)),INDEX('🔄 Rotação Duplas'!$C$50:$C$59,MATCH(D337,'🔄 Rotação Duplas'!$D$50:$D$59,0))),"Semana 5",IFERROR(INDEX('🔄 Rotação Duplas'!$D$64:$D$73,MATCH(D337,'🔄 Rotação Duplas'!$C$64:$C$73,0)),INDEX('🔄 Rotação Duplas'!$C$64:$C$73,MATCH(D337,'🔄 Rotação Duplas'!$D$64:$D$73,0))),"Semana 6",IFERROR(INDEX('🔄 Rotação Duplas'!$D$78:$D$87,MATCH(D337,'🔄 Rotação Duplas'!$C$78:$C$87,0)),INDEX('🔄 Rotação Duplas'!$C$78:$C$87,MATCH(D337,'🔄 Rotação Duplas'!$D$78:$D$87,0))),"Semana 7",IFERROR(INDEX('🔄 Rotação Duplas'!$D$92:$D$101,MATCH(D337,'🔄 Rotação Duplas'!$C$92:$C$101,0)),INDEX('🔄 Rotação Duplas'!$C$92:$C$101,MATCH(D337,'🔄 Rotação Duplas'!$D$92:$D$101,0))),"Semana 8",IFERROR(INDEX('🔄 Rotação Duplas'!$D$106:$D$115,MATCH(D337,'🔄 Rotação Duplas'!$C$106:$C$115,0)),INDEX('🔄 Rotação Duplas'!$C$106:$C$115,MATCH(D337,'🔄 Rotação Duplas'!$D$106:$D$115,0)))),""))</f>
        <v/>
      </c>
      <c r="T337">
        <f t="shared" si="30"/>
        <v>0</v>
      </c>
    </row>
    <row r="338" spans="2:20" ht="18" customHeight="1" x14ac:dyDescent="0.2">
      <c r="B338" s="85" t="s">
        <v>99</v>
      </c>
      <c r="C338" s="86" t="str">
        <f t="shared" si="28"/>
        <v>Desafio 17</v>
      </c>
      <c r="D338" s="87" t="str">
        <f>'⚙️ Configuração'!C41</f>
        <v>Marta Torres</v>
      </c>
      <c r="E338" s="50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81">
        <f>(E338*'⚙️ Configuração'!$C$6+F338*'⚙️ Configuração'!$C$7+G338*'⚙️ Configuração'!$C$8+H338*'⚙️ Configuração'!$C$9+I338*'⚙️ Configuração'!$C$10+J338*'⚙️ Configuração'!$C$11)*IF(N338="S",2,1)</f>
        <v>0</v>
      </c>
      <c r="L338" s="90" t="s">
        <v>167</v>
      </c>
      <c r="M338" s="82">
        <f>IF(L338="AT1",'⚙️ Configuração'!$C$14,IF(L338="AT2",'⚙️ Configuração'!$C$15,IF(L338="FI",'⚙️ Configuração'!$C$16,IF(L338="FJ",'⚙️ Configuração'!$C$17,0))))</f>
        <v>0</v>
      </c>
      <c r="N338" s="91" t="s">
        <v>167</v>
      </c>
      <c r="O338" s="92"/>
      <c r="P338" s="83">
        <f>IF(O338="1",'⚙️ Configuração'!$C$21,IF(O338="2",'⚙️ Configuração'!$C$22,IF(O338="3",'⚙️ Configuração'!$C$23,IF(O338="Outro",'⚙️ Configuração'!$C$24,0))))</f>
        <v>0</v>
      </c>
      <c r="Q338" s="84">
        <f t="shared" si="29"/>
        <v>0</v>
      </c>
      <c r="R338" s="40" t="str">
        <f t="shared" si="22"/>
        <v>Semana 1 — ver 🔄</v>
      </c>
      <c r="S338" t="str" cm="1">
        <f t="array" ref="S338">IF(D338="","",IFERROR(_xlfn.SWITCH(B338,"Semana 1",IFERROR(INDEX('🔄 Rotação Duplas'!$D$8:$D$17,MATCH(D338,'🔄 Rotação Duplas'!$C$8:$C$17,0)),INDEX('🔄 Rotação Duplas'!$C$8:$C$17,MATCH(D338,'🔄 Rotação Duplas'!$D$8:$D$17,0))),"Semana 2",IFERROR(INDEX('🔄 Rotação Duplas'!$D$22:$D$31,MATCH(D338,'🔄 Rotação Duplas'!$C$22:$C$31,0)),INDEX('🔄 Rotação Duplas'!$C$22:$C$31,MATCH(D338,'🔄 Rotação Duplas'!$D$22:$D$31,0))),"Semana 3",IFERROR(INDEX('🔄 Rotação Duplas'!$D$36:$D$45,MATCH(D338,'🔄 Rotação Duplas'!$C$36:$C$45,0)),INDEX('🔄 Rotação Duplas'!$C$36:$C$45,MATCH(D338,'🔄 Rotação Duplas'!$D$36:$D$45,0))),"Semana 4",IFERROR(INDEX('🔄 Rotação Duplas'!$D$50:$D$59,MATCH(D338,'🔄 Rotação Duplas'!$C$50:$C$59,0)),INDEX('🔄 Rotação Duplas'!$C$50:$C$59,MATCH(D338,'🔄 Rotação Duplas'!$D$50:$D$59,0))),"Semana 5",IFERROR(INDEX('🔄 Rotação Duplas'!$D$64:$D$73,MATCH(D338,'🔄 Rotação Duplas'!$C$64:$C$73,0)),INDEX('🔄 Rotação Duplas'!$C$64:$C$73,MATCH(D338,'🔄 Rotação Duplas'!$D$64:$D$73,0))),"Semana 6",IFERROR(INDEX('🔄 Rotação Duplas'!$D$78:$D$87,MATCH(D338,'🔄 Rotação Duplas'!$C$78:$C$87,0)),INDEX('🔄 Rotação Duplas'!$C$78:$C$87,MATCH(D338,'🔄 Rotação Duplas'!$D$78:$D$87,0))),"Semana 7",IFERROR(INDEX('🔄 Rotação Duplas'!$D$92:$D$101,MATCH(D338,'🔄 Rotação Duplas'!$C$92:$C$101,0)),INDEX('🔄 Rotação Duplas'!$C$92:$C$101,MATCH(D338,'🔄 Rotação Duplas'!$D$92:$D$101,0))),"Semana 8",IFERROR(INDEX('🔄 Rotação Duplas'!$D$106:$D$115,MATCH(D338,'🔄 Rotação Duplas'!$C$106:$C$115,0)),INDEX('🔄 Rotação Duplas'!$C$106:$C$115,MATCH(D338,'🔄 Rotação Duplas'!$D$106:$D$115,0)))),""))</f>
        <v/>
      </c>
      <c r="T338">
        <f t="shared" si="30"/>
        <v>0</v>
      </c>
    </row>
    <row r="339" spans="2:20" ht="18" customHeight="1" x14ac:dyDescent="0.2">
      <c r="B339" s="78" t="s">
        <v>99</v>
      </c>
      <c r="C339" s="79" t="str">
        <f t="shared" si="28"/>
        <v>Desafio 17</v>
      </c>
      <c r="D339" s="80" t="str">
        <f>'⚙️ Configuração'!C42</f>
        <v>Patricia Isabel Silva</v>
      </c>
      <c r="E339" s="50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81">
        <f>(E339*'⚙️ Configuração'!$C$6+F339*'⚙️ Configuração'!$C$7+G339*'⚙️ Configuração'!$C$8+H339*'⚙️ Configuração'!$C$9+I339*'⚙️ Configuração'!$C$10+J339*'⚙️ Configuração'!$C$11)*IF(N339="S",2,1)</f>
        <v>0</v>
      </c>
      <c r="L339" s="90" t="s">
        <v>167</v>
      </c>
      <c r="M339" s="82">
        <f>IF(L339="AT1",'⚙️ Configuração'!$C$14,IF(L339="AT2",'⚙️ Configuração'!$C$15,IF(L339="FI",'⚙️ Configuração'!$C$16,IF(L339="FJ",'⚙️ Configuração'!$C$17,0))))</f>
        <v>0</v>
      </c>
      <c r="N339" s="91" t="s">
        <v>167</v>
      </c>
      <c r="O339" s="92"/>
      <c r="P339" s="83">
        <f>IF(O339="1",'⚙️ Configuração'!$C$21,IF(O339="2",'⚙️ Configuração'!$C$22,IF(O339="3",'⚙️ Configuração'!$C$23,IF(O339="Outro",'⚙️ Configuração'!$C$24,0))))</f>
        <v>0</v>
      </c>
      <c r="Q339" s="84">
        <f t="shared" si="29"/>
        <v>0</v>
      </c>
      <c r="R339" s="40" t="str">
        <f t="shared" si="22"/>
        <v>Semana 1 — ver 🔄</v>
      </c>
      <c r="S339" t="str" cm="1">
        <f t="array" ref="S339">IF(D339="","",IFERROR(_xlfn.SWITCH(B339,"Semana 1",IFERROR(INDEX('🔄 Rotação Duplas'!$D$8:$D$17,MATCH(D339,'🔄 Rotação Duplas'!$C$8:$C$17,0)),INDEX('🔄 Rotação Duplas'!$C$8:$C$17,MATCH(D339,'🔄 Rotação Duplas'!$D$8:$D$17,0))),"Semana 2",IFERROR(INDEX('🔄 Rotação Duplas'!$D$22:$D$31,MATCH(D339,'🔄 Rotação Duplas'!$C$22:$C$31,0)),INDEX('🔄 Rotação Duplas'!$C$22:$C$31,MATCH(D339,'🔄 Rotação Duplas'!$D$22:$D$31,0))),"Semana 3",IFERROR(INDEX('🔄 Rotação Duplas'!$D$36:$D$45,MATCH(D339,'🔄 Rotação Duplas'!$C$36:$C$45,0)),INDEX('🔄 Rotação Duplas'!$C$36:$C$45,MATCH(D339,'🔄 Rotação Duplas'!$D$36:$D$45,0))),"Semana 4",IFERROR(INDEX('🔄 Rotação Duplas'!$D$50:$D$59,MATCH(D339,'🔄 Rotação Duplas'!$C$50:$C$59,0)),INDEX('🔄 Rotação Duplas'!$C$50:$C$59,MATCH(D339,'🔄 Rotação Duplas'!$D$50:$D$59,0))),"Semana 5",IFERROR(INDEX('🔄 Rotação Duplas'!$D$64:$D$73,MATCH(D339,'🔄 Rotação Duplas'!$C$64:$C$73,0)),INDEX('🔄 Rotação Duplas'!$C$64:$C$73,MATCH(D339,'🔄 Rotação Duplas'!$D$64:$D$73,0))),"Semana 6",IFERROR(INDEX('🔄 Rotação Duplas'!$D$78:$D$87,MATCH(D339,'🔄 Rotação Duplas'!$C$78:$C$87,0)),INDEX('🔄 Rotação Duplas'!$C$78:$C$87,MATCH(D339,'🔄 Rotação Duplas'!$D$78:$D$87,0))),"Semana 7",IFERROR(INDEX('🔄 Rotação Duplas'!$D$92:$D$101,MATCH(D339,'🔄 Rotação Duplas'!$C$92:$C$101,0)),INDEX('🔄 Rotação Duplas'!$C$92:$C$101,MATCH(D339,'🔄 Rotação Duplas'!$D$92:$D$101,0))),"Semana 8",IFERROR(INDEX('🔄 Rotação Duplas'!$D$106:$D$115,MATCH(D339,'🔄 Rotação Duplas'!$C$106:$C$115,0)),INDEX('🔄 Rotação Duplas'!$C$106:$C$115,MATCH(D339,'🔄 Rotação Duplas'!$D$106:$D$115,0)))),""))</f>
        <v/>
      </c>
      <c r="T339">
        <f t="shared" si="30"/>
        <v>0</v>
      </c>
    </row>
    <row r="340" spans="2:20" ht="18" customHeight="1" x14ac:dyDescent="0.2">
      <c r="B340" s="85" t="s">
        <v>99</v>
      </c>
      <c r="C340" s="86" t="str">
        <f t="shared" si="28"/>
        <v>Desafio 17</v>
      </c>
      <c r="D340" s="87" t="str">
        <f>'⚙️ Configuração'!C43</f>
        <v>Paula Martins</v>
      </c>
      <c r="E340" s="50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81">
        <f>(E340*'⚙️ Configuração'!$C$6+F340*'⚙️ Configuração'!$C$7+G340*'⚙️ Configuração'!$C$8+H340*'⚙️ Configuração'!$C$9+I340*'⚙️ Configuração'!$C$10+J340*'⚙️ Configuração'!$C$11)*IF(N340="S",2,1)</f>
        <v>0</v>
      </c>
      <c r="L340" s="90" t="s">
        <v>167</v>
      </c>
      <c r="M340" s="82">
        <f>IF(L340="AT1",'⚙️ Configuração'!$C$14,IF(L340="AT2",'⚙️ Configuração'!$C$15,IF(L340="FI",'⚙️ Configuração'!$C$16,IF(L340="FJ",'⚙️ Configuração'!$C$17,0))))</f>
        <v>0</v>
      </c>
      <c r="N340" s="91" t="s">
        <v>167</v>
      </c>
      <c r="O340" s="92"/>
      <c r="P340" s="83">
        <f>IF(O340="1",'⚙️ Configuração'!$C$21,IF(O340="2",'⚙️ Configuração'!$C$22,IF(O340="3",'⚙️ Configuração'!$C$23,IF(O340="Outro",'⚙️ Configuração'!$C$24,0))))</f>
        <v>0</v>
      </c>
      <c r="Q340" s="84">
        <f t="shared" si="29"/>
        <v>0</v>
      </c>
      <c r="R340" s="40" t="str">
        <f t="shared" si="22"/>
        <v>Semana 1 — ver 🔄</v>
      </c>
      <c r="S340" t="str" cm="1">
        <f t="array" ref="S340">IF(D340="","",IFERROR(_xlfn.SWITCH(B340,"Semana 1",IFERROR(INDEX('🔄 Rotação Duplas'!$D$8:$D$17,MATCH(D340,'🔄 Rotação Duplas'!$C$8:$C$17,0)),INDEX('🔄 Rotação Duplas'!$C$8:$C$17,MATCH(D340,'🔄 Rotação Duplas'!$D$8:$D$17,0))),"Semana 2",IFERROR(INDEX('🔄 Rotação Duplas'!$D$22:$D$31,MATCH(D340,'🔄 Rotação Duplas'!$C$22:$C$31,0)),INDEX('🔄 Rotação Duplas'!$C$22:$C$31,MATCH(D340,'🔄 Rotação Duplas'!$D$22:$D$31,0))),"Semana 3",IFERROR(INDEX('🔄 Rotação Duplas'!$D$36:$D$45,MATCH(D340,'🔄 Rotação Duplas'!$C$36:$C$45,0)),INDEX('🔄 Rotação Duplas'!$C$36:$C$45,MATCH(D340,'🔄 Rotação Duplas'!$D$36:$D$45,0))),"Semana 4",IFERROR(INDEX('🔄 Rotação Duplas'!$D$50:$D$59,MATCH(D340,'🔄 Rotação Duplas'!$C$50:$C$59,0)),INDEX('🔄 Rotação Duplas'!$C$50:$C$59,MATCH(D340,'🔄 Rotação Duplas'!$D$50:$D$59,0))),"Semana 5",IFERROR(INDEX('🔄 Rotação Duplas'!$D$64:$D$73,MATCH(D340,'🔄 Rotação Duplas'!$C$64:$C$73,0)),INDEX('🔄 Rotação Duplas'!$C$64:$C$73,MATCH(D340,'🔄 Rotação Duplas'!$D$64:$D$73,0))),"Semana 6",IFERROR(INDEX('🔄 Rotação Duplas'!$D$78:$D$87,MATCH(D340,'🔄 Rotação Duplas'!$C$78:$C$87,0)),INDEX('🔄 Rotação Duplas'!$C$78:$C$87,MATCH(D340,'🔄 Rotação Duplas'!$D$78:$D$87,0))),"Semana 7",IFERROR(INDEX('🔄 Rotação Duplas'!$D$92:$D$101,MATCH(D340,'🔄 Rotação Duplas'!$C$92:$C$101,0)),INDEX('🔄 Rotação Duplas'!$C$92:$C$101,MATCH(D340,'🔄 Rotação Duplas'!$D$92:$D$101,0))),"Semana 8",IFERROR(INDEX('🔄 Rotação Duplas'!$D$106:$D$115,MATCH(D340,'🔄 Rotação Duplas'!$C$106:$C$115,0)),INDEX('🔄 Rotação Duplas'!$C$106:$C$115,MATCH(D340,'🔄 Rotação Duplas'!$D$106:$D$115,0)))),""))</f>
        <v/>
      </c>
      <c r="T340">
        <f t="shared" si="30"/>
        <v>0</v>
      </c>
    </row>
    <row r="341" spans="2:20" ht="18" customHeight="1" x14ac:dyDescent="0.2">
      <c r="B341" s="78" t="s">
        <v>99</v>
      </c>
      <c r="C341" s="79" t="str">
        <f t="shared" si="28"/>
        <v>Desafio 17</v>
      </c>
      <c r="D341" s="80" t="str">
        <f>'⚙️ Configuração'!C44</f>
        <v>Paula Miabara</v>
      </c>
      <c r="E341" s="50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81">
        <f>(E341*'⚙️ Configuração'!$C$6+F341*'⚙️ Configuração'!$C$7+G341*'⚙️ Configuração'!$C$8+H341*'⚙️ Configuração'!$C$9+I341*'⚙️ Configuração'!$C$10+J341*'⚙️ Configuração'!$C$11)*IF(N341="S",2,1)</f>
        <v>0</v>
      </c>
      <c r="L341" s="90" t="s">
        <v>167</v>
      </c>
      <c r="M341" s="82">
        <f>IF(L341="AT1",'⚙️ Configuração'!$C$14,IF(L341="AT2",'⚙️ Configuração'!$C$15,IF(L341="FI",'⚙️ Configuração'!$C$16,IF(L341="FJ",'⚙️ Configuração'!$C$17,0))))</f>
        <v>0</v>
      </c>
      <c r="N341" s="91" t="s">
        <v>167</v>
      </c>
      <c r="O341" s="92"/>
      <c r="P341" s="83">
        <f>IF(O341="1",'⚙️ Configuração'!$C$21,IF(O341="2",'⚙️ Configuração'!$C$22,IF(O341="3",'⚙️ Configuração'!$C$23,IF(O341="Outro",'⚙️ Configuração'!$C$24,0))))</f>
        <v>0</v>
      </c>
      <c r="Q341" s="84">
        <f t="shared" si="29"/>
        <v>0</v>
      </c>
      <c r="R341" s="40" t="str">
        <f t="shared" si="22"/>
        <v>Semana 1 — ver 🔄</v>
      </c>
      <c r="S341" t="str" cm="1">
        <f t="array" ref="S341">IF(D341="","",IFERROR(_xlfn.SWITCH(B341,"Semana 1",IFERROR(INDEX('🔄 Rotação Duplas'!$D$8:$D$17,MATCH(D341,'🔄 Rotação Duplas'!$C$8:$C$17,0)),INDEX('🔄 Rotação Duplas'!$C$8:$C$17,MATCH(D341,'🔄 Rotação Duplas'!$D$8:$D$17,0))),"Semana 2",IFERROR(INDEX('🔄 Rotação Duplas'!$D$22:$D$31,MATCH(D341,'🔄 Rotação Duplas'!$C$22:$C$31,0)),INDEX('🔄 Rotação Duplas'!$C$22:$C$31,MATCH(D341,'🔄 Rotação Duplas'!$D$22:$D$31,0))),"Semana 3",IFERROR(INDEX('🔄 Rotação Duplas'!$D$36:$D$45,MATCH(D341,'🔄 Rotação Duplas'!$C$36:$C$45,0)),INDEX('🔄 Rotação Duplas'!$C$36:$C$45,MATCH(D341,'🔄 Rotação Duplas'!$D$36:$D$45,0))),"Semana 4",IFERROR(INDEX('🔄 Rotação Duplas'!$D$50:$D$59,MATCH(D341,'🔄 Rotação Duplas'!$C$50:$C$59,0)),INDEX('🔄 Rotação Duplas'!$C$50:$C$59,MATCH(D341,'🔄 Rotação Duplas'!$D$50:$D$59,0))),"Semana 5",IFERROR(INDEX('🔄 Rotação Duplas'!$D$64:$D$73,MATCH(D341,'🔄 Rotação Duplas'!$C$64:$C$73,0)),INDEX('🔄 Rotação Duplas'!$C$64:$C$73,MATCH(D341,'🔄 Rotação Duplas'!$D$64:$D$73,0))),"Semana 6",IFERROR(INDEX('🔄 Rotação Duplas'!$D$78:$D$87,MATCH(D341,'🔄 Rotação Duplas'!$C$78:$C$87,0)),INDEX('🔄 Rotação Duplas'!$C$78:$C$87,MATCH(D341,'🔄 Rotação Duplas'!$D$78:$D$87,0))),"Semana 7",IFERROR(INDEX('🔄 Rotação Duplas'!$D$92:$D$101,MATCH(D341,'🔄 Rotação Duplas'!$C$92:$C$101,0)),INDEX('🔄 Rotação Duplas'!$C$92:$C$101,MATCH(D341,'🔄 Rotação Duplas'!$D$92:$D$101,0))),"Semana 8",IFERROR(INDEX('🔄 Rotação Duplas'!$D$106:$D$115,MATCH(D341,'🔄 Rotação Duplas'!$C$106:$C$115,0)),INDEX('🔄 Rotação Duplas'!$C$106:$C$115,MATCH(D341,'🔄 Rotação Duplas'!$D$106:$D$115,0)))),""))</f>
        <v/>
      </c>
      <c r="T341">
        <f t="shared" si="30"/>
        <v>0</v>
      </c>
    </row>
    <row r="342" spans="2:20" ht="18" customHeight="1" x14ac:dyDescent="0.2">
      <c r="B342" s="85" t="s">
        <v>99</v>
      </c>
      <c r="C342" s="86" t="str">
        <f t="shared" si="28"/>
        <v>Desafio 17</v>
      </c>
      <c r="D342" s="87" t="str">
        <f>'⚙️ Configuração'!C45</f>
        <v>Rita Carmo</v>
      </c>
      <c r="E342" s="50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81">
        <f>(E342*'⚙️ Configuração'!$C$6+F342*'⚙️ Configuração'!$C$7+G342*'⚙️ Configuração'!$C$8+H342*'⚙️ Configuração'!$C$9+I342*'⚙️ Configuração'!$C$10+J342*'⚙️ Configuração'!$C$11)*IF(N342="S",2,1)</f>
        <v>0</v>
      </c>
      <c r="L342" s="90" t="s">
        <v>167</v>
      </c>
      <c r="M342" s="82">
        <f>IF(L342="AT1",'⚙️ Configuração'!$C$14,IF(L342="AT2",'⚙️ Configuração'!$C$15,IF(L342="FI",'⚙️ Configuração'!$C$16,IF(L342="FJ",'⚙️ Configuração'!$C$17,0))))</f>
        <v>0</v>
      </c>
      <c r="N342" s="91" t="s">
        <v>167</v>
      </c>
      <c r="O342" s="92"/>
      <c r="P342" s="83">
        <f>IF(O342="1",'⚙️ Configuração'!$C$21,IF(O342="2",'⚙️ Configuração'!$C$22,IF(O342="3",'⚙️ Configuração'!$C$23,IF(O342="Outro",'⚙️ Configuração'!$C$24,0))))</f>
        <v>0</v>
      </c>
      <c r="Q342" s="84">
        <f t="shared" si="29"/>
        <v>0</v>
      </c>
      <c r="R342" s="40" t="str">
        <f t="shared" si="22"/>
        <v>Semana 1 — ver 🔄</v>
      </c>
      <c r="S342" t="str" cm="1">
        <f t="array" ref="S342">IF(D342="","",IFERROR(_xlfn.SWITCH(B342,"Semana 1",IFERROR(INDEX('🔄 Rotação Duplas'!$D$8:$D$17,MATCH(D342,'🔄 Rotação Duplas'!$C$8:$C$17,0)),INDEX('🔄 Rotação Duplas'!$C$8:$C$17,MATCH(D342,'🔄 Rotação Duplas'!$D$8:$D$17,0))),"Semana 2",IFERROR(INDEX('🔄 Rotação Duplas'!$D$22:$D$31,MATCH(D342,'🔄 Rotação Duplas'!$C$22:$C$31,0)),INDEX('🔄 Rotação Duplas'!$C$22:$C$31,MATCH(D342,'🔄 Rotação Duplas'!$D$22:$D$31,0))),"Semana 3",IFERROR(INDEX('🔄 Rotação Duplas'!$D$36:$D$45,MATCH(D342,'🔄 Rotação Duplas'!$C$36:$C$45,0)),INDEX('🔄 Rotação Duplas'!$C$36:$C$45,MATCH(D342,'🔄 Rotação Duplas'!$D$36:$D$45,0))),"Semana 4",IFERROR(INDEX('🔄 Rotação Duplas'!$D$50:$D$59,MATCH(D342,'🔄 Rotação Duplas'!$C$50:$C$59,0)),INDEX('🔄 Rotação Duplas'!$C$50:$C$59,MATCH(D342,'🔄 Rotação Duplas'!$D$50:$D$59,0))),"Semana 5",IFERROR(INDEX('🔄 Rotação Duplas'!$D$64:$D$73,MATCH(D342,'🔄 Rotação Duplas'!$C$64:$C$73,0)),INDEX('🔄 Rotação Duplas'!$C$64:$C$73,MATCH(D342,'🔄 Rotação Duplas'!$D$64:$D$73,0))),"Semana 6",IFERROR(INDEX('🔄 Rotação Duplas'!$D$78:$D$87,MATCH(D342,'🔄 Rotação Duplas'!$C$78:$C$87,0)),INDEX('🔄 Rotação Duplas'!$C$78:$C$87,MATCH(D342,'🔄 Rotação Duplas'!$D$78:$D$87,0))),"Semana 7",IFERROR(INDEX('🔄 Rotação Duplas'!$D$92:$D$101,MATCH(D342,'🔄 Rotação Duplas'!$C$92:$C$101,0)),INDEX('🔄 Rotação Duplas'!$C$92:$C$101,MATCH(D342,'🔄 Rotação Duplas'!$D$92:$D$101,0))),"Semana 8",IFERROR(INDEX('🔄 Rotação Duplas'!$D$106:$D$115,MATCH(D342,'🔄 Rotação Duplas'!$C$106:$C$115,0)),INDEX('🔄 Rotação Duplas'!$C$106:$C$115,MATCH(D342,'🔄 Rotação Duplas'!$D$106:$D$115,0)))),""))</f>
        <v/>
      </c>
      <c r="T342">
        <f t="shared" si="30"/>
        <v>0</v>
      </c>
    </row>
    <row r="343" spans="2:20" ht="18" customHeight="1" x14ac:dyDescent="0.2">
      <c r="B343" s="78" t="s">
        <v>99</v>
      </c>
      <c r="C343" s="79" t="str">
        <f t="shared" si="28"/>
        <v>Desafio 17</v>
      </c>
      <c r="D343" s="80" t="str">
        <f>'⚙️ Configuração'!C46</f>
        <v>William Fernandes</v>
      </c>
      <c r="E343" s="50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81">
        <f>(E343*'⚙️ Configuração'!$C$6+F343*'⚙️ Configuração'!$C$7+G343*'⚙️ Configuração'!$C$8+H343*'⚙️ Configuração'!$C$9+I343*'⚙️ Configuração'!$C$10+J343*'⚙️ Configuração'!$C$11)*IF(N343="S",2,1)</f>
        <v>0</v>
      </c>
      <c r="L343" s="90" t="s">
        <v>167</v>
      </c>
      <c r="M343" s="82">
        <f>IF(L343="AT1",'⚙️ Configuração'!$C$14,IF(L343="AT2",'⚙️ Configuração'!$C$15,IF(L343="FI",'⚙️ Configuração'!$C$16,IF(L343="FJ",'⚙️ Configuração'!$C$17,0))))</f>
        <v>0</v>
      </c>
      <c r="N343" s="91" t="s">
        <v>167</v>
      </c>
      <c r="O343" s="92"/>
      <c r="P343" s="83">
        <f>IF(O343="1",'⚙️ Configuração'!$C$21,IF(O343="2",'⚙️ Configuração'!$C$22,IF(O343="3",'⚙️ Configuração'!$C$23,IF(O343="Outro",'⚙️ Configuração'!$C$24,0))))</f>
        <v>0</v>
      </c>
      <c r="Q343" s="84">
        <f t="shared" si="29"/>
        <v>0</v>
      </c>
      <c r="R343" s="40" t="str">
        <f t="shared" si="22"/>
        <v>Semana 1 — ver 🔄</v>
      </c>
      <c r="S343" t="str" cm="1">
        <f t="array" ref="S343">IF(D343="","",IFERROR(_xlfn.SWITCH(B343,"Semana 1",IFERROR(INDEX('🔄 Rotação Duplas'!$D$8:$D$17,MATCH(D343,'🔄 Rotação Duplas'!$C$8:$C$17,0)),INDEX('🔄 Rotação Duplas'!$C$8:$C$17,MATCH(D343,'🔄 Rotação Duplas'!$D$8:$D$17,0))),"Semana 2",IFERROR(INDEX('🔄 Rotação Duplas'!$D$22:$D$31,MATCH(D343,'🔄 Rotação Duplas'!$C$22:$C$31,0)),INDEX('🔄 Rotação Duplas'!$C$22:$C$31,MATCH(D343,'🔄 Rotação Duplas'!$D$22:$D$31,0))),"Semana 3",IFERROR(INDEX('🔄 Rotação Duplas'!$D$36:$D$45,MATCH(D343,'🔄 Rotação Duplas'!$C$36:$C$45,0)),INDEX('🔄 Rotação Duplas'!$C$36:$C$45,MATCH(D343,'🔄 Rotação Duplas'!$D$36:$D$45,0))),"Semana 4",IFERROR(INDEX('🔄 Rotação Duplas'!$D$50:$D$59,MATCH(D343,'🔄 Rotação Duplas'!$C$50:$C$59,0)),INDEX('🔄 Rotação Duplas'!$C$50:$C$59,MATCH(D343,'🔄 Rotação Duplas'!$D$50:$D$59,0))),"Semana 5",IFERROR(INDEX('🔄 Rotação Duplas'!$D$64:$D$73,MATCH(D343,'🔄 Rotação Duplas'!$C$64:$C$73,0)),INDEX('🔄 Rotação Duplas'!$C$64:$C$73,MATCH(D343,'🔄 Rotação Duplas'!$D$64:$D$73,0))),"Semana 6",IFERROR(INDEX('🔄 Rotação Duplas'!$D$78:$D$87,MATCH(D343,'🔄 Rotação Duplas'!$C$78:$C$87,0)),INDEX('🔄 Rotação Duplas'!$C$78:$C$87,MATCH(D343,'🔄 Rotação Duplas'!$D$78:$D$87,0))),"Semana 7",IFERROR(INDEX('🔄 Rotação Duplas'!$D$92:$D$101,MATCH(D343,'🔄 Rotação Duplas'!$C$92:$C$101,0)),INDEX('🔄 Rotação Duplas'!$C$92:$C$101,MATCH(D343,'🔄 Rotação Duplas'!$D$92:$D$101,0))),"Semana 8",IFERROR(INDEX('🔄 Rotação Duplas'!$D$106:$D$115,MATCH(D343,'🔄 Rotação Duplas'!$C$106:$C$115,0)),INDEX('🔄 Rotação Duplas'!$C$106:$C$115,MATCH(D343,'🔄 Rotação Duplas'!$D$106:$D$115,0)))),""))</f>
        <v/>
      </c>
      <c r="T343">
        <f t="shared" si="30"/>
        <v>0</v>
      </c>
    </row>
    <row r="344" spans="2:20" ht="18" customHeight="1" x14ac:dyDescent="0.2">
      <c r="B344" s="85" t="s">
        <v>99</v>
      </c>
      <c r="C344" s="86" t="str">
        <f t="shared" si="28"/>
        <v>Desafio 17</v>
      </c>
      <c r="D344" s="87" t="str">
        <f>'⚙️ Configuração'!C47</f>
        <v>-</v>
      </c>
      <c r="E344" s="50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81">
        <f>(E344*'⚙️ Configuração'!$C$6+F344*'⚙️ Configuração'!$C$7+G344*'⚙️ Configuração'!$C$8+H344*'⚙️ Configuração'!$C$9+I344*'⚙️ Configuração'!$C$10+J344*'⚙️ Configuração'!$C$11)*IF(N344="S",2,1)</f>
        <v>0</v>
      </c>
      <c r="L344" s="90" t="s">
        <v>167</v>
      </c>
      <c r="M344" s="82">
        <f>IF(L344="AT1",'⚙️ Configuração'!$C$14,IF(L344="AT2",'⚙️ Configuração'!$C$15,IF(L344="FI",'⚙️ Configuração'!$C$16,IF(L344="FJ",'⚙️ Configuração'!$C$17,0))))</f>
        <v>0</v>
      </c>
      <c r="N344" s="91" t="s">
        <v>167</v>
      </c>
      <c r="O344" s="92"/>
      <c r="P344" s="83">
        <f>IF(O344="1",'⚙️ Configuração'!$C$21,IF(O344="2",'⚙️ Configuração'!$C$22,IF(O344="3",'⚙️ Configuração'!$C$23,IF(O344="Outro",'⚙️ Configuração'!$C$24,0))))</f>
        <v>0</v>
      </c>
      <c r="Q344" s="84">
        <f t="shared" si="29"/>
        <v>0</v>
      </c>
      <c r="R344" s="40" t="str">
        <f t="shared" si="22"/>
        <v>Semana 1 — ver 🔄</v>
      </c>
      <c r="S344" t="str" cm="1">
        <f t="array" ref="S344">IF(D344="","",IFERROR(_xlfn.SWITCH(B344,"Semana 1",IFERROR(INDEX('🔄 Rotação Duplas'!$D$8:$D$17,MATCH(D344,'🔄 Rotação Duplas'!$C$8:$C$17,0)),INDEX('🔄 Rotação Duplas'!$C$8:$C$17,MATCH(D344,'🔄 Rotação Duplas'!$D$8:$D$17,0))),"Semana 2",IFERROR(INDEX('🔄 Rotação Duplas'!$D$22:$D$31,MATCH(D344,'🔄 Rotação Duplas'!$C$22:$C$31,0)),INDEX('🔄 Rotação Duplas'!$C$22:$C$31,MATCH(D344,'🔄 Rotação Duplas'!$D$22:$D$31,0))),"Semana 3",IFERROR(INDEX('🔄 Rotação Duplas'!$D$36:$D$45,MATCH(D344,'🔄 Rotação Duplas'!$C$36:$C$45,0)),INDEX('🔄 Rotação Duplas'!$C$36:$C$45,MATCH(D344,'🔄 Rotação Duplas'!$D$36:$D$45,0))),"Semana 4",IFERROR(INDEX('🔄 Rotação Duplas'!$D$50:$D$59,MATCH(D344,'🔄 Rotação Duplas'!$C$50:$C$59,0)),INDEX('🔄 Rotação Duplas'!$C$50:$C$59,MATCH(D344,'🔄 Rotação Duplas'!$D$50:$D$59,0))),"Semana 5",IFERROR(INDEX('🔄 Rotação Duplas'!$D$64:$D$73,MATCH(D344,'🔄 Rotação Duplas'!$C$64:$C$73,0)),INDEX('🔄 Rotação Duplas'!$C$64:$C$73,MATCH(D344,'🔄 Rotação Duplas'!$D$64:$D$73,0))),"Semana 6",IFERROR(INDEX('🔄 Rotação Duplas'!$D$78:$D$87,MATCH(D344,'🔄 Rotação Duplas'!$C$78:$C$87,0)),INDEX('🔄 Rotação Duplas'!$C$78:$C$87,MATCH(D344,'🔄 Rotação Duplas'!$D$78:$D$87,0))),"Semana 7",IFERROR(INDEX('🔄 Rotação Duplas'!$D$92:$D$101,MATCH(D344,'🔄 Rotação Duplas'!$C$92:$C$101,0)),INDEX('🔄 Rotação Duplas'!$C$92:$C$101,MATCH(D344,'🔄 Rotação Duplas'!$D$92:$D$101,0))),"Semana 8",IFERROR(INDEX('🔄 Rotação Duplas'!$D$106:$D$115,MATCH(D344,'🔄 Rotação Duplas'!$C$106:$C$115,0)),INDEX('🔄 Rotação Duplas'!$C$106:$C$115,MATCH(D344,'🔄 Rotação Duplas'!$D$106:$D$115,0)))),""))</f>
        <v/>
      </c>
      <c r="T344">
        <f t="shared" si="30"/>
        <v>0</v>
      </c>
    </row>
    <row r="345" spans="2:20" ht="18" customHeight="1" x14ac:dyDescent="0.2">
      <c r="B345" s="78" t="s">
        <v>99</v>
      </c>
      <c r="C345" s="79" t="str">
        <f t="shared" si="28"/>
        <v>Desafio 17</v>
      </c>
      <c r="D345" s="80" t="str">
        <f>'⚙️ Configuração'!C48</f>
        <v>-</v>
      </c>
      <c r="E345" s="50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81">
        <f>(E345*'⚙️ Configuração'!$C$6+F345*'⚙️ Configuração'!$C$7+G345*'⚙️ Configuração'!$C$8+H345*'⚙️ Configuração'!$C$9+I345*'⚙️ Configuração'!$C$10+J345*'⚙️ Configuração'!$C$11)*IF(N345="S",2,1)</f>
        <v>0</v>
      </c>
      <c r="L345" s="90" t="s">
        <v>167</v>
      </c>
      <c r="M345" s="82">
        <f>IF(L345="AT1",'⚙️ Configuração'!$C$14,IF(L345="AT2",'⚙️ Configuração'!$C$15,IF(L345="FI",'⚙️ Configuração'!$C$16,IF(L345="FJ",'⚙️ Configuração'!$C$17,0))))</f>
        <v>0</v>
      </c>
      <c r="N345" s="91" t="s">
        <v>167</v>
      </c>
      <c r="O345" s="92"/>
      <c r="P345" s="83">
        <f>IF(O345="1",'⚙️ Configuração'!$C$21,IF(O345="2",'⚙️ Configuração'!$C$22,IF(O345="3",'⚙️ Configuração'!$C$23,IF(O345="Outro",'⚙️ Configuração'!$C$24,0))))</f>
        <v>0</v>
      </c>
      <c r="Q345" s="84">
        <f t="shared" si="29"/>
        <v>0</v>
      </c>
      <c r="R345" s="40" t="str">
        <f t="shared" si="22"/>
        <v>Semana 1 — ver 🔄</v>
      </c>
      <c r="S345" t="str" cm="1">
        <f t="array" ref="S345">IF(D345="","",IFERROR(_xlfn.SWITCH(B345,"Semana 1",IFERROR(INDEX('🔄 Rotação Duplas'!$D$8:$D$17,MATCH(D345,'🔄 Rotação Duplas'!$C$8:$C$17,0)),INDEX('🔄 Rotação Duplas'!$C$8:$C$17,MATCH(D345,'🔄 Rotação Duplas'!$D$8:$D$17,0))),"Semana 2",IFERROR(INDEX('🔄 Rotação Duplas'!$D$22:$D$31,MATCH(D345,'🔄 Rotação Duplas'!$C$22:$C$31,0)),INDEX('🔄 Rotação Duplas'!$C$22:$C$31,MATCH(D345,'🔄 Rotação Duplas'!$D$22:$D$31,0))),"Semana 3",IFERROR(INDEX('🔄 Rotação Duplas'!$D$36:$D$45,MATCH(D345,'🔄 Rotação Duplas'!$C$36:$C$45,0)),INDEX('🔄 Rotação Duplas'!$C$36:$C$45,MATCH(D345,'🔄 Rotação Duplas'!$D$36:$D$45,0))),"Semana 4",IFERROR(INDEX('🔄 Rotação Duplas'!$D$50:$D$59,MATCH(D345,'🔄 Rotação Duplas'!$C$50:$C$59,0)),INDEX('🔄 Rotação Duplas'!$C$50:$C$59,MATCH(D345,'🔄 Rotação Duplas'!$D$50:$D$59,0))),"Semana 5",IFERROR(INDEX('🔄 Rotação Duplas'!$D$64:$D$73,MATCH(D345,'🔄 Rotação Duplas'!$C$64:$C$73,0)),INDEX('🔄 Rotação Duplas'!$C$64:$C$73,MATCH(D345,'🔄 Rotação Duplas'!$D$64:$D$73,0))),"Semana 6",IFERROR(INDEX('🔄 Rotação Duplas'!$D$78:$D$87,MATCH(D345,'🔄 Rotação Duplas'!$C$78:$C$87,0)),INDEX('🔄 Rotação Duplas'!$C$78:$C$87,MATCH(D345,'🔄 Rotação Duplas'!$D$78:$D$87,0))),"Semana 7",IFERROR(INDEX('🔄 Rotação Duplas'!$D$92:$D$101,MATCH(D345,'🔄 Rotação Duplas'!$C$92:$C$101,0)),INDEX('🔄 Rotação Duplas'!$C$92:$C$101,MATCH(D345,'🔄 Rotação Duplas'!$D$92:$D$101,0))),"Semana 8",IFERROR(INDEX('🔄 Rotação Duplas'!$D$106:$D$115,MATCH(D345,'🔄 Rotação Duplas'!$C$106:$C$115,0)),INDEX('🔄 Rotação Duplas'!$C$106:$C$115,MATCH(D345,'🔄 Rotação Duplas'!$D$106:$D$115,0)))),""))</f>
        <v/>
      </c>
      <c r="T345">
        <f t="shared" si="30"/>
        <v>0</v>
      </c>
    </row>
    <row r="346" spans="2:20" ht="18" customHeight="1" x14ac:dyDescent="0.2">
      <c r="B346" s="85" t="s">
        <v>99</v>
      </c>
      <c r="C346" s="86" t="str">
        <f t="shared" si="28"/>
        <v>Desafio 17</v>
      </c>
      <c r="D346" s="87" t="str">
        <f>'⚙️ Configuração'!C49</f>
        <v>-</v>
      </c>
      <c r="E346" s="50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81">
        <f>(E346*'⚙️ Configuração'!$C$6+F346*'⚙️ Configuração'!$C$7+G346*'⚙️ Configuração'!$C$8+H346*'⚙️ Configuração'!$C$9+I346*'⚙️ Configuração'!$C$10+J346*'⚙️ Configuração'!$C$11)*IF(N346="S",2,1)</f>
        <v>0</v>
      </c>
      <c r="L346" s="90" t="s">
        <v>167</v>
      </c>
      <c r="M346" s="82">
        <f>IF(L346="AT1",'⚙️ Configuração'!$C$14,IF(L346="AT2",'⚙️ Configuração'!$C$15,IF(L346="FI",'⚙️ Configuração'!$C$16,IF(L346="FJ",'⚙️ Configuração'!$C$17,0))))</f>
        <v>0</v>
      </c>
      <c r="N346" s="91" t="s">
        <v>167</v>
      </c>
      <c r="O346" s="92"/>
      <c r="P346" s="83">
        <f>IF(O346="1",'⚙️ Configuração'!$C$21,IF(O346="2",'⚙️ Configuração'!$C$22,IF(O346="3",'⚙️ Configuração'!$C$23,IF(O346="Outro",'⚙️ Configuração'!$C$24,0))))</f>
        <v>0</v>
      </c>
      <c r="Q346" s="84">
        <f t="shared" si="29"/>
        <v>0</v>
      </c>
      <c r="R346" s="40" t="str">
        <f t="shared" si="22"/>
        <v>Semana 1 — ver 🔄</v>
      </c>
      <c r="S346" t="str" cm="1">
        <f t="array" ref="S346">IF(D346="","",IFERROR(_xlfn.SWITCH(B346,"Semana 1",IFERROR(INDEX('🔄 Rotação Duplas'!$D$8:$D$17,MATCH(D346,'🔄 Rotação Duplas'!$C$8:$C$17,0)),INDEX('🔄 Rotação Duplas'!$C$8:$C$17,MATCH(D346,'🔄 Rotação Duplas'!$D$8:$D$17,0))),"Semana 2",IFERROR(INDEX('🔄 Rotação Duplas'!$D$22:$D$31,MATCH(D346,'🔄 Rotação Duplas'!$C$22:$C$31,0)),INDEX('🔄 Rotação Duplas'!$C$22:$C$31,MATCH(D346,'🔄 Rotação Duplas'!$D$22:$D$31,0))),"Semana 3",IFERROR(INDEX('🔄 Rotação Duplas'!$D$36:$D$45,MATCH(D346,'🔄 Rotação Duplas'!$C$36:$C$45,0)),INDEX('🔄 Rotação Duplas'!$C$36:$C$45,MATCH(D346,'🔄 Rotação Duplas'!$D$36:$D$45,0))),"Semana 4",IFERROR(INDEX('🔄 Rotação Duplas'!$D$50:$D$59,MATCH(D346,'🔄 Rotação Duplas'!$C$50:$C$59,0)),INDEX('🔄 Rotação Duplas'!$C$50:$C$59,MATCH(D346,'🔄 Rotação Duplas'!$D$50:$D$59,0))),"Semana 5",IFERROR(INDEX('🔄 Rotação Duplas'!$D$64:$D$73,MATCH(D346,'🔄 Rotação Duplas'!$C$64:$C$73,0)),INDEX('🔄 Rotação Duplas'!$C$64:$C$73,MATCH(D346,'🔄 Rotação Duplas'!$D$64:$D$73,0))),"Semana 6",IFERROR(INDEX('🔄 Rotação Duplas'!$D$78:$D$87,MATCH(D346,'🔄 Rotação Duplas'!$C$78:$C$87,0)),INDEX('🔄 Rotação Duplas'!$C$78:$C$87,MATCH(D346,'🔄 Rotação Duplas'!$D$78:$D$87,0))),"Semana 7",IFERROR(INDEX('🔄 Rotação Duplas'!$D$92:$D$101,MATCH(D346,'🔄 Rotação Duplas'!$C$92:$C$101,0)),INDEX('🔄 Rotação Duplas'!$C$92:$C$101,MATCH(D346,'🔄 Rotação Duplas'!$D$92:$D$101,0))),"Semana 8",IFERROR(INDEX('🔄 Rotação Duplas'!$D$106:$D$115,MATCH(D346,'🔄 Rotação Duplas'!$C$106:$C$115,0)),INDEX('🔄 Rotação Duplas'!$C$106:$C$115,MATCH(D346,'🔄 Rotação Duplas'!$D$106:$D$115,0)))),""))</f>
        <v/>
      </c>
      <c r="T346">
        <f t="shared" si="30"/>
        <v>0</v>
      </c>
    </row>
    <row r="347" spans="2:20" ht="18" customHeight="1" x14ac:dyDescent="0.2">
      <c r="B347" s="78" t="s">
        <v>99</v>
      </c>
      <c r="C347" s="79" t="str">
        <f t="shared" ref="C347:C366" si="31">"Desafio 18"</f>
        <v>Desafio 18</v>
      </c>
      <c r="D347" s="80" t="str">
        <f>'⚙️ Configuração'!C30</f>
        <v>Carla Cantante</v>
      </c>
      <c r="E347" s="50">
        <v>0</v>
      </c>
      <c r="F347" s="50">
        <v>0</v>
      </c>
      <c r="G347" s="50">
        <v>0</v>
      </c>
      <c r="H347" s="50">
        <v>0</v>
      </c>
      <c r="I347" s="50">
        <v>0</v>
      </c>
      <c r="J347" s="50">
        <v>0</v>
      </c>
      <c r="K347" s="81">
        <f>(E347*'⚙️ Configuração'!$C$6+F347*'⚙️ Configuração'!$C$7+G347*'⚙️ Configuração'!$C$8+H347*'⚙️ Configuração'!$C$9+I347*'⚙️ Configuração'!$C$10+J347*'⚙️ Configuração'!$C$11)*IF(N347="S",2,1)</f>
        <v>0</v>
      </c>
      <c r="L347" s="90" t="s">
        <v>167</v>
      </c>
      <c r="M347" s="82">
        <f>IF(L347="AT1",'⚙️ Configuração'!$C$14,IF(L347="AT2",'⚙️ Configuração'!$C$15,IF(L347="FI",'⚙️ Configuração'!$C$16,IF(L347="FJ",'⚙️ Configuração'!$C$17,0))))</f>
        <v>0</v>
      </c>
      <c r="N347" s="91" t="s">
        <v>167</v>
      </c>
      <c r="O347" s="92"/>
      <c r="P347" s="83">
        <f>IF(O347="1",'⚙️ Configuração'!$C$21,IF(O347="2",'⚙️ Configuração'!$C$22,IF(O347="3",'⚙️ Configuração'!$C$23,IF(O347="Outro",'⚙️ Configuração'!$C$24,0))))</f>
        <v>0</v>
      </c>
      <c r="Q347" s="84">
        <f t="shared" si="29"/>
        <v>0</v>
      </c>
      <c r="R347" s="40" t="str">
        <f t="shared" si="22"/>
        <v>Semana 1 — ver 🔄</v>
      </c>
      <c r="S347" t="str" cm="1">
        <f t="array" ref="S347">IF(D347="","",IFERROR(_xlfn.SWITCH(B347,"Semana 1",IFERROR(INDEX('🔄 Rotação Duplas'!$D$8:$D$17,MATCH(D347,'🔄 Rotação Duplas'!$C$8:$C$17,0)),INDEX('🔄 Rotação Duplas'!$C$8:$C$17,MATCH(D347,'🔄 Rotação Duplas'!$D$8:$D$17,0))),"Semana 2",IFERROR(INDEX('🔄 Rotação Duplas'!$D$22:$D$31,MATCH(D347,'🔄 Rotação Duplas'!$C$22:$C$31,0)),INDEX('🔄 Rotação Duplas'!$C$22:$C$31,MATCH(D347,'🔄 Rotação Duplas'!$D$22:$D$31,0))),"Semana 3",IFERROR(INDEX('🔄 Rotação Duplas'!$D$36:$D$45,MATCH(D347,'🔄 Rotação Duplas'!$C$36:$C$45,0)),INDEX('🔄 Rotação Duplas'!$C$36:$C$45,MATCH(D347,'🔄 Rotação Duplas'!$D$36:$D$45,0))),"Semana 4",IFERROR(INDEX('🔄 Rotação Duplas'!$D$50:$D$59,MATCH(D347,'🔄 Rotação Duplas'!$C$50:$C$59,0)),INDEX('🔄 Rotação Duplas'!$C$50:$C$59,MATCH(D347,'🔄 Rotação Duplas'!$D$50:$D$59,0))),"Semana 5",IFERROR(INDEX('🔄 Rotação Duplas'!$D$64:$D$73,MATCH(D347,'🔄 Rotação Duplas'!$C$64:$C$73,0)),INDEX('🔄 Rotação Duplas'!$C$64:$C$73,MATCH(D347,'🔄 Rotação Duplas'!$D$64:$D$73,0))),"Semana 6",IFERROR(INDEX('🔄 Rotação Duplas'!$D$78:$D$87,MATCH(D347,'🔄 Rotação Duplas'!$C$78:$C$87,0)),INDEX('🔄 Rotação Duplas'!$C$78:$C$87,MATCH(D347,'🔄 Rotação Duplas'!$D$78:$D$87,0))),"Semana 7",IFERROR(INDEX('🔄 Rotação Duplas'!$D$92:$D$101,MATCH(D347,'🔄 Rotação Duplas'!$C$92:$C$101,0)),INDEX('🔄 Rotação Duplas'!$C$92:$C$101,MATCH(D347,'🔄 Rotação Duplas'!$D$92:$D$101,0))),"Semana 8",IFERROR(INDEX('🔄 Rotação Duplas'!$D$106:$D$115,MATCH(D347,'🔄 Rotação Duplas'!$C$106:$C$115,0)),INDEX('🔄 Rotação Duplas'!$C$106:$C$115,MATCH(D347,'🔄 Rotação Duplas'!$D$106:$D$115,0)))),""))</f>
        <v/>
      </c>
      <c r="T347">
        <f t="shared" si="30"/>
        <v>0</v>
      </c>
    </row>
    <row r="348" spans="2:20" ht="18" customHeight="1" x14ac:dyDescent="0.2">
      <c r="B348" s="85" t="s">
        <v>99</v>
      </c>
      <c r="C348" s="86" t="str">
        <f t="shared" si="31"/>
        <v>Desafio 18</v>
      </c>
      <c r="D348" s="87" t="str">
        <f>'⚙️ Configuração'!C31</f>
        <v>Elisabete Mendes</v>
      </c>
      <c r="E348" s="50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81">
        <f>(E348*'⚙️ Configuração'!$C$6+F348*'⚙️ Configuração'!$C$7+G348*'⚙️ Configuração'!$C$8+H348*'⚙️ Configuração'!$C$9+I348*'⚙️ Configuração'!$C$10+J348*'⚙️ Configuração'!$C$11)*IF(N348="S",2,1)</f>
        <v>0</v>
      </c>
      <c r="L348" s="90" t="s">
        <v>167</v>
      </c>
      <c r="M348" s="82">
        <f>IF(L348="AT1",'⚙️ Configuração'!$C$14,IF(L348="AT2",'⚙️ Configuração'!$C$15,IF(L348="FI",'⚙️ Configuração'!$C$16,IF(L348="FJ",'⚙️ Configuração'!$C$17,0))))</f>
        <v>0</v>
      </c>
      <c r="N348" s="91" t="s">
        <v>167</v>
      </c>
      <c r="O348" s="92"/>
      <c r="P348" s="83">
        <f>IF(O348="1",'⚙️ Configuração'!$C$21,IF(O348="2",'⚙️ Configuração'!$C$22,IF(O348="3",'⚙️ Configuração'!$C$23,IF(O348="Outro",'⚙️ Configuração'!$C$24,0))))</f>
        <v>0</v>
      </c>
      <c r="Q348" s="84">
        <f t="shared" si="29"/>
        <v>0</v>
      </c>
      <c r="R348" s="40" t="str">
        <f t="shared" si="22"/>
        <v>Semana 1 — ver 🔄</v>
      </c>
      <c r="S348" t="str" cm="1">
        <f t="array" ref="S348">IF(D348="","",IFERROR(_xlfn.SWITCH(B348,"Semana 1",IFERROR(INDEX('🔄 Rotação Duplas'!$D$8:$D$17,MATCH(D348,'🔄 Rotação Duplas'!$C$8:$C$17,0)),INDEX('🔄 Rotação Duplas'!$C$8:$C$17,MATCH(D348,'🔄 Rotação Duplas'!$D$8:$D$17,0))),"Semana 2",IFERROR(INDEX('🔄 Rotação Duplas'!$D$22:$D$31,MATCH(D348,'🔄 Rotação Duplas'!$C$22:$C$31,0)),INDEX('🔄 Rotação Duplas'!$C$22:$C$31,MATCH(D348,'🔄 Rotação Duplas'!$D$22:$D$31,0))),"Semana 3",IFERROR(INDEX('🔄 Rotação Duplas'!$D$36:$D$45,MATCH(D348,'🔄 Rotação Duplas'!$C$36:$C$45,0)),INDEX('🔄 Rotação Duplas'!$C$36:$C$45,MATCH(D348,'🔄 Rotação Duplas'!$D$36:$D$45,0))),"Semana 4",IFERROR(INDEX('🔄 Rotação Duplas'!$D$50:$D$59,MATCH(D348,'🔄 Rotação Duplas'!$C$50:$C$59,0)),INDEX('🔄 Rotação Duplas'!$C$50:$C$59,MATCH(D348,'🔄 Rotação Duplas'!$D$50:$D$59,0))),"Semana 5",IFERROR(INDEX('🔄 Rotação Duplas'!$D$64:$D$73,MATCH(D348,'🔄 Rotação Duplas'!$C$64:$C$73,0)),INDEX('🔄 Rotação Duplas'!$C$64:$C$73,MATCH(D348,'🔄 Rotação Duplas'!$D$64:$D$73,0))),"Semana 6",IFERROR(INDEX('🔄 Rotação Duplas'!$D$78:$D$87,MATCH(D348,'🔄 Rotação Duplas'!$C$78:$C$87,0)),INDEX('🔄 Rotação Duplas'!$C$78:$C$87,MATCH(D348,'🔄 Rotação Duplas'!$D$78:$D$87,0))),"Semana 7",IFERROR(INDEX('🔄 Rotação Duplas'!$D$92:$D$101,MATCH(D348,'🔄 Rotação Duplas'!$C$92:$C$101,0)),INDEX('🔄 Rotação Duplas'!$C$92:$C$101,MATCH(D348,'🔄 Rotação Duplas'!$D$92:$D$101,0))),"Semana 8",IFERROR(INDEX('🔄 Rotação Duplas'!$D$106:$D$115,MATCH(D348,'🔄 Rotação Duplas'!$C$106:$C$115,0)),INDEX('🔄 Rotação Duplas'!$C$106:$C$115,MATCH(D348,'🔄 Rotação Duplas'!$D$106:$D$115,0)))),""))</f>
        <v/>
      </c>
      <c r="T348">
        <f t="shared" si="30"/>
        <v>0</v>
      </c>
    </row>
    <row r="349" spans="2:20" ht="18" customHeight="1" x14ac:dyDescent="0.2">
      <c r="B349" s="78" t="s">
        <v>99</v>
      </c>
      <c r="C349" s="79" t="str">
        <f t="shared" si="31"/>
        <v>Desafio 18</v>
      </c>
      <c r="D349" s="80" t="str">
        <f>'⚙️ Configuração'!C32</f>
        <v>Filipa Cunha</v>
      </c>
      <c r="E349" s="50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81">
        <f>(E349*'⚙️ Configuração'!$C$6+F349*'⚙️ Configuração'!$C$7+G349*'⚙️ Configuração'!$C$8+H349*'⚙️ Configuração'!$C$9+I349*'⚙️ Configuração'!$C$10+J349*'⚙️ Configuração'!$C$11)*IF(N349="S",2,1)</f>
        <v>0</v>
      </c>
      <c r="L349" s="90" t="s">
        <v>167</v>
      </c>
      <c r="M349" s="82">
        <f>IF(L349="AT1",'⚙️ Configuração'!$C$14,IF(L349="AT2",'⚙️ Configuração'!$C$15,IF(L349="FI",'⚙️ Configuração'!$C$16,IF(L349="FJ",'⚙️ Configuração'!$C$17,0))))</f>
        <v>0</v>
      </c>
      <c r="N349" s="91" t="s">
        <v>167</v>
      </c>
      <c r="O349" s="92"/>
      <c r="P349" s="83">
        <f>IF(O349="1",'⚙️ Configuração'!$C$21,IF(O349="2",'⚙️ Configuração'!$C$22,IF(O349="3",'⚙️ Configuração'!$C$23,IF(O349="Outro",'⚙️ Configuração'!$C$24,0))))</f>
        <v>0</v>
      </c>
      <c r="Q349" s="84">
        <f t="shared" si="29"/>
        <v>0</v>
      </c>
      <c r="R349" s="40" t="str">
        <f t="shared" si="22"/>
        <v>Semana 1 — ver 🔄</v>
      </c>
      <c r="S349" t="str" cm="1">
        <f t="array" ref="S349">IF(D349="","",IFERROR(_xlfn.SWITCH(B349,"Semana 1",IFERROR(INDEX('🔄 Rotação Duplas'!$D$8:$D$17,MATCH(D349,'🔄 Rotação Duplas'!$C$8:$C$17,0)),INDEX('🔄 Rotação Duplas'!$C$8:$C$17,MATCH(D349,'🔄 Rotação Duplas'!$D$8:$D$17,0))),"Semana 2",IFERROR(INDEX('🔄 Rotação Duplas'!$D$22:$D$31,MATCH(D349,'🔄 Rotação Duplas'!$C$22:$C$31,0)),INDEX('🔄 Rotação Duplas'!$C$22:$C$31,MATCH(D349,'🔄 Rotação Duplas'!$D$22:$D$31,0))),"Semana 3",IFERROR(INDEX('🔄 Rotação Duplas'!$D$36:$D$45,MATCH(D349,'🔄 Rotação Duplas'!$C$36:$C$45,0)),INDEX('🔄 Rotação Duplas'!$C$36:$C$45,MATCH(D349,'🔄 Rotação Duplas'!$D$36:$D$45,0))),"Semana 4",IFERROR(INDEX('🔄 Rotação Duplas'!$D$50:$D$59,MATCH(D349,'🔄 Rotação Duplas'!$C$50:$C$59,0)),INDEX('🔄 Rotação Duplas'!$C$50:$C$59,MATCH(D349,'🔄 Rotação Duplas'!$D$50:$D$59,0))),"Semana 5",IFERROR(INDEX('🔄 Rotação Duplas'!$D$64:$D$73,MATCH(D349,'🔄 Rotação Duplas'!$C$64:$C$73,0)),INDEX('🔄 Rotação Duplas'!$C$64:$C$73,MATCH(D349,'🔄 Rotação Duplas'!$D$64:$D$73,0))),"Semana 6",IFERROR(INDEX('🔄 Rotação Duplas'!$D$78:$D$87,MATCH(D349,'🔄 Rotação Duplas'!$C$78:$C$87,0)),INDEX('🔄 Rotação Duplas'!$C$78:$C$87,MATCH(D349,'🔄 Rotação Duplas'!$D$78:$D$87,0))),"Semana 7",IFERROR(INDEX('🔄 Rotação Duplas'!$D$92:$D$101,MATCH(D349,'🔄 Rotação Duplas'!$C$92:$C$101,0)),INDEX('🔄 Rotação Duplas'!$C$92:$C$101,MATCH(D349,'🔄 Rotação Duplas'!$D$92:$D$101,0))),"Semana 8",IFERROR(INDEX('🔄 Rotação Duplas'!$D$106:$D$115,MATCH(D349,'🔄 Rotação Duplas'!$C$106:$C$115,0)),INDEX('🔄 Rotação Duplas'!$C$106:$C$115,MATCH(D349,'🔄 Rotação Duplas'!$D$106:$D$115,0)))),""))</f>
        <v/>
      </c>
      <c r="T349">
        <f t="shared" si="30"/>
        <v>0</v>
      </c>
    </row>
    <row r="350" spans="2:20" ht="18" customHeight="1" x14ac:dyDescent="0.2">
      <c r="B350" s="85" t="s">
        <v>99</v>
      </c>
      <c r="C350" s="86" t="str">
        <f t="shared" si="31"/>
        <v>Desafio 18</v>
      </c>
      <c r="D350" s="87" t="str">
        <f>'⚙️ Configuração'!C33</f>
        <v>Helena Rocha</v>
      </c>
      <c r="E350" s="50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81">
        <f>(E350*'⚙️ Configuração'!$C$6+F350*'⚙️ Configuração'!$C$7+G350*'⚙️ Configuração'!$C$8+H350*'⚙️ Configuração'!$C$9+I350*'⚙️ Configuração'!$C$10+J350*'⚙️ Configuração'!$C$11)*IF(N350="S",2,1)</f>
        <v>0</v>
      </c>
      <c r="L350" s="90" t="s">
        <v>167</v>
      </c>
      <c r="M350" s="82">
        <f>IF(L350="AT1",'⚙️ Configuração'!$C$14,IF(L350="AT2",'⚙️ Configuração'!$C$15,IF(L350="FI",'⚙️ Configuração'!$C$16,IF(L350="FJ",'⚙️ Configuração'!$C$17,0))))</f>
        <v>0</v>
      </c>
      <c r="N350" s="91" t="s">
        <v>167</v>
      </c>
      <c r="O350" s="92"/>
      <c r="P350" s="83">
        <f>IF(O350="1",'⚙️ Configuração'!$C$21,IF(O350="2",'⚙️ Configuração'!$C$22,IF(O350="3",'⚙️ Configuração'!$C$23,IF(O350="Outro",'⚙️ Configuração'!$C$24,0))))</f>
        <v>0</v>
      </c>
      <c r="Q350" s="84">
        <f t="shared" si="29"/>
        <v>0</v>
      </c>
      <c r="R350" s="40" t="str">
        <f t="shared" si="22"/>
        <v>Semana 1 — ver 🔄</v>
      </c>
      <c r="S350" t="str" cm="1">
        <f t="array" ref="S350">IF(D350="","",IFERROR(_xlfn.SWITCH(B350,"Semana 1",IFERROR(INDEX('🔄 Rotação Duplas'!$D$8:$D$17,MATCH(D350,'🔄 Rotação Duplas'!$C$8:$C$17,0)),INDEX('🔄 Rotação Duplas'!$C$8:$C$17,MATCH(D350,'🔄 Rotação Duplas'!$D$8:$D$17,0))),"Semana 2",IFERROR(INDEX('🔄 Rotação Duplas'!$D$22:$D$31,MATCH(D350,'🔄 Rotação Duplas'!$C$22:$C$31,0)),INDEX('🔄 Rotação Duplas'!$C$22:$C$31,MATCH(D350,'🔄 Rotação Duplas'!$D$22:$D$31,0))),"Semana 3",IFERROR(INDEX('🔄 Rotação Duplas'!$D$36:$D$45,MATCH(D350,'🔄 Rotação Duplas'!$C$36:$C$45,0)),INDEX('🔄 Rotação Duplas'!$C$36:$C$45,MATCH(D350,'🔄 Rotação Duplas'!$D$36:$D$45,0))),"Semana 4",IFERROR(INDEX('🔄 Rotação Duplas'!$D$50:$D$59,MATCH(D350,'🔄 Rotação Duplas'!$C$50:$C$59,0)),INDEX('🔄 Rotação Duplas'!$C$50:$C$59,MATCH(D350,'🔄 Rotação Duplas'!$D$50:$D$59,0))),"Semana 5",IFERROR(INDEX('🔄 Rotação Duplas'!$D$64:$D$73,MATCH(D350,'🔄 Rotação Duplas'!$C$64:$C$73,0)),INDEX('🔄 Rotação Duplas'!$C$64:$C$73,MATCH(D350,'🔄 Rotação Duplas'!$D$64:$D$73,0))),"Semana 6",IFERROR(INDEX('🔄 Rotação Duplas'!$D$78:$D$87,MATCH(D350,'🔄 Rotação Duplas'!$C$78:$C$87,0)),INDEX('🔄 Rotação Duplas'!$C$78:$C$87,MATCH(D350,'🔄 Rotação Duplas'!$D$78:$D$87,0))),"Semana 7",IFERROR(INDEX('🔄 Rotação Duplas'!$D$92:$D$101,MATCH(D350,'🔄 Rotação Duplas'!$C$92:$C$101,0)),INDEX('🔄 Rotação Duplas'!$C$92:$C$101,MATCH(D350,'🔄 Rotação Duplas'!$D$92:$D$101,0))),"Semana 8",IFERROR(INDEX('🔄 Rotação Duplas'!$D$106:$D$115,MATCH(D350,'🔄 Rotação Duplas'!$C$106:$C$115,0)),INDEX('🔄 Rotação Duplas'!$C$106:$C$115,MATCH(D350,'🔄 Rotação Duplas'!$D$106:$D$115,0)))),""))</f>
        <v/>
      </c>
      <c r="T350">
        <f t="shared" si="30"/>
        <v>0</v>
      </c>
    </row>
    <row r="351" spans="2:20" ht="18" customHeight="1" x14ac:dyDescent="0.2">
      <c r="B351" s="78" t="s">
        <v>99</v>
      </c>
      <c r="C351" s="79" t="str">
        <f t="shared" si="31"/>
        <v>Desafio 18</v>
      </c>
      <c r="D351" s="80" t="str">
        <f>'⚙️ Configuração'!C34</f>
        <v>João Xavier</v>
      </c>
      <c r="E351" s="50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81">
        <f>(E351*'⚙️ Configuração'!$C$6+F351*'⚙️ Configuração'!$C$7+G351*'⚙️ Configuração'!$C$8+H351*'⚙️ Configuração'!$C$9+I351*'⚙️ Configuração'!$C$10+J351*'⚙️ Configuração'!$C$11)*IF(N351="S",2,1)</f>
        <v>0</v>
      </c>
      <c r="L351" s="90" t="s">
        <v>167</v>
      </c>
      <c r="M351" s="82">
        <f>IF(L351="AT1",'⚙️ Configuração'!$C$14,IF(L351="AT2",'⚙️ Configuração'!$C$15,IF(L351="FI",'⚙️ Configuração'!$C$16,IF(L351="FJ",'⚙️ Configuração'!$C$17,0))))</f>
        <v>0</v>
      </c>
      <c r="N351" s="91" t="s">
        <v>167</v>
      </c>
      <c r="O351" s="92"/>
      <c r="P351" s="83">
        <f>IF(O351="1",'⚙️ Configuração'!$C$21,IF(O351="2",'⚙️ Configuração'!$C$22,IF(O351="3",'⚙️ Configuração'!$C$23,IF(O351="Outro",'⚙️ Configuração'!$C$24,0))))</f>
        <v>0</v>
      </c>
      <c r="Q351" s="84">
        <f t="shared" si="29"/>
        <v>0</v>
      </c>
      <c r="R351" s="40" t="str">
        <f t="shared" si="22"/>
        <v>Semana 1 — ver 🔄</v>
      </c>
      <c r="S351" t="str" cm="1">
        <f t="array" ref="S351">IF(D351="","",IFERROR(_xlfn.SWITCH(B351,"Semana 1",IFERROR(INDEX('🔄 Rotação Duplas'!$D$8:$D$17,MATCH(D351,'🔄 Rotação Duplas'!$C$8:$C$17,0)),INDEX('🔄 Rotação Duplas'!$C$8:$C$17,MATCH(D351,'🔄 Rotação Duplas'!$D$8:$D$17,0))),"Semana 2",IFERROR(INDEX('🔄 Rotação Duplas'!$D$22:$D$31,MATCH(D351,'🔄 Rotação Duplas'!$C$22:$C$31,0)),INDEX('🔄 Rotação Duplas'!$C$22:$C$31,MATCH(D351,'🔄 Rotação Duplas'!$D$22:$D$31,0))),"Semana 3",IFERROR(INDEX('🔄 Rotação Duplas'!$D$36:$D$45,MATCH(D351,'🔄 Rotação Duplas'!$C$36:$C$45,0)),INDEX('🔄 Rotação Duplas'!$C$36:$C$45,MATCH(D351,'🔄 Rotação Duplas'!$D$36:$D$45,0))),"Semana 4",IFERROR(INDEX('🔄 Rotação Duplas'!$D$50:$D$59,MATCH(D351,'🔄 Rotação Duplas'!$C$50:$C$59,0)),INDEX('🔄 Rotação Duplas'!$C$50:$C$59,MATCH(D351,'🔄 Rotação Duplas'!$D$50:$D$59,0))),"Semana 5",IFERROR(INDEX('🔄 Rotação Duplas'!$D$64:$D$73,MATCH(D351,'🔄 Rotação Duplas'!$C$64:$C$73,0)),INDEX('🔄 Rotação Duplas'!$C$64:$C$73,MATCH(D351,'🔄 Rotação Duplas'!$D$64:$D$73,0))),"Semana 6",IFERROR(INDEX('🔄 Rotação Duplas'!$D$78:$D$87,MATCH(D351,'🔄 Rotação Duplas'!$C$78:$C$87,0)),INDEX('🔄 Rotação Duplas'!$C$78:$C$87,MATCH(D351,'🔄 Rotação Duplas'!$D$78:$D$87,0))),"Semana 7",IFERROR(INDEX('🔄 Rotação Duplas'!$D$92:$D$101,MATCH(D351,'🔄 Rotação Duplas'!$C$92:$C$101,0)),INDEX('🔄 Rotação Duplas'!$C$92:$C$101,MATCH(D351,'🔄 Rotação Duplas'!$D$92:$D$101,0))),"Semana 8",IFERROR(INDEX('🔄 Rotação Duplas'!$D$106:$D$115,MATCH(D351,'🔄 Rotação Duplas'!$C$106:$C$115,0)),INDEX('🔄 Rotação Duplas'!$C$106:$C$115,MATCH(D351,'🔄 Rotação Duplas'!$D$106:$D$115,0)))),""))</f>
        <v/>
      </c>
      <c r="T351">
        <f t="shared" si="30"/>
        <v>0</v>
      </c>
    </row>
    <row r="352" spans="2:20" ht="18" customHeight="1" x14ac:dyDescent="0.2">
      <c r="B352" s="85" t="s">
        <v>99</v>
      </c>
      <c r="C352" s="86" t="str">
        <f t="shared" si="31"/>
        <v>Desafio 18</v>
      </c>
      <c r="D352" s="87" t="str">
        <f>'⚙️ Configuração'!C35</f>
        <v>Tomás Carlos</v>
      </c>
      <c r="E352" s="50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81">
        <f>(E352*'⚙️ Configuração'!$C$6+F352*'⚙️ Configuração'!$C$7+G352*'⚙️ Configuração'!$C$8+H352*'⚙️ Configuração'!$C$9+I352*'⚙️ Configuração'!$C$10+J352*'⚙️ Configuração'!$C$11)*IF(N352="S",2,1)</f>
        <v>0</v>
      </c>
      <c r="L352" s="90" t="s">
        <v>167</v>
      </c>
      <c r="M352" s="82">
        <f>IF(L352="AT1",'⚙️ Configuração'!$C$14,IF(L352="AT2",'⚙️ Configuração'!$C$15,IF(L352="FI",'⚙️ Configuração'!$C$16,IF(L352="FJ",'⚙️ Configuração'!$C$17,0))))</f>
        <v>0</v>
      </c>
      <c r="N352" s="91" t="s">
        <v>167</v>
      </c>
      <c r="O352" s="92"/>
      <c r="P352" s="83">
        <f>IF(O352="1",'⚙️ Configuração'!$C$21,IF(O352="2",'⚙️ Configuração'!$C$22,IF(O352="3",'⚙️ Configuração'!$C$23,IF(O352="Outro",'⚙️ Configuração'!$C$24,0))))</f>
        <v>0</v>
      </c>
      <c r="Q352" s="84">
        <f t="shared" si="29"/>
        <v>0</v>
      </c>
      <c r="R352" s="40" t="str">
        <f t="shared" si="22"/>
        <v>Semana 1 — ver 🔄</v>
      </c>
      <c r="S352" t="str" cm="1">
        <f t="array" ref="S352">IF(D352="","",IFERROR(_xlfn.SWITCH(B352,"Semana 1",IFERROR(INDEX('🔄 Rotação Duplas'!$D$8:$D$17,MATCH(D352,'🔄 Rotação Duplas'!$C$8:$C$17,0)),INDEX('🔄 Rotação Duplas'!$C$8:$C$17,MATCH(D352,'🔄 Rotação Duplas'!$D$8:$D$17,0))),"Semana 2",IFERROR(INDEX('🔄 Rotação Duplas'!$D$22:$D$31,MATCH(D352,'🔄 Rotação Duplas'!$C$22:$C$31,0)),INDEX('🔄 Rotação Duplas'!$C$22:$C$31,MATCH(D352,'🔄 Rotação Duplas'!$D$22:$D$31,0))),"Semana 3",IFERROR(INDEX('🔄 Rotação Duplas'!$D$36:$D$45,MATCH(D352,'🔄 Rotação Duplas'!$C$36:$C$45,0)),INDEX('🔄 Rotação Duplas'!$C$36:$C$45,MATCH(D352,'🔄 Rotação Duplas'!$D$36:$D$45,0))),"Semana 4",IFERROR(INDEX('🔄 Rotação Duplas'!$D$50:$D$59,MATCH(D352,'🔄 Rotação Duplas'!$C$50:$C$59,0)),INDEX('🔄 Rotação Duplas'!$C$50:$C$59,MATCH(D352,'🔄 Rotação Duplas'!$D$50:$D$59,0))),"Semana 5",IFERROR(INDEX('🔄 Rotação Duplas'!$D$64:$D$73,MATCH(D352,'🔄 Rotação Duplas'!$C$64:$C$73,0)),INDEX('🔄 Rotação Duplas'!$C$64:$C$73,MATCH(D352,'🔄 Rotação Duplas'!$D$64:$D$73,0))),"Semana 6",IFERROR(INDEX('🔄 Rotação Duplas'!$D$78:$D$87,MATCH(D352,'🔄 Rotação Duplas'!$C$78:$C$87,0)),INDEX('🔄 Rotação Duplas'!$C$78:$C$87,MATCH(D352,'🔄 Rotação Duplas'!$D$78:$D$87,0))),"Semana 7",IFERROR(INDEX('🔄 Rotação Duplas'!$D$92:$D$101,MATCH(D352,'🔄 Rotação Duplas'!$C$92:$C$101,0)),INDEX('🔄 Rotação Duplas'!$C$92:$C$101,MATCH(D352,'🔄 Rotação Duplas'!$D$92:$D$101,0))),"Semana 8",IFERROR(INDEX('🔄 Rotação Duplas'!$D$106:$D$115,MATCH(D352,'🔄 Rotação Duplas'!$C$106:$C$115,0)),INDEX('🔄 Rotação Duplas'!$C$106:$C$115,MATCH(D352,'🔄 Rotação Duplas'!$D$106:$D$115,0)))),""))</f>
        <v/>
      </c>
      <c r="T352">
        <f t="shared" si="30"/>
        <v>0</v>
      </c>
    </row>
    <row r="353" spans="2:20" ht="18" customHeight="1" x14ac:dyDescent="0.2">
      <c r="B353" s="78" t="s">
        <v>99</v>
      </c>
      <c r="C353" s="79" t="str">
        <f t="shared" si="31"/>
        <v>Desafio 18</v>
      </c>
      <c r="D353" s="80" t="str">
        <f>'⚙️ Configuração'!C36</f>
        <v>Alexandra Correia</v>
      </c>
      <c r="E353" s="50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81">
        <f>(E353*'⚙️ Configuração'!$C$6+F353*'⚙️ Configuração'!$C$7+G353*'⚙️ Configuração'!$C$8+H353*'⚙️ Configuração'!$C$9+I353*'⚙️ Configuração'!$C$10+J353*'⚙️ Configuração'!$C$11)*IF(N353="S",2,1)</f>
        <v>0</v>
      </c>
      <c r="L353" s="90" t="s">
        <v>167</v>
      </c>
      <c r="M353" s="82">
        <f>IF(L353="AT1",'⚙️ Configuração'!$C$14,IF(L353="AT2",'⚙️ Configuração'!$C$15,IF(L353="FI",'⚙️ Configuração'!$C$16,IF(L353="FJ",'⚙️ Configuração'!$C$17,0))))</f>
        <v>0</v>
      </c>
      <c r="N353" s="91" t="s">
        <v>167</v>
      </c>
      <c r="O353" s="92"/>
      <c r="P353" s="83">
        <f>IF(O353="1",'⚙️ Configuração'!$C$21,IF(O353="2",'⚙️ Configuração'!$C$22,IF(O353="3",'⚙️ Configuração'!$C$23,IF(O353="Outro",'⚙️ Configuração'!$C$24,0))))</f>
        <v>0</v>
      </c>
      <c r="Q353" s="84">
        <f t="shared" si="29"/>
        <v>0</v>
      </c>
      <c r="R353" s="40" t="str">
        <f t="shared" si="22"/>
        <v>Semana 1 — ver 🔄</v>
      </c>
      <c r="S353" t="str" cm="1">
        <f t="array" ref="S353">IF(D353="","",IFERROR(_xlfn.SWITCH(B353,"Semana 1",IFERROR(INDEX('🔄 Rotação Duplas'!$D$8:$D$17,MATCH(D353,'🔄 Rotação Duplas'!$C$8:$C$17,0)),INDEX('🔄 Rotação Duplas'!$C$8:$C$17,MATCH(D353,'🔄 Rotação Duplas'!$D$8:$D$17,0))),"Semana 2",IFERROR(INDEX('🔄 Rotação Duplas'!$D$22:$D$31,MATCH(D353,'🔄 Rotação Duplas'!$C$22:$C$31,0)),INDEX('🔄 Rotação Duplas'!$C$22:$C$31,MATCH(D353,'🔄 Rotação Duplas'!$D$22:$D$31,0))),"Semana 3",IFERROR(INDEX('🔄 Rotação Duplas'!$D$36:$D$45,MATCH(D353,'🔄 Rotação Duplas'!$C$36:$C$45,0)),INDEX('🔄 Rotação Duplas'!$C$36:$C$45,MATCH(D353,'🔄 Rotação Duplas'!$D$36:$D$45,0))),"Semana 4",IFERROR(INDEX('🔄 Rotação Duplas'!$D$50:$D$59,MATCH(D353,'🔄 Rotação Duplas'!$C$50:$C$59,0)),INDEX('🔄 Rotação Duplas'!$C$50:$C$59,MATCH(D353,'🔄 Rotação Duplas'!$D$50:$D$59,0))),"Semana 5",IFERROR(INDEX('🔄 Rotação Duplas'!$D$64:$D$73,MATCH(D353,'🔄 Rotação Duplas'!$C$64:$C$73,0)),INDEX('🔄 Rotação Duplas'!$C$64:$C$73,MATCH(D353,'🔄 Rotação Duplas'!$D$64:$D$73,0))),"Semana 6",IFERROR(INDEX('🔄 Rotação Duplas'!$D$78:$D$87,MATCH(D353,'🔄 Rotação Duplas'!$C$78:$C$87,0)),INDEX('🔄 Rotação Duplas'!$C$78:$C$87,MATCH(D353,'🔄 Rotação Duplas'!$D$78:$D$87,0))),"Semana 7",IFERROR(INDEX('🔄 Rotação Duplas'!$D$92:$D$101,MATCH(D353,'🔄 Rotação Duplas'!$C$92:$C$101,0)),INDEX('🔄 Rotação Duplas'!$C$92:$C$101,MATCH(D353,'🔄 Rotação Duplas'!$D$92:$D$101,0))),"Semana 8",IFERROR(INDEX('🔄 Rotação Duplas'!$D$106:$D$115,MATCH(D353,'🔄 Rotação Duplas'!$C$106:$C$115,0)),INDEX('🔄 Rotação Duplas'!$C$106:$C$115,MATCH(D353,'🔄 Rotação Duplas'!$D$106:$D$115,0)))),""))</f>
        <v/>
      </c>
      <c r="T353">
        <f t="shared" si="30"/>
        <v>0</v>
      </c>
    </row>
    <row r="354" spans="2:20" ht="18" customHeight="1" x14ac:dyDescent="0.2">
      <c r="B354" s="85" t="s">
        <v>99</v>
      </c>
      <c r="C354" s="86" t="str">
        <f t="shared" si="31"/>
        <v>Desafio 18</v>
      </c>
      <c r="D354" s="87" t="str">
        <f>'⚙️ Configuração'!C37</f>
        <v>Carla Barata</v>
      </c>
      <c r="E354" s="50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81">
        <f>(E354*'⚙️ Configuração'!$C$6+F354*'⚙️ Configuração'!$C$7+G354*'⚙️ Configuração'!$C$8+H354*'⚙️ Configuração'!$C$9+I354*'⚙️ Configuração'!$C$10+J354*'⚙️ Configuração'!$C$11)*IF(N354="S",2,1)</f>
        <v>0</v>
      </c>
      <c r="L354" s="90" t="s">
        <v>167</v>
      </c>
      <c r="M354" s="82">
        <f>IF(L354="AT1",'⚙️ Configuração'!$C$14,IF(L354="AT2",'⚙️ Configuração'!$C$15,IF(L354="FI",'⚙️ Configuração'!$C$16,IF(L354="FJ",'⚙️ Configuração'!$C$17,0))))</f>
        <v>0</v>
      </c>
      <c r="N354" s="91" t="s">
        <v>167</v>
      </c>
      <c r="O354" s="92"/>
      <c r="P354" s="83">
        <f>IF(O354="1",'⚙️ Configuração'!$C$21,IF(O354="2",'⚙️ Configuração'!$C$22,IF(O354="3",'⚙️ Configuração'!$C$23,IF(O354="Outro",'⚙️ Configuração'!$C$24,0))))</f>
        <v>0</v>
      </c>
      <c r="Q354" s="84">
        <f t="shared" si="29"/>
        <v>0</v>
      </c>
      <c r="R354" s="40" t="str">
        <f t="shared" si="22"/>
        <v>Semana 1 — ver 🔄</v>
      </c>
      <c r="S354" t="str" cm="1">
        <f t="array" ref="S354">IF(D354="","",IFERROR(_xlfn.SWITCH(B354,"Semana 1",IFERROR(INDEX('🔄 Rotação Duplas'!$D$8:$D$17,MATCH(D354,'🔄 Rotação Duplas'!$C$8:$C$17,0)),INDEX('🔄 Rotação Duplas'!$C$8:$C$17,MATCH(D354,'🔄 Rotação Duplas'!$D$8:$D$17,0))),"Semana 2",IFERROR(INDEX('🔄 Rotação Duplas'!$D$22:$D$31,MATCH(D354,'🔄 Rotação Duplas'!$C$22:$C$31,0)),INDEX('🔄 Rotação Duplas'!$C$22:$C$31,MATCH(D354,'🔄 Rotação Duplas'!$D$22:$D$31,0))),"Semana 3",IFERROR(INDEX('🔄 Rotação Duplas'!$D$36:$D$45,MATCH(D354,'🔄 Rotação Duplas'!$C$36:$C$45,0)),INDEX('🔄 Rotação Duplas'!$C$36:$C$45,MATCH(D354,'🔄 Rotação Duplas'!$D$36:$D$45,0))),"Semana 4",IFERROR(INDEX('🔄 Rotação Duplas'!$D$50:$D$59,MATCH(D354,'🔄 Rotação Duplas'!$C$50:$C$59,0)),INDEX('🔄 Rotação Duplas'!$C$50:$C$59,MATCH(D354,'🔄 Rotação Duplas'!$D$50:$D$59,0))),"Semana 5",IFERROR(INDEX('🔄 Rotação Duplas'!$D$64:$D$73,MATCH(D354,'🔄 Rotação Duplas'!$C$64:$C$73,0)),INDEX('🔄 Rotação Duplas'!$C$64:$C$73,MATCH(D354,'🔄 Rotação Duplas'!$D$64:$D$73,0))),"Semana 6",IFERROR(INDEX('🔄 Rotação Duplas'!$D$78:$D$87,MATCH(D354,'🔄 Rotação Duplas'!$C$78:$C$87,0)),INDEX('🔄 Rotação Duplas'!$C$78:$C$87,MATCH(D354,'🔄 Rotação Duplas'!$D$78:$D$87,0))),"Semana 7",IFERROR(INDEX('🔄 Rotação Duplas'!$D$92:$D$101,MATCH(D354,'🔄 Rotação Duplas'!$C$92:$C$101,0)),INDEX('🔄 Rotação Duplas'!$C$92:$C$101,MATCH(D354,'🔄 Rotação Duplas'!$D$92:$D$101,0))),"Semana 8",IFERROR(INDEX('🔄 Rotação Duplas'!$D$106:$D$115,MATCH(D354,'🔄 Rotação Duplas'!$C$106:$C$115,0)),INDEX('🔄 Rotação Duplas'!$C$106:$C$115,MATCH(D354,'🔄 Rotação Duplas'!$D$106:$D$115,0)))),""))</f>
        <v/>
      </c>
      <c r="T354">
        <f t="shared" si="30"/>
        <v>0</v>
      </c>
    </row>
    <row r="355" spans="2:20" ht="18" customHeight="1" x14ac:dyDescent="0.2">
      <c r="B355" s="78" t="s">
        <v>99</v>
      </c>
      <c r="C355" s="79" t="str">
        <f t="shared" si="31"/>
        <v>Desafio 18</v>
      </c>
      <c r="D355" s="80" t="str">
        <f>'⚙️ Configuração'!C38</f>
        <v>Denise Filipe</v>
      </c>
      <c r="E355" s="50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81">
        <f>(E355*'⚙️ Configuração'!$C$6+F355*'⚙️ Configuração'!$C$7+G355*'⚙️ Configuração'!$C$8+H355*'⚙️ Configuração'!$C$9+I355*'⚙️ Configuração'!$C$10+J355*'⚙️ Configuração'!$C$11)*IF(N355="S",2,1)</f>
        <v>0</v>
      </c>
      <c r="L355" s="90" t="s">
        <v>167</v>
      </c>
      <c r="M355" s="82">
        <f>IF(L355="AT1",'⚙️ Configuração'!$C$14,IF(L355="AT2",'⚙️ Configuração'!$C$15,IF(L355="FI",'⚙️ Configuração'!$C$16,IF(L355="FJ",'⚙️ Configuração'!$C$17,0))))</f>
        <v>0</v>
      </c>
      <c r="N355" s="91" t="s">
        <v>167</v>
      </c>
      <c r="O355" s="92"/>
      <c r="P355" s="83">
        <f>IF(O355="1",'⚙️ Configuração'!$C$21,IF(O355="2",'⚙️ Configuração'!$C$22,IF(O355="3",'⚙️ Configuração'!$C$23,IF(O355="Outro",'⚙️ Configuração'!$C$24,0))))</f>
        <v>0</v>
      </c>
      <c r="Q355" s="84">
        <f t="shared" si="29"/>
        <v>0</v>
      </c>
      <c r="R355" s="40" t="str">
        <f t="shared" si="22"/>
        <v>Semana 1 — ver 🔄</v>
      </c>
      <c r="S355" t="str" cm="1">
        <f t="array" ref="S355">IF(D355="","",IFERROR(_xlfn.SWITCH(B355,"Semana 1",IFERROR(INDEX('🔄 Rotação Duplas'!$D$8:$D$17,MATCH(D355,'🔄 Rotação Duplas'!$C$8:$C$17,0)),INDEX('🔄 Rotação Duplas'!$C$8:$C$17,MATCH(D355,'🔄 Rotação Duplas'!$D$8:$D$17,0))),"Semana 2",IFERROR(INDEX('🔄 Rotação Duplas'!$D$22:$D$31,MATCH(D355,'🔄 Rotação Duplas'!$C$22:$C$31,0)),INDEX('🔄 Rotação Duplas'!$C$22:$C$31,MATCH(D355,'🔄 Rotação Duplas'!$D$22:$D$31,0))),"Semana 3",IFERROR(INDEX('🔄 Rotação Duplas'!$D$36:$D$45,MATCH(D355,'🔄 Rotação Duplas'!$C$36:$C$45,0)),INDEX('🔄 Rotação Duplas'!$C$36:$C$45,MATCH(D355,'🔄 Rotação Duplas'!$D$36:$D$45,0))),"Semana 4",IFERROR(INDEX('🔄 Rotação Duplas'!$D$50:$D$59,MATCH(D355,'🔄 Rotação Duplas'!$C$50:$C$59,0)),INDEX('🔄 Rotação Duplas'!$C$50:$C$59,MATCH(D355,'🔄 Rotação Duplas'!$D$50:$D$59,0))),"Semana 5",IFERROR(INDEX('🔄 Rotação Duplas'!$D$64:$D$73,MATCH(D355,'🔄 Rotação Duplas'!$C$64:$C$73,0)),INDEX('🔄 Rotação Duplas'!$C$64:$C$73,MATCH(D355,'🔄 Rotação Duplas'!$D$64:$D$73,0))),"Semana 6",IFERROR(INDEX('🔄 Rotação Duplas'!$D$78:$D$87,MATCH(D355,'🔄 Rotação Duplas'!$C$78:$C$87,0)),INDEX('🔄 Rotação Duplas'!$C$78:$C$87,MATCH(D355,'🔄 Rotação Duplas'!$D$78:$D$87,0))),"Semana 7",IFERROR(INDEX('🔄 Rotação Duplas'!$D$92:$D$101,MATCH(D355,'🔄 Rotação Duplas'!$C$92:$C$101,0)),INDEX('🔄 Rotação Duplas'!$C$92:$C$101,MATCH(D355,'🔄 Rotação Duplas'!$D$92:$D$101,0))),"Semana 8",IFERROR(INDEX('🔄 Rotação Duplas'!$D$106:$D$115,MATCH(D355,'🔄 Rotação Duplas'!$C$106:$C$115,0)),INDEX('🔄 Rotação Duplas'!$C$106:$C$115,MATCH(D355,'🔄 Rotação Duplas'!$D$106:$D$115,0)))),""))</f>
        <v/>
      </c>
      <c r="T355">
        <f t="shared" si="30"/>
        <v>0</v>
      </c>
    </row>
    <row r="356" spans="2:20" ht="18" customHeight="1" x14ac:dyDescent="0.2">
      <c r="B356" s="85" t="s">
        <v>99</v>
      </c>
      <c r="C356" s="86" t="str">
        <f t="shared" si="31"/>
        <v>Desafio 18</v>
      </c>
      <c r="D356" s="87" t="str">
        <f>'⚙️ Configuração'!C39</f>
        <v>Fátima Rodriguez</v>
      </c>
      <c r="E356" s="50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81">
        <f>(E356*'⚙️ Configuração'!$C$6+F356*'⚙️ Configuração'!$C$7+G356*'⚙️ Configuração'!$C$8+H356*'⚙️ Configuração'!$C$9+I356*'⚙️ Configuração'!$C$10+J356*'⚙️ Configuração'!$C$11)*IF(N356="S",2,1)</f>
        <v>0</v>
      </c>
      <c r="L356" s="90" t="s">
        <v>167</v>
      </c>
      <c r="M356" s="82">
        <f>IF(L356="AT1",'⚙️ Configuração'!$C$14,IF(L356="AT2",'⚙️ Configuração'!$C$15,IF(L356="FI",'⚙️ Configuração'!$C$16,IF(L356="FJ",'⚙️ Configuração'!$C$17,0))))</f>
        <v>0</v>
      </c>
      <c r="N356" s="91" t="s">
        <v>167</v>
      </c>
      <c r="O356" s="92"/>
      <c r="P356" s="83">
        <f>IF(O356="1",'⚙️ Configuração'!$C$21,IF(O356="2",'⚙️ Configuração'!$C$22,IF(O356="3",'⚙️ Configuração'!$C$23,IF(O356="Outro",'⚙️ Configuração'!$C$24,0))))</f>
        <v>0</v>
      </c>
      <c r="Q356" s="84">
        <f t="shared" si="29"/>
        <v>0</v>
      </c>
      <c r="R356" s="40" t="str">
        <f t="shared" si="22"/>
        <v>Semana 1 — ver 🔄</v>
      </c>
      <c r="S356" t="str" cm="1">
        <f t="array" ref="S356">IF(D356="","",IFERROR(_xlfn.SWITCH(B356,"Semana 1",IFERROR(INDEX('🔄 Rotação Duplas'!$D$8:$D$17,MATCH(D356,'🔄 Rotação Duplas'!$C$8:$C$17,0)),INDEX('🔄 Rotação Duplas'!$C$8:$C$17,MATCH(D356,'🔄 Rotação Duplas'!$D$8:$D$17,0))),"Semana 2",IFERROR(INDEX('🔄 Rotação Duplas'!$D$22:$D$31,MATCH(D356,'🔄 Rotação Duplas'!$C$22:$C$31,0)),INDEX('🔄 Rotação Duplas'!$C$22:$C$31,MATCH(D356,'🔄 Rotação Duplas'!$D$22:$D$31,0))),"Semana 3",IFERROR(INDEX('🔄 Rotação Duplas'!$D$36:$D$45,MATCH(D356,'🔄 Rotação Duplas'!$C$36:$C$45,0)),INDEX('🔄 Rotação Duplas'!$C$36:$C$45,MATCH(D356,'🔄 Rotação Duplas'!$D$36:$D$45,0))),"Semana 4",IFERROR(INDEX('🔄 Rotação Duplas'!$D$50:$D$59,MATCH(D356,'🔄 Rotação Duplas'!$C$50:$C$59,0)),INDEX('🔄 Rotação Duplas'!$C$50:$C$59,MATCH(D356,'🔄 Rotação Duplas'!$D$50:$D$59,0))),"Semana 5",IFERROR(INDEX('🔄 Rotação Duplas'!$D$64:$D$73,MATCH(D356,'🔄 Rotação Duplas'!$C$64:$C$73,0)),INDEX('🔄 Rotação Duplas'!$C$64:$C$73,MATCH(D356,'🔄 Rotação Duplas'!$D$64:$D$73,0))),"Semana 6",IFERROR(INDEX('🔄 Rotação Duplas'!$D$78:$D$87,MATCH(D356,'🔄 Rotação Duplas'!$C$78:$C$87,0)),INDEX('🔄 Rotação Duplas'!$C$78:$C$87,MATCH(D356,'🔄 Rotação Duplas'!$D$78:$D$87,0))),"Semana 7",IFERROR(INDEX('🔄 Rotação Duplas'!$D$92:$D$101,MATCH(D356,'🔄 Rotação Duplas'!$C$92:$C$101,0)),INDEX('🔄 Rotação Duplas'!$C$92:$C$101,MATCH(D356,'🔄 Rotação Duplas'!$D$92:$D$101,0))),"Semana 8",IFERROR(INDEX('🔄 Rotação Duplas'!$D$106:$D$115,MATCH(D356,'🔄 Rotação Duplas'!$C$106:$C$115,0)),INDEX('🔄 Rotação Duplas'!$C$106:$C$115,MATCH(D356,'🔄 Rotação Duplas'!$D$106:$D$115,0)))),""))</f>
        <v/>
      </c>
      <c r="T356">
        <f t="shared" si="30"/>
        <v>0</v>
      </c>
    </row>
    <row r="357" spans="2:20" ht="18" customHeight="1" x14ac:dyDescent="0.2">
      <c r="B357" s="78" t="s">
        <v>99</v>
      </c>
      <c r="C357" s="79" t="str">
        <f t="shared" si="31"/>
        <v>Desafio 18</v>
      </c>
      <c r="D357" s="80" t="str">
        <f>'⚙️ Configuração'!C40</f>
        <v>Maria João Travassos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81">
        <f>(E357*'⚙️ Configuração'!$C$6+F357*'⚙️ Configuração'!$C$7+G357*'⚙️ Configuração'!$C$8+H357*'⚙️ Configuração'!$C$9+I357*'⚙️ Configuração'!$C$10+J357*'⚙️ Configuração'!$C$11)*IF(N357="S",2,1)</f>
        <v>0</v>
      </c>
      <c r="L357" s="90" t="s">
        <v>167</v>
      </c>
      <c r="M357" s="82">
        <f>IF(L357="AT1",'⚙️ Configuração'!$C$14,IF(L357="AT2",'⚙️ Configuração'!$C$15,IF(L357="FI",'⚙️ Configuração'!$C$16,IF(L357="FJ",'⚙️ Configuração'!$C$17,0))))</f>
        <v>0</v>
      </c>
      <c r="N357" s="91" t="s">
        <v>167</v>
      </c>
      <c r="O357" s="92"/>
      <c r="P357" s="83">
        <f>IF(O357="1",'⚙️ Configuração'!$C$21,IF(O357="2",'⚙️ Configuração'!$C$22,IF(O357="3",'⚙️ Configuração'!$C$23,IF(O357="Outro",'⚙️ Configuração'!$C$24,0))))</f>
        <v>0</v>
      </c>
      <c r="Q357" s="84">
        <f t="shared" si="29"/>
        <v>0</v>
      </c>
      <c r="R357" s="40" t="str">
        <f t="shared" si="22"/>
        <v>Semana 1 — ver 🔄</v>
      </c>
      <c r="S357" t="str" cm="1">
        <f t="array" ref="S357">IF(D357="","",IFERROR(_xlfn.SWITCH(B357,"Semana 1",IFERROR(INDEX('🔄 Rotação Duplas'!$D$8:$D$17,MATCH(D357,'🔄 Rotação Duplas'!$C$8:$C$17,0)),INDEX('🔄 Rotação Duplas'!$C$8:$C$17,MATCH(D357,'🔄 Rotação Duplas'!$D$8:$D$17,0))),"Semana 2",IFERROR(INDEX('🔄 Rotação Duplas'!$D$22:$D$31,MATCH(D357,'🔄 Rotação Duplas'!$C$22:$C$31,0)),INDEX('🔄 Rotação Duplas'!$C$22:$C$31,MATCH(D357,'🔄 Rotação Duplas'!$D$22:$D$31,0))),"Semana 3",IFERROR(INDEX('🔄 Rotação Duplas'!$D$36:$D$45,MATCH(D357,'🔄 Rotação Duplas'!$C$36:$C$45,0)),INDEX('🔄 Rotação Duplas'!$C$36:$C$45,MATCH(D357,'🔄 Rotação Duplas'!$D$36:$D$45,0))),"Semana 4",IFERROR(INDEX('🔄 Rotação Duplas'!$D$50:$D$59,MATCH(D357,'🔄 Rotação Duplas'!$C$50:$C$59,0)),INDEX('🔄 Rotação Duplas'!$C$50:$C$59,MATCH(D357,'🔄 Rotação Duplas'!$D$50:$D$59,0))),"Semana 5",IFERROR(INDEX('🔄 Rotação Duplas'!$D$64:$D$73,MATCH(D357,'🔄 Rotação Duplas'!$C$64:$C$73,0)),INDEX('🔄 Rotação Duplas'!$C$64:$C$73,MATCH(D357,'🔄 Rotação Duplas'!$D$64:$D$73,0))),"Semana 6",IFERROR(INDEX('🔄 Rotação Duplas'!$D$78:$D$87,MATCH(D357,'🔄 Rotação Duplas'!$C$78:$C$87,0)),INDEX('🔄 Rotação Duplas'!$C$78:$C$87,MATCH(D357,'🔄 Rotação Duplas'!$D$78:$D$87,0))),"Semana 7",IFERROR(INDEX('🔄 Rotação Duplas'!$D$92:$D$101,MATCH(D357,'🔄 Rotação Duplas'!$C$92:$C$101,0)),INDEX('🔄 Rotação Duplas'!$C$92:$C$101,MATCH(D357,'🔄 Rotação Duplas'!$D$92:$D$101,0))),"Semana 8",IFERROR(INDEX('🔄 Rotação Duplas'!$D$106:$D$115,MATCH(D357,'🔄 Rotação Duplas'!$C$106:$C$115,0)),INDEX('🔄 Rotação Duplas'!$C$106:$C$115,MATCH(D357,'🔄 Rotação Duplas'!$D$106:$D$115,0)))),""))</f>
        <v/>
      </c>
      <c r="T357">
        <f t="shared" si="30"/>
        <v>0</v>
      </c>
    </row>
    <row r="358" spans="2:20" ht="18" customHeight="1" x14ac:dyDescent="0.2">
      <c r="B358" s="85" t="s">
        <v>99</v>
      </c>
      <c r="C358" s="86" t="str">
        <f t="shared" si="31"/>
        <v>Desafio 18</v>
      </c>
      <c r="D358" s="87" t="str">
        <f>'⚙️ Configuração'!C41</f>
        <v>Marta Torres</v>
      </c>
      <c r="E358" s="50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81">
        <f>(E358*'⚙️ Configuração'!$C$6+F358*'⚙️ Configuração'!$C$7+G358*'⚙️ Configuração'!$C$8+H358*'⚙️ Configuração'!$C$9+I358*'⚙️ Configuração'!$C$10+J358*'⚙️ Configuração'!$C$11)*IF(N358="S",2,1)</f>
        <v>0</v>
      </c>
      <c r="L358" s="90" t="s">
        <v>167</v>
      </c>
      <c r="M358" s="82">
        <f>IF(L358="AT1",'⚙️ Configuração'!$C$14,IF(L358="AT2",'⚙️ Configuração'!$C$15,IF(L358="FI",'⚙️ Configuração'!$C$16,IF(L358="FJ",'⚙️ Configuração'!$C$17,0))))</f>
        <v>0</v>
      </c>
      <c r="N358" s="91" t="s">
        <v>167</v>
      </c>
      <c r="O358" s="92"/>
      <c r="P358" s="83">
        <f>IF(O358="1",'⚙️ Configuração'!$C$21,IF(O358="2",'⚙️ Configuração'!$C$22,IF(O358="3",'⚙️ Configuração'!$C$23,IF(O358="Outro",'⚙️ Configuração'!$C$24,0))))</f>
        <v>0</v>
      </c>
      <c r="Q358" s="84">
        <f t="shared" si="29"/>
        <v>0</v>
      </c>
      <c r="R358" s="40" t="str">
        <f t="shared" si="22"/>
        <v>Semana 1 — ver 🔄</v>
      </c>
      <c r="S358" t="str" cm="1">
        <f t="array" ref="S358">IF(D358="","",IFERROR(_xlfn.SWITCH(B358,"Semana 1",IFERROR(INDEX('🔄 Rotação Duplas'!$D$8:$D$17,MATCH(D358,'🔄 Rotação Duplas'!$C$8:$C$17,0)),INDEX('🔄 Rotação Duplas'!$C$8:$C$17,MATCH(D358,'🔄 Rotação Duplas'!$D$8:$D$17,0))),"Semana 2",IFERROR(INDEX('🔄 Rotação Duplas'!$D$22:$D$31,MATCH(D358,'🔄 Rotação Duplas'!$C$22:$C$31,0)),INDEX('🔄 Rotação Duplas'!$C$22:$C$31,MATCH(D358,'🔄 Rotação Duplas'!$D$22:$D$31,0))),"Semana 3",IFERROR(INDEX('🔄 Rotação Duplas'!$D$36:$D$45,MATCH(D358,'🔄 Rotação Duplas'!$C$36:$C$45,0)),INDEX('🔄 Rotação Duplas'!$C$36:$C$45,MATCH(D358,'🔄 Rotação Duplas'!$D$36:$D$45,0))),"Semana 4",IFERROR(INDEX('🔄 Rotação Duplas'!$D$50:$D$59,MATCH(D358,'🔄 Rotação Duplas'!$C$50:$C$59,0)),INDEX('🔄 Rotação Duplas'!$C$50:$C$59,MATCH(D358,'🔄 Rotação Duplas'!$D$50:$D$59,0))),"Semana 5",IFERROR(INDEX('🔄 Rotação Duplas'!$D$64:$D$73,MATCH(D358,'🔄 Rotação Duplas'!$C$64:$C$73,0)),INDEX('🔄 Rotação Duplas'!$C$64:$C$73,MATCH(D358,'🔄 Rotação Duplas'!$D$64:$D$73,0))),"Semana 6",IFERROR(INDEX('🔄 Rotação Duplas'!$D$78:$D$87,MATCH(D358,'🔄 Rotação Duplas'!$C$78:$C$87,0)),INDEX('🔄 Rotação Duplas'!$C$78:$C$87,MATCH(D358,'🔄 Rotação Duplas'!$D$78:$D$87,0))),"Semana 7",IFERROR(INDEX('🔄 Rotação Duplas'!$D$92:$D$101,MATCH(D358,'🔄 Rotação Duplas'!$C$92:$C$101,0)),INDEX('🔄 Rotação Duplas'!$C$92:$C$101,MATCH(D358,'🔄 Rotação Duplas'!$D$92:$D$101,0))),"Semana 8",IFERROR(INDEX('🔄 Rotação Duplas'!$D$106:$D$115,MATCH(D358,'🔄 Rotação Duplas'!$C$106:$C$115,0)),INDEX('🔄 Rotação Duplas'!$C$106:$C$115,MATCH(D358,'🔄 Rotação Duplas'!$D$106:$D$115,0)))),""))</f>
        <v/>
      </c>
      <c r="T358">
        <f t="shared" si="30"/>
        <v>0</v>
      </c>
    </row>
    <row r="359" spans="2:20" ht="18" customHeight="1" x14ac:dyDescent="0.2">
      <c r="B359" s="78" t="s">
        <v>99</v>
      </c>
      <c r="C359" s="79" t="str">
        <f t="shared" si="31"/>
        <v>Desafio 18</v>
      </c>
      <c r="D359" s="80" t="str">
        <f>'⚙️ Configuração'!C42</f>
        <v>Patricia Isabel Silva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81">
        <f>(E359*'⚙️ Configuração'!$C$6+F359*'⚙️ Configuração'!$C$7+G359*'⚙️ Configuração'!$C$8+H359*'⚙️ Configuração'!$C$9+I359*'⚙️ Configuração'!$C$10+J359*'⚙️ Configuração'!$C$11)*IF(N359="S",2,1)</f>
        <v>0</v>
      </c>
      <c r="L359" s="90" t="s">
        <v>167</v>
      </c>
      <c r="M359" s="82">
        <f>IF(L359="AT1",'⚙️ Configuração'!$C$14,IF(L359="AT2",'⚙️ Configuração'!$C$15,IF(L359="FI",'⚙️ Configuração'!$C$16,IF(L359="FJ",'⚙️ Configuração'!$C$17,0))))</f>
        <v>0</v>
      </c>
      <c r="N359" s="91" t="s">
        <v>167</v>
      </c>
      <c r="O359" s="92"/>
      <c r="P359" s="83">
        <f>IF(O359="1",'⚙️ Configuração'!$C$21,IF(O359="2",'⚙️ Configuração'!$C$22,IF(O359="3",'⚙️ Configuração'!$C$23,IF(O359="Outro",'⚙️ Configuração'!$C$24,0))))</f>
        <v>0</v>
      </c>
      <c r="Q359" s="84">
        <f t="shared" si="29"/>
        <v>0</v>
      </c>
      <c r="R359" s="40" t="str">
        <f t="shared" si="22"/>
        <v>Semana 1 — ver 🔄</v>
      </c>
      <c r="S359" t="str" cm="1">
        <f t="array" ref="S359">IF(D359="","",IFERROR(_xlfn.SWITCH(B359,"Semana 1",IFERROR(INDEX('🔄 Rotação Duplas'!$D$8:$D$17,MATCH(D359,'🔄 Rotação Duplas'!$C$8:$C$17,0)),INDEX('🔄 Rotação Duplas'!$C$8:$C$17,MATCH(D359,'🔄 Rotação Duplas'!$D$8:$D$17,0))),"Semana 2",IFERROR(INDEX('🔄 Rotação Duplas'!$D$22:$D$31,MATCH(D359,'🔄 Rotação Duplas'!$C$22:$C$31,0)),INDEX('🔄 Rotação Duplas'!$C$22:$C$31,MATCH(D359,'🔄 Rotação Duplas'!$D$22:$D$31,0))),"Semana 3",IFERROR(INDEX('🔄 Rotação Duplas'!$D$36:$D$45,MATCH(D359,'🔄 Rotação Duplas'!$C$36:$C$45,0)),INDEX('🔄 Rotação Duplas'!$C$36:$C$45,MATCH(D359,'🔄 Rotação Duplas'!$D$36:$D$45,0))),"Semana 4",IFERROR(INDEX('🔄 Rotação Duplas'!$D$50:$D$59,MATCH(D359,'🔄 Rotação Duplas'!$C$50:$C$59,0)),INDEX('🔄 Rotação Duplas'!$C$50:$C$59,MATCH(D359,'🔄 Rotação Duplas'!$D$50:$D$59,0))),"Semana 5",IFERROR(INDEX('🔄 Rotação Duplas'!$D$64:$D$73,MATCH(D359,'🔄 Rotação Duplas'!$C$64:$C$73,0)),INDEX('🔄 Rotação Duplas'!$C$64:$C$73,MATCH(D359,'🔄 Rotação Duplas'!$D$64:$D$73,0))),"Semana 6",IFERROR(INDEX('🔄 Rotação Duplas'!$D$78:$D$87,MATCH(D359,'🔄 Rotação Duplas'!$C$78:$C$87,0)),INDEX('🔄 Rotação Duplas'!$C$78:$C$87,MATCH(D359,'🔄 Rotação Duplas'!$D$78:$D$87,0))),"Semana 7",IFERROR(INDEX('🔄 Rotação Duplas'!$D$92:$D$101,MATCH(D359,'🔄 Rotação Duplas'!$C$92:$C$101,0)),INDEX('🔄 Rotação Duplas'!$C$92:$C$101,MATCH(D359,'🔄 Rotação Duplas'!$D$92:$D$101,0))),"Semana 8",IFERROR(INDEX('🔄 Rotação Duplas'!$D$106:$D$115,MATCH(D359,'🔄 Rotação Duplas'!$C$106:$C$115,0)),INDEX('🔄 Rotação Duplas'!$C$106:$C$115,MATCH(D359,'🔄 Rotação Duplas'!$D$106:$D$115,0)))),""))</f>
        <v/>
      </c>
      <c r="T359">
        <f t="shared" si="30"/>
        <v>0</v>
      </c>
    </row>
    <row r="360" spans="2:20" ht="18" customHeight="1" x14ac:dyDescent="0.2">
      <c r="B360" s="85" t="s">
        <v>99</v>
      </c>
      <c r="C360" s="86" t="str">
        <f t="shared" si="31"/>
        <v>Desafio 18</v>
      </c>
      <c r="D360" s="87" t="str">
        <f>'⚙️ Configuração'!C43</f>
        <v>Paula Martins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81">
        <f>(E360*'⚙️ Configuração'!$C$6+F360*'⚙️ Configuração'!$C$7+G360*'⚙️ Configuração'!$C$8+H360*'⚙️ Configuração'!$C$9+I360*'⚙️ Configuração'!$C$10+J360*'⚙️ Configuração'!$C$11)*IF(N360="S",2,1)</f>
        <v>0</v>
      </c>
      <c r="L360" s="90" t="s">
        <v>167</v>
      </c>
      <c r="M360" s="82">
        <f>IF(L360="AT1",'⚙️ Configuração'!$C$14,IF(L360="AT2",'⚙️ Configuração'!$C$15,IF(L360="FI",'⚙️ Configuração'!$C$16,IF(L360="FJ",'⚙️ Configuração'!$C$17,0))))</f>
        <v>0</v>
      </c>
      <c r="N360" s="91" t="s">
        <v>167</v>
      </c>
      <c r="O360" s="92"/>
      <c r="P360" s="83">
        <f>IF(O360="1",'⚙️ Configuração'!$C$21,IF(O360="2",'⚙️ Configuração'!$C$22,IF(O360="3",'⚙️ Configuração'!$C$23,IF(O360="Outro",'⚙️ Configuração'!$C$24,0))))</f>
        <v>0</v>
      </c>
      <c r="Q360" s="84">
        <f t="shared" si="29"/>
        <v>0</v>
      </c>
      <c r="R360" s="40" t="str">
        <f t="shared" si="22"/>
        <v>Semana 1 — ver 🔄</v>
      </c>
      <c r="S360" t="str" cm="1">
        <f t="array" ref="S360">IF(D360="","",IFERROR(_xlfn.SWITCH(B360,"Semana 1",IFERROR(INDEX('🔄 Rotação Duplas'!$D$8:$D$17,MATCH(D360,'🔄 Rotação Duplas'!$C$8:$C$17,0)),INDEX('🔄 Rotação Duplas'!$C$8:$C$17,MATCH(D360,'🔄 Rotação Duplas'!$D$8:$D$17,0))),"Semana 2",IFERROR(INDEX('🔄 Rotação Duplas'!$D$22:$D$31,MATCH(D360,'🔄 Rotação Duplas'!$C$22:$C$31,0)),INDEX('🔄 Rotação Duplas'!$C$22:$C$31,MATCH(D360,'🔄 Rotação Duplas'!$D$22:$D$31,0))),"Semana 3",IFERROR(INDEX('🔄 Rotação Duplas'!$D$36:$D$45,MATCH(D360,'🔄 Rotação Duplas'!$C$36:$C$45,0)),INDEX('🔄 Rotação Duplas'!$C$36:$C$45,MATCH(D360,'🔄 Rotação Duplas'!$D$36:$D$45,0))),"Semana 4",IFERROR(INDEX('🔄 Rotação Duplas'!$D$50:$D$59,MATCH(D360,'🔄 Rotação Duplas'!$C$50:$C$59,0)),INDEX('🔄 Rotação Duplas'!$C$50:$C$59,MATCH(D360,'🔄 Rotação Duplas'!$D$50:$D$59,0))),"Semana 5",IFERROR(INDEX('🔄 Rotação Duplas'!$D$64:$D$73,MATCH(D360,'🔄 Rotação Duplas'!$C$64:$C$73,0)),INDEX('🔄 Rotação Duplas'!$C$64:$C$73,MATCH(D360,'🔄 Rotação Duplas'!$D$64:$D$73,0))),"Semana 6",IFERROR(INDEX('🔄 Rotação Duplas'!$D$78:$D$87,MATCH(D360,'🔄 Rotação Duplas'!$C$78:$C$87,0)),INDEX('🔄 Rotação Duplas'!$C$78:$C$87,MATCH(D360,'🔄 Rotação Duplas'!$D$78:$D$87,0))),"Semana 7",IFERROR(INDEX('🔄 Rotação Duplas'!$D$92:$D$101,MATCH(D360,'🔄 Rotação Duplas'!$C$92:$C$101,0)),INDEX('🔄 Rotação Duplas'!$C$92:$C$101,MATCH(D360,'🔄 Rotação Duplas'!$D$92:$D$101,0))),"Semana 8",IFERROR(INDEX('🔄 Rotação Duplas'!$D$106:$D$115,MATCH(D360,'🔄 Rotação Duplas'!$C$106:$C$115,0)),INDEX('🔄 Rotação Duplas'!$C$106:$C$115,MATCH(D360,'🔄 Rotação Duplas'!$D$106:$D$115,0)))),""))</f>
        <v/>
      </c>
      <c r="T360">
        <f t="shared" si="30"/>
        <v>0</v>
      </c>
    </row>
    <row r="361" spans="2:20" ht="18" customHeight="1" x14ac:dyDescent="0.2">
      <c r="B361" s="78" t="s">
        <v>99</v>
      </c>
      <c r="C361" s="79" t="str">
        <f t="shared" si="31"/>
        <v>Desafio 18</v>
      </c>
      <c r="D361" s="80" t="str">
        <f>'⚙️ Configuração'!C44</f>
        <v>Paula Miabara</v>
      </c>
      <c r="E361" s="50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81">
        <f>(E361*'⚙️ Configuração'!$C$6+F361*'⚙️ Configuração'!$C$7+G361*'⚙️ Configuração'!$C$8+H361*'⚙️ Configuração'!$C$9+I361*'⚙️ Configuração'!$C$10+J361*'⚙️ Configuração'!$C$11)*IF(N361="S",2,1)</f>
        <v>0</v>
      </c>
      <c r="L361" s="90" t="s">
        <v>167</v>
      </c>
      <c r="M361" s="82">
        <f>IF(L361="AT1",'⚙️ Configuração'!$C$14,IF(L361="AT2",'⚙️ Configuração'!$C$15,IF(L361="FI",'⚙️ Configuração'!$C$16,IF(L361="FJ",'⚙️ Configuração'!$C$17,0))))</f>
        <v>0</v>
      </c>
      <c r="N361" s="91" t="s">
        <v>167</v>
      </c>
      <c r="O361" s="92"/>
      <c r="P361" s="83">
        <f>IF(O361="1",'⚙️ Configuração'!$C$21,IF(O361="2",'⚙️ Configuração'!$C$22,IF(O361="3",'⚙️ Configuração'!$C$23,IF(O361="Outro",'⚙️ Configuração'!$C$24,0))))</f>
        <v>0</v>
      </c>
      <c r="Q361" s="84">
        <f t="shared" si="29"/>
        <v>0</v>
      </c>
      <c r="R361" s="40" t="str">
        <f t="shared" si="22"/>
        <v>Semana 1 — ver 🔄</v>
      </c>
      <c r="S361" t="str" cm="1">
        <f t="array" ref="S361">IF(D361="","",IFERROR(_xlfn.SWITCH(B361,"Semana 1",IFERROR(INDEX('🔄 Rotação Duplas'!$D$8:$D$17,MATCH(D361,'🔄 Rotação Duplas'!$C$8:$C$17,0)),INDEX('🔄 Rotação Duplas'!$C$8:$C$17,MATCH(D361,'🔄 Rotação Duplas'!$D$8:$D$17,0))),"Semana 2",IFERROR(INDEX('🔄 Rotação Duplas'!$D$22:$D$31,MATCH(D361,'🔄 Rotação Duplas'!$C$22:$C$31,0)),INDEX('🔄 Rotação Duplas'!$C$22:$C$31,MATCH(D361,'🔄 Rotação Duplas'!$D$22:$D$31,0))),"Semana 3",IFERROR(INDEX('🔄 Rotação Duplas'!$D$36:$D$45,MATCH(D361,'🔄 Rotação Duplas'!$C$36:$C$45,0)),INDEX('🔄 Rotação Duplas'!$C$36:$C$45,MATCH(D361,'🔄 Rotação Duplas'!$D$36:$D$45,0))),"Semana 4",IFERROR(INDEX('🔄 Rotação Duplas'!$D$50:$D$59,MATCH(D361,'🔄 Rotação Duplas'!$C$50:$C$59,0)),INDEX('🔄 Rotação Duplas'!$C$50:$C$59,MATCH(D361,'🔄 Rotação Duplas'!$D$50:$D$59,0))),"Semana 5",IFERROR(INDEX('🔄 Rotação Duplas'!$D$64:$D$73,MATCH(D361,'🔄 Rotação Duplas'!$C$64:$C$73,0)),INDEX('🔄 Rotação Duplas'!$C$64:$C$73,MATCH(D361,'🔄 Rotação Duplas'!$D$64:$D$73,0))),"Semana 6",IFERROR(INDEX('🔄 Rotação Duplas'!$D$78:$D$87,MATCH(D361,'🔄 Rotação Duplas'!$C$78:$C$87,0)),INDEX('🔄 Rotação Duplas'!$C$78:$C$87,MATCH(D361,'🔄 Rotação Duplas'!$D$78:$D$87,0))),"Semana 7",IFERROR(INDEX('🔄 Rotação Duplas'!$D$92:$D$101,MATCH(D361,'🔄 Rotação Duplas'!$C$92:$C$101,0)),INDEX('🔄 Rotação Duplas'!$C$92:$C$101,MATCH(D361,'🔄 Rotação Duplas'!$D$92:$D$101,0))),"Semana 8",IFERROR(INDEX('🔄 Rotação Duplas'!$D$106:$D$115,MATCH(D361,'🔄 Rotação Duplas'!$C$106:$C$115,0)),INDEX('🔄 Rotação Duplas'!$C$106:$C$115,MATCH(D361,'🔄 Rotação Duplas'!$D$106:$D$115,0)))),""))</f>
        <v/>
      </c>
      <c r="T361">
        <f t="shared" si="30"/>
        <v>0</v>
      </c>
    </row>
    <row r="362" spans="2:20" ht="18" customHeight="1" x14ac:dyDescent="0.2">
      <c r="B362" s="85" t="s">
        <v>99</v>
      </c>
      <c r="C362" s="86" t="str">
        <f t="shared" si="31"/>
        <v>Desafio 18</v>
      </c>
      <c r="D362" s="87" t="str">
        <f>'⚙️ Configuração'!C45</f>
        <v>Rita Carmo</v>
      </c>
      <c r="E362" s="50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81">
        <f>(E362*'⚙️ Configuração'!$C$6+F362*'⚙️ Configuração'!$C$7+G362*'⚙️ Configuração'!$C$8+H362*'⚙️ Configuração'!$C$9+I362*'⚙️ Configuração'!$C$10+J362*'⚙️ Configuração'!$C$11)*IF(N362="S",2,1)</f>
        <v>0</v>
      </c>
      <c r="L362" s="90" t="s">
        <v>167</v>
      </c>
      <c r="M362" s="82">
        <f>IF(L362="AT1",'⚙️ Configuração'!$C$14,IF(L362="AT2",'⚙️ Configuração'!$C$15,IF(L362="FI",'⚙️ Configuração'!$C$16,IF(L362="FJ",'⚙️ Configuração'!$C$17,0))))</f>
        <v>0</v>
      </c>
      <c r="N362" s="91" t="s">
        <v>167</v>
      </c>
      <c r="O362" s="92"/>
      <c r="P362" s="83">
        <f>IF(O362="1",'⚙️ Configuração'!$C$21,IF(O362="2",'⚙️ Configuração'!$C$22,IF(O362="3",'⚙️ Configuração'!$C$23,IF(O362="Outro",'⚙️ Configuração'!$C$24,0))))</f>
        <v>0</v>
      </c>
      <c r="Q362" s="84">
        <f t="shared" si="29"/>
        <v>0</v>
      </c>
      <c r="R362" s="40" t="str">
        <f t="shared" si="22"/>
        <v>Semana 1 — ver 🔄</v>
      </c>
      <c r="S362" t="str" cm="1">
        <f t="array" ref="S362">IF(D362="","",IFERROR(_xlfn.SWITCH(B362,"Semana 1",IFERROR(INDEX('🔄 Rotação Duplas'!$D$8:$D$17,MATCH(D362,'🔄 Rotação Duplas'!$C$8:$C$17,0)),INDEX('🔄 Rotação Duplas'!$C$8:$C$17,MATCH(D362,'🔄 Rotação Duplas'!$D$8:$D$17,0))),"Semana 2",IFERROR(INDEX('🔄 Rotação Duplas'!$D$22:$D$31,MATCH(D362,'🔄 Rotação Duplas'!$C$22:$C$31,0)),INDEX('🔄 Rotação Duplas'!$C$22:$C$31,MATCH(D362,'🔄 Rotação Duplas'!$D$22:$D$31,0))),"Semana 3",IFERROR(INDEX('🔄 Rotação Duplas'!$D$36:$D$45,MATCH(D362,'🔄 Rotação Duplas'!$C$36:$C$45,0)),INDEX('🔄 Rotação Duplas'!$C$36:$C$45,MATCH(D362,'🔄 Rotação Duplas'!$D$36:$D$45,0))),"Semana 4",IFERROR(INDEX('🔄 Rotação Duplas'!$D$50:$D$59,MATCH(D362,'🔄 Rotação Duplas'!$C$50:$C$59,0)),INDEX('🔄 Rotação Duplas'!$C$50:$C$59,MATCH(D362,'🔄 Rotação Duplas'!$D$50:$D$59,0))),"Semana 5",IFERROR(INDEX('🔄 Rotação Duplas'!$D$64:$D$73,MATCH(D362,'🔄 Rotação Duplas'!$C$64:$C$73,0)),INDEX('🔄 Rotação Duplas'!$C$64:$C$73,MATCH(D362,'🔄 Rotação Duplas'!$D$64:$D$73,0))),"Semana 6",IFERROR(INDEX('🔄 Rotação Duplas'!$D$78:$D$87,MATCH(D362,'🔄 Rotação Duplas'!$C$78:$C$87,0)),INDEX('🔄 Rotação Duplas'!$C$78:$C$87,MATCH(D362,'🔄 Rotação Duplas'!$D$78:$D$87,0))),"Semana 7",IFERROR(INDEX('🔄 Rotação Duplas'!$D$92:$D$101,MATCH(D362,'🔄 Rotação Duplas'!$C$92:$C$101,0)),INDEX('🔄 Rotação Duplas'!$C$92:$C$101,MATCH(D362,'🔄 Rotação Duplas'!$D$92:$D$101,0))),"Semana 8",IFERROR(INDEX('🔄 Rotação Duplas'!$D$106:$D$115,MATCH(D362,'🔄 Rotação Duplas'!$C$106:$C$115,0)),INDEX('🔄 Rotação Duplas'!$C$106:$C$115,MATCH(D362,'🔄 Rotação Duplas'!$D$106:$D$115,0)))),""))</f>
        <v/>
      </c>
      <c r="T362">
        <f t="shared" si="30"/>
        <v>0</v>
      </c>
    </row>
    <row r="363" spans="2:20" ht="18" customHeight="1" x14ac:dyDescent="0.2">
      <c r="B363" s="78" t="s">
        <v>99</v>
      </c>
      <c r="C363" s="79" t="str">
        <f t="shared" si="31"/>
        <v>Desafio 18</v>
      </c>
      <c r="D363" s="80" t="str">
        <f>'⚙️ Configuração'!C46</f>
        <v>William Fernandes</v>
      </c>
      <c r="E363" s="50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81">
        <f>(E363*'⚙️ Configuração'!$C$6+F363*'⚙️ Configuração'!$C$7+G363*'⚙️ Configuração'!$C$8+H363*'⚙️ Configuração'!$C$9+I363*'⚙️ Configuração'!$C$10+J363*'⚙️ Configuração'!$C$11)*IF(N363="S",2,1)</f>
        <v>0</v>
      </c>
      <c r="L363" s="90" t="s">
        <v>167</v>
      </c>
      <c r="M363" s="82">
        <f>IF(L363="AT1",'⚙️ Configuração'!$C$14,IF(L363="AT2",'⚙️ Configuração'!$C$15,IF(L363="FI",'⚙️ Configuração'!$C$16,IF(L363="FJ",'⚙️ Configuração'!$C$17,0))))</f>
        <v>0</v>
      </c>
      <c r="N363" s="91" t="s">
        <v>167</v>
      </c>
      <c r="O363" s="92"/>
      <c r="P363" s="83">
        <f>IF(O363="1",'⚙️ Configuração'!$C$21,IF(O363="2",'⚙️ Configuração'!$C$22,IF(O363="3",'⚙️ Configuração'!$C$23,IF(O363="Outro",'⚙️ Configuração'!$C$24,0))))</f>
        <v>0</v>
      </c>
      <c r="Q363" s="84">
        <f t="shared" si="29"/>
        <v>0</v>
      </c>
      <c r="R363" s="40" t="str">
        <f t="shared" si="22"/>
        <v>Semana 1 — ver 🔄</v>
      </c>
      <c r="S363" t="str" cm="1">
        <f t="array" ref="S363">IF(D363="","",IFERROR(_xlfn.SWITCH(B363,"Semana 1",IFERROR(INDEX('🔄 Rotação Duplas'!$D$8:$D$17,MATCH(D363,'🔄 Rotação Duplas'!$C$8:$C$17,0)),INDEX('🔄 Rotação Duplas'!$C$8:$C$17,MATCH(D363,'🔄 Rotação Duplas'!$D$8:$D$17,0))),"Semana 2",IFERROR(INDEX('🔄 Rotação Duplas'!$D$22:$D$31,MATCH(D363,'🔄 Rotação Duplas'!$C$22:$C$31,0)),INDEX('🔄 Rotação Duplas'!$C$22:$C$31,MATCH(D363,'🔄 Rotação Duplas'!$D$22:$D$31,0))),"Semana 3",IFERROR(INDEX('🔄 Rotação Duplas'!$D$36:$D$45,MATCH(D363,'🔄 Rotação Duplas'!$C$36:$C$45,0)),INDEX('🔄 Rotação Duplas'!$C$36:$C$45,MATCH(D363,'🔄 Rotação Duplas'!$D$36:$D$45,0))),"Semana 4",IFERROR(INDEX('🔄 Rotação Duplas'!$D$50:$D$59,MATCH(D363,'🔄 Rotação Duplas'!$C$50:$C$59,0)),INDEX('🔄 Rotação Duplas'!$C$50:$C$59,MATCH(D363,'🔄 Rotação Duplas'!$D$50:$D$59,0))),"Semana 5",IFERROR(INDEX('🔄 Rotação Duplas'!$D$64:$D$73,MATCH(D363,'🔄 Rotação Duplas'!$C$64:$C$73,0)),INDEX('🔄 Rotação Duplas'!$C$64:$C$73,MATCH(D363,'🔄 Rotação Duplas'!$D$64:$D$73,0))),"Semana 6",IFERROR(INDEX('🔄 Rotação Duplas'!$D$78:$D$87,MATCH(D363,'🔄 Rotação Duplas'!$C$78:$C$87,0)),INDEX('🔄 Rotação Duplas'!$C$78:$C$87,MATCH(D363,'🔄 Rotação Duplas'!$D$78:$D$87,0))),"Semana 7",IFERROR(INDEX('🔄 Rotação Duplas'!$D$92:$D$101,MATCH(D363,'🔄 Rotação Duplas'!$C$92:$C$101,0)),INDEX('🔄 Rotação Duplas'!$C$92:$C$101,MATCH(D363,'🔄 Rotação Duplas'!$D$92:$D$101,0))),"Semana 8",IFERROR(INDEX('🔄 Rotação Duplas'!$D$106:$D$115,MATCH(D363,'🔄 Rotação Duplas'!$C$106:$C$115,0)),INDEX('🔄 Rotação Duplas'!$C$106:$C$115,MATCH(D363,'🔄 Rotação Duplas'!$D$106:$D$115,0)))),""))</f>
        <v/>
      </c>
      <c r="T363">
        <f t="shared" si="30"/>
        <v>0</v>
      </c>
    </row>
    <row r="364" spans="2:20" ht="18" customHeight="1" x14ac:dyDescent="0.2">
      <c r="B364" s="85" t="s">
        <v>99</v>
      </c>
      <c r="C364" s="86" t="str">
        <f t="shared" si="31"/>
        <v>Desafio 18</v>
      </c>
      <c r="D364" s="87" t="str">
        <f>'⚙️ Configuração'!C47</f>
        <v>-</v>
      </c>
      <c r="E364" s="50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81">
        <f>(E364*'⚙️ Configuração'!$C$6+F364*'⚙️ Configuração'!$C$7+G364*'⚙️ Configuração'!$C$8+H364*'⚙️ Configuração'!$C$9+I364*'⚙️ Configuração'!$C$10+J364*'⚙️ Configuração'!$C$11)*IF(N364="S",2,1)</f>
        <v>0</v>
      </c>
      <c r="L364" s="90" t="s">
        <v>167</v>
      </c>
      <c r="M364" s="82">
        <f>IF(L364="AT1",'⚙️ Configuração'!$C$14,IF(L364="AT2",'⚙️ Configuração'!$C$15,IF(L364="FI",'⚙️ Configuração'!$C$16,IF(L364="FJ",'⚙️ Configuração'!$C$17,0))))</f>
        <v>0</v>
      </c>
      <c r="N364" s="91" t="s">
        <v>167</v>
      </c>
      <c r="O364" s="92"/>
      <c r="P364" s="83">
        <f>IF(O364="1",'⚙️ Configuração'!$C$21,IF(O364="2",'⚙️ Configuração'!$C$22,IF(O364="3",'⚙️ Configuração'!$C$23,IF(O364="Outro",'⚙️ Configuração'!$C$24,0))))</f>
        <v>0</v>
      </c>
      <c r="Q364" s="84">
        <f t="shared" si="29"/>
        <v>0</v>
      </c>
      <c r="R364" s="40" t="str">
        <f t="shared" si="22"/>
        <v>Semana 1 — ver 🔄</v>
      </c>
      <c r="S364" t="str" cm="1">
        <f t="array" ref="S364">IF(D364="","",IFERROR(_xlfn.SWITCH(B364,"Semana 1",IFERROR(INDEX('🔄 Rotação Duplas'!$D$8:$D$17,MATCH(D364,'🔄 Rotação Duplas'!$C$8:$C$17,0)),INDEX('🔄 Rotação Duplas'!$C$8:$C$17,MATCH(D364,'🔄 Rotação Duplas'!$D$8:$D$17,0))),"Semana 2",IFERROR(INDEX('🔄 Rotação Duplas'!$D$22:$D$31,MATCH(D364,'🔄 Rotação Duplas'!$C$22:$C$31,0)),INDEX('🔄 Rotação Duplas'!$C$22:$C$31,MATCH(D364,'🔄 Rotação Duplas'!$D$22:$D$31,0))),"Semana 3",IFERROR(INDEX('🔄 Rotação Duplas'!$D$36:$D$45,MATCH(D364,'🔄 Rotação Duplas'!$C$36:$C$45,0)),INDEX('🔄 Rotação Duplas'!$C$36:$C$45,MATCH(D364,'🔄 Rotação Duplas'!$D$36:$D$45,0))),"Semana 4",IFERROR(INDEX('🔄 Rotação Duplas'!$D$50:$D$59,MATCH(D364,'🔄 Rotação Duplas'!$C$50:$C$59,0)),INDEX('🔄 Rotação Duplas'!$C$50:$C$59,MATCH(D364,'🔄 Rotação Duplas'!$D$50:$D$59,0))),"Semana 5",IFERROR(INDEX('🔄 Rotação Duplas'!$D$64:$D$73,MATCH(D364,'🔄 Rotação Duplas'!$C$64:$C$73,0)),INDEX('🔄 Rotação Duplas'!$C$64:$C$73,MATCH(D364,'🔄 Rotação Duplas'!$D$64:$D$73,0))),"Semana 6",IFERROR(INDEX('🔄 Rotação Duplas'!$D$78:$D$87,MATCH(D364,'🔄 Rotação Duplas'!$C$78:$C$87,0)),INDEX('🔄 Rotação Duplas'!$C$78:$C$87,MATCH(D364,'🔄 Rotação Duplas'!$D$78:$D$87,0))),"Semana 7",IFERROR(INDEX('🔄 Rotação Duplas'!$D$92:$D$101,MATCH(D364,'🔄 Rotação Duplas'!$C$92:$C$101,0)),INDEX('🔄 Rotação Duplas'!$C$92:$C$101,MATCH(D364,'🔄 Rotação Duplas'!$D$92:$D$101,0))),"Semana 8",IFERROR(INDEX('🔄 Rotação Duplas'!$D$106:$D$115,MATCH(D364,'🔄 Rotação Duplas'!$C$106:$C$115,0)),INDEX('🔄 Rotação Duplas'!$C$106:$C$115,MATCH(D364,'🔄 Rotação Duplas'!$D$106:$D$115,0)))),""))</f>
        <v/>
      </c>
      <c r="T364">
        <f t="shared" si="30"/>
        <v>0</v>
      </c>
    </row>
    <row r="365" spans="2:20" ht="18" customHeight="1" x14ac:dyDescent="0.2">
      <c r="B365" s="78" t="s">
        <v>99</v>
      </c>
      <c r="C365" s="79" t="str">
        <f t="shared" si="31"/>
        <v>Desafio 18</v>
      </c>
      <c r="D365" s="80" t="str">
        <f>'⚙️ Configuração'!C48</f>
        <v>-</v>
      </c>
      <c r="E365" s="50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81">
        <f>(E365*'⚙️ Configuração'!$C$6+F365*'⚙️ Configuração'!$C$7+G365*'⚙️ Configuração'!$C$8+H365*'⚙️ Configuração'!$C$9+I365*'⚙️ Configuração'!$C$10+J365*'⚙️ Configuração'!$C$11)*IF(N365="S",2,1)</f>
        <v>0</v>
      </c>
      <c r="L365" s="90" t="s">
        <v>167</v>
      </c>
      <c r="M365" s="82">
        <f>IF(L365="AT1",'⚙️ Configuração'!$C$14,IF(L365="AT2",'⚙️ Configuração'!$C$15,IF(L365="FI",'⚙️ Configuração'!$C$16,IF(L365="FJ",'⚙️ Configuração'!$C$17,0))))</f>
        <v>0</v>
      </c>
      <c r="N365" s="91" t="s">
        <v>167</v>
      </c>
      <c r="O365" s="92"/>
      <c r="P365" s="83">
        <f>IF(O365="1",'⚙️ Configuração'!$C$21,IF(O365="2",'⚙️ Configuração'!$C$22,IF(O365="3",'⚙️ Configuração'!$C$23,IF(O365="Outro",'⚙️ Configuração'!$C$24,0))))</f>
        <v>0</v>
      </c>
      <c r="Q365" s="84">
        <f t="shared" si="29"/>
        <v>0</v>
      </c>
      <c r="R365" s="40" t="str">
        <f t="shared" si="22"/>
        <v>Semana 1 — ver 🔄</v>
      </c>
      <c r="S365" t="str" cm="1">
        <f t="array" ref="S365">IF(D365="","",IFERROR(_xlfn.SWITCH(B365,"Semana 1",IFERROR(INDEX('🔄 Rotação Duplas'!$D$8:$D$17,MATCH(D365,'🔄 Rotação Duplas'!$C$8:$C$17,0)),INDEX('🔄 Rotação Duplas'!$C$8:$C$17,MATCH(D365,'🔄 Rotação Duplas'!$D$8:$D$17,0))),"Semana 2",IFERROR(INDEX('🔄 Rotação Duplas'!$D$22:$D$31,MATCH(D365,'🔄 Rotação Duplas'!$C$22:$C$31,0)),INDEX('🔄 Rotação Duplas'!$C$22:$C$31,MATCH(D365,'🔄 Rotação Duplas'!$D$22:$D$31,0))),"Semana 3",IFERROR(INDEX('🔄 Rotação Duplas'!$D$36:$D$45,MATCH(D365,'🔄 Rotação Duplas'!$C$36:$C$45,0)),INDEX('🔄 Rotação Duplas'!$C$36:$C$45,MATCH(D365,'🔄 Rotação Duplas'!$D$36:$D$45,0))),"Semana 4",IFERROR(INDEX('🔄 Rotação Duplas'!$D$50:$D$59,MATCH(D365,'🔄 Rotação Duplas'!$C$50:$C$59,0)),INDEX('🔄 Rotação Duplas'!$C$50:$C$59,MATCH(D365,'🔄 Rotação Duplas'!$D$50:$D$59,0))),"Semana 5",IFERROR(INDEX('🔄 Rotação Duplas'!$D$64:$D$73,MATCH(D365,'🔄 Rotação Duplas'!$C$64:$C$73,0)),INDEX('🔄 Rotação Duplas'!$C$64:$C$73,MATCH(D365,'🔄 Rotação Duplas'!$D$64:$D$73,0))),"Semana 6",IFERROR(INDEX('🔄 Rotação Duplas'!$D$78:$D$87,MATCH(D365,'🔄 Rotação Duplas'!$C$78:$C$87,0)),INDEX('🔄 Rotação Duplas'!$C$78:$C$87,MATCH(D365,'🔄 Rotação Duplas'!$D$78:$D$87,0))),"Semana 7",IFERROR(INDEX('🔄 Rotação Duplas'!$D$92:$D$101,MATCH(D365,'🔄 Rotação Duplas'!$C$92:$C$101,0)),INDEX('🔄 Rotação Duplas'!$C$92:$C$101,MATCH(D365,'🔄 Rotação Duplas'!$D$92:$D$101,0))),"Semana 8",IFERROR(INDEX('🔄 Rotação Duplas'!$D$106:$D$115,MATCH(D365,'🔄 Rotação Duplas'!$C$106:$C$115,0)),INDEX('🔄 Rotação Duplas'!$C$106:$C$115,MATCH(D365,'🔄 Rotação Duplas'!$D$106:$D$115,0)))),""))</f>
        <v/>
      </c>
      <c r="T365">
        <f t="shared" si="30"/>
        <v>0</v>
      </c>
    </row>
    <row r="366" spans="2:20" ht="18" customHeight="1" x14ac:dyDescent="0.2">
      <c r="B366" s="85" t="s">
        <v>99</v>
      </c>
      <c r="C366" s="86" t="str">
        <f t="shared" si="31"/>
        <v>Desafio 18</v>
      </c>
      <c r="D366" s="87" t="str">
        <f>'⚙️ Configuração'!C49</f>
        <v>-</v>
      </c>
      <c r="E366" s="50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81">
        <f>(E366*'⚙️ Configuração'!$C$6+F366*'⚙️ Configuração'!$C$7+G366*'⚙️ Configuração'!$C$8+H366*'⚙️ Configuração'!$C$9+I366*'⚙️ Configuração'!$C$10+J366*'⚙️ Configuração'!$C$11)*IF(N366="S",2,1)</f>
        <v>0</v>
      </c>
      <c r="L366" s="90" t="s">
        <v>167</v>
      </c>
      <c r="M366" s="82">
        <f>IF(L366="AT1",'⚙️ Configuração'!$C$14,IF(L366="AT2",'⚙️ Configuração'!$C$15,IF(L366="FI",'⚙️ Configuração'!$C$16,IF(L366="FJ",'⚙️ Configuração'!$C$17,0))))</f>
        <v>0</v>
      </c>
      <c r="N366" s="91" t="s">
        <v>167</v>
      </c>
      <c r="O366" s="92"/>
      <c r="P366" s="83">
        <f>IF(O366="1",'⚙️ Configuração'!$C$21,IF(O366="2",'⚙️ Configuração'!$C$22,IF(O366="3",'⚙️ Configuração'!$C$23,IF(O366="Outro",'⚙️ Configuração'!$C$24,0))))</f>
        <v>0</v>
      </c>
      <c r="Q366" s="84">
        <f t="shared" si="29"/>
        <v>0</v>
      </c>
      <c r="R366" s="40" t="str">
        <f t="shared" si="22"/>
        <v>Semana 1 — ver 🔄</v>
      </c>
      <c r="S366" t="str" cm="1">
        <f t="array" ref="S366">IF(D366="","",IFERROR(_xlfn.SWITCH(B366,"Semana 1",IFERROR(INDEX('🔄 Rotação Duplas'!$D$8:$D$17,MATCH(D366,'🔄 Rotação Duplas'!$C$8:$C$17,0)),INDEX('🔄 Rotação Duplas'!$C$8:$C$17,MATCH(D366,'🔄 Rotação Duplas'!$D$8:$D$17,0))),"Semana 2",IFERROR(INDEX('🔄 Rotação Duplas'!$D$22:$D$31,MATCH(D366,'🔄 Rotação Duplas'!$C$22:$C$31,0)),INDEX('🔄 Rotação Duplas'!$C$22:$C$31,MATCH(D366,'🔄 Rotação Duplas'!$D$22:$D$31,0))),"Semana 3",IFERROR(INDEX('🔄 Rotação Duplas'!$D$36:$D$45,MATCH(D366,'🔄 Rotação Duplas'!$C$36:$C$45,0)),INDEX('🔄 Rotação Duplas'!$C$36:$C$45,MATCH(D366,'🔄 Rotação Duplas'!$D$36:$D$45,0))),"Semana 4",IFERROR(INDEX('🔄 Rotação Duplas'!$D$50:$D$59,MATCH(D366,'🔄 Rotação Duplas'!$C$50:$C$59,0)),INDEX('🔄 Rotação Duplas'!$C$50:$C$59,MATCH(D366,'🔄 Rotação Duplas'!$D$50:$D$59,0))),"Semana 5",IFERROR(INDEX('🔄 Rotação Duplas'!$D$64:$D$73,MATCH(D366,'🔄 Rotação Duplas'!$C$64:$C$73,0)),INDEX('🔄 Rotação Duplas'!$C$64:$C$73,MATCH(D366,'🔄 Rotação Duplas'!$D$64:$D$73,0))),"Semana 6",IFERROR(INDEX('🔄 Rotação Duplas'!$D$78:$D$87,MATCH(D366,'🔄 Rotação Duplas'!$C$78:$C$87,0)),INDEX('🔄 Rotação Duplas'!$C$78:$C$87,MATCH(D366,'🔄 Rotação Duplas'!$D$78:$D$87,0))),"Semana 7",IFERROR(INDEX('🔄 Rotação Duplas'!$D$92:$D$101,MATCH(D366,'🔄 Rotação Duplas'!$C$92:$C$101,0)),INDEX('🔄 Rotação Duplas'!$C$92:$C$101,MATCH(D366,'🔄 Rotação Duplas'!$D$92:$D$101,0))),"Semana 8",IFERROR(INDEX('🔄 Rotação Duplas'!$D$106:$D$115,MATCH(D366,'🔄 Rotação Duplas'!$C$106:$C$115,0)),INDEX('🔄 Rotação Duplas'!$C$106:$C$115,MATCH(D366,'🔄 Rotação Duplas'!$D$106:$D$115,0)))),""))</f>
        <v/>
      </c>
      <c r="T366">
        <f t="shared" si="30"/>
        <v>0</v>
      </c>
    </row>
    <row r="367" spans="2:20" ht="18" customHeight="1" x14ac:dyDescent="0.2">
      <c r="B367" s="78" t="s">
        <v>99</v>
      </c>
      <c r="C367" s="79" t="str">
        <f t="shared" ref="C367:C386" si="32">"Desafio 19"</f>
        <v>Desafio 19</v>
      </c>
      <c r="D367" s="80" t="str">
        <f>'⚙️ Configuração'!C30</f>
        <v>Carla Cantante</v>
      </c>
      <c r="E367" s="50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81">
        <f>(E367*'⚙️ Configuração'!$C$6+F367*'⚙️ Configuração'!$C$7+G367*'⚙️ Configuração'!$C$8+H367*'⚙️ Configuração'!$C$9+I367*'⚙️ Configuração'!$C$10+J367*'⚙️ Configuração'!$C$11)*IF(N367="S",2,1)</f>
        <v>0</v>
      </c>
      <c r="L367" s="90" t="s">
        <v>167</v>
      </c>
      <c r="M367" s="82">
        <f>IF(L367="AT1",'⚙️ Configuração'!$C$14,IF(L367="AT2",'⚙️ Configuração'!$C$15,IF(L367="FI",'⚙️ Configuração'!$C$16,IF(L367="FJ",'⚙️ Configuração'!$C$17,0))))</f>
        <v>0</v>
      </c>
      <c r="N367" s="91" t="s">
        <v>167</v>
      </c>
      <c r="O367" s="92"/>
      <c r="P367" s="83">
        <f>IF(O367="1",'⚙️ Configuração'!$C$21,IF(O367="2",'⚙️ Configuração'!$C$22,IF(O367="3",'⚙️ Configuração'!$C$23,IF(O367="Outro",'⚙️ Configuração'!$C$24,0))))</f>
        <v>0</v>
      </c>
      <c r="Q367" s="84">
        <f t="shared" si="29"/>
        <v>0</v>
      </c>
      <c r="R367" s="40" t="str">
        <f t="shared" si="22"/>
        <v>Semana 1 — ver 🔄</v>
      </c>
      <c r="S367" t="str" cm="1">
        <f t="array" ref="S367">IF(D367="","",IFERROR(_xlfn.SWITCH(B367,"Semana 1",IFERROR(INDEX('🔄 Rotação Duplas'!$D$8:$D$17,MATCH(D367,'🔄 Rotação Duplas'!$C$8:$C$17,0)),INDEX('🔄 Rotação Duplas'!$C$8:$C$17,MATCH(D367,'🔄 Rotação Duplas'!$D$8:$D$17,0))),"Semana 2",IFERROR(INDEX('🔄 Rotação Duplas'!$D$22:$D$31,MATCH(D367,'🔄 Rotação Duplas'!$C$22:$C$31,0)),INDEX('🔄 Rotação Duplas'!$C$22:$C$31,MATCH(D367,'🔄 Rotação Duplas'!$D$22:$D$31,0))),"Semana 3",IFERROR(INDEX('🔄 Rotação Duplas'!$D$36:$D$45,MATCH(D367,'🔄 Rotação Duplas'!$C$36:$C$45,0)),INDEX('🔄 Rotação Duplas'!$C$36:$C$45,MATCH(D367,'🔄 Rotação Duplas'!$D$36:$D$45,0))),"Semana 4",IFERROR(INDEX('🔄 Rotação Duplas'!$D$50:$D$59,MATCH(D367,'🔄 Rotação Duplas'!$C$50:$C$59,0)),INDEX('🔄 Rotação Duplas'!$C$50:$C$59,MATCH(D367,'🔄 Rotação Duplas'!$D$50:$D$59,0))),"Semana 5",IFERROR(INDEX('🔄 Rotação Duplas'!$D$64:$D$73,MATCH(D367,'🔄 Rotação Duplas'!$C$64:$C$73,0)),INDEX('🔄 Rotação Duplas'!$C$64:$C$73,MATCH(D367,'🔄 Rotação Duplas'!$D$64:$D$73,0))),"Semana 6",IFERROR(INDEX('🔄 Rotação Duplas'!$D$78:$D$87,MATCH(D367,'🔄 Rotação Duplas'!$C$78:$C$87,0)),INDEX('🔄 Rotação Duplas'!$C$78:$C$87,MATCH(D367,'🔄 Rotação Duplas'!$D$78:$D$87,0))),"Semana 7",IFERROR(INDEX('🔄 Rotação Duplas'!$D$92:$D$101,MATCH(D367,'🔄 Rotação Duplas'!$C$92:$C$101,0)),INDEX('🔄 Rotação Duplas'!$C$92:$C$101,MATCH(D367,'🔄 Rotação Duplas'!$D$92:$D$101,0))),"Semana 8",IFERROR(INDEX('🔄 Rotação Duplas'!$D$106:$D$115,MATCH(D367,'🔄 Rotação Duplas'!$C$106:$C$115,0)),INDEX('🔄 Rotação Duplas'!$C$106:$C$115,MATCH(D367,'🔄 Rotação Duplas'!$D$106:$D$115,0)))),""))</f>
        <v/>
      </c>
      <c r="T367">
        <f t="shared" si="30"/>
        <v>0</v>
      </c>
    </row>
    <row r="368" spans="2:20" ht="18" customHeight="1" x14ac:dyDescent="0.2">
      <c r="B368" s="85" t="s">
        <v>99</v>
      </c>
      <c r="C368" s="86" t="str">
        <f t="shared" si="32"/>
        <v>Desafio 19</v>
      </c>
      <c r="D368" s="87" t="str">
        <f>'⚙️ Configuração'!C31</f>
        <v>Elisabete Mendes</v>
      </c>
      <c r="E368" s="50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81">
        <f>(E368*'⚙️ Configuração'!$C$6+F368*'⚙️ Configuração'!$C$7+G368*'⚙️ Configuração'!$C$8+H368*'⚙️ Configuração'!$C$9+I368*'⚙️ Configuração'!$C$10+J368*'⚙️ Configuração'!$C$11)*IF(N368="S",2,1)</f>
        <v>0</v>
      </c>
      <c r="L368" s="90" t="s">
        <v>167</v>
      </c>
      <c r="M368" s="82">
        <f>IF(L368="AT1",'⚙️ Configuração'!$C$14,IF(L368="AT2",'⚙️ Configuração'!$C$15,IF(L368="FI",'⚙️ Configuração'!$C$16,IF(L368="FJ",'⚙️ Configuração'!$C$17,0))))</f>
        <v>0</v>
      </c>
      <c r="N368" s="91" t="s">
        <v>167</v>
      </c>
      <c r="O368" s="92"/>
      <c r="P368" s="83">
        <f>IF(O368="1",'⚙️ Configuração'!$C$21,IF(O368="2",'⚙️ Configuração'!$C$22,IF(O368="3",'⚙️ Configuração'!$C$23,IF(O368="Outro",'⚙️ Configuração'!$C$24,0))))</f>
        <v>0</v>
      </c>
      <c r="Q368" s="84">
        <f t="shared" si="29"/>
        <v>0</v>
      </c>
      <c r="R368" s="40" t="str">
        <f t="shared" si="22"/>
        <v>Semana 1 — ver 🔄</v>
      </c>
      <c r="S368" t="str" cm="1">
        <f t="array" ref="S368">IF(D368="","",IFERROR(_xlfn.SWITCH(B368,"Semana 1",IFERROR(INDEX('🔄 Rotação Duplas'!$D$8:$D$17,MATCH(D368,'🔄 Rotação Duplas'!$C$8:$C$17,0)),INDEX('🔄 Rotação Duplas'!$C$8:$C$17,MATCH(D368,'🔄 Rotação Duplas'!$D$8:$D$17,0))),"Semana 2",IFERROR(INDEX('🔄 Rotação Duplas'!$D$22:$D$31,MATCH(D368,'🔄 Rotação Duplas'!$C$22:$C$31,0)),INDEX('🔄 Rotação Duplas'!$C$22:$C$31,MATCH(D368,'🔄 Rotação Duplas'!$D$22:$D$31,0))),"Semana 3",IFERROR(INDEX('🔄 Rotação Duplas'!$D$36:$D$45,MATCH(D368,'🔄 Rotação Duplas'!$C$36:$C$45,0)),INDEX('🔄 Rotação Duplas'!$C$36:$C$45,MATCH(D368,'🔄 Rotação Duplas'!$D$36:$D$45,0))),"Semana 4",IFERROR(INDEX('🔄 Rotação Duplas'!$D$50:$D$59,MATCH(D368,'🔄 Rotação Duplas'!$C$50:$C$59,0)),INDEX('🔄 Rotação Duplas'!$C$50:$C$59,MATCH(D368,'🔄 Rotação Duplas'!$D$50:$D$59,0))),"Semana 5",IFERROR(INDEX('🔄 Rotação Duplas'!$D$64:$D$73,MATCH(D368,'🔄 Rotação Duplas'!$C$64:$C$73,0)),INDEX('🔄 Rotação Duplas'!$C$64:$C$73,MATCH(D368,'🔄 Rotação Duplas'!$D$64:$D$73,0))),"Semana 6",IFERROR(INDEX('🔄 Rotação Duplas'!$D$78:$D$87,MATCH(D368,'🔄 Rotação Duplas'!$C$78:$C$87,0)),INDEX('🔄 Rotação Duplas'!$C$78:$C$87,MATCH(D368,'🔄 Rotação Duplas'!$D$78:$D$87,0))),"Semana 7",IFERROR(INDEX('🔄 Rotação Duplas'!$D$92:$D$101,MATCH(D368,'🔄 Rotação Duplas'!$C$92:$C$101,0)),INDEX('🔄 Rotação Duplas'!$C$92:$C$101,MATCH(D368,'🔄 Rotação Duplas'!$D$92:$D$101,0))),"Semana 8",IFERROR(INDEX('🔄 Rotação Duplas'!$D$106:$D$115,MATCH(D368,'🔄 Rotação Duplas'!$C$106:$C$115,0)),INDEX('🔄 Rotação Duplas'!$C$106:$C$115,MATCH(D368,'🔄 Rotação Duplas'!$D$106:$D$115,0)))),""))</f>
        <v/>
      </c>
      <c r="T368">
        <f t="shared" si="30"/>
        <v>0</v>
      </c>
    </row>
    <row r="369" spans="2:20" ht="18" customHeight="1" x14ac:dyDescent="0.2">
      <c r="B369" s="78" t="s">
        <v>99</v>
      </c>
      <c r="C369" s="79" t="str">
        <f t="shared" si="32"/>
        <v>Desafio 19</v>
      </c>
      <c r="D369" s="80" t="str">
        <f>'⚙️ Configuração'!C32</f>
        <v>Filipa Cunha</v>
      </c>
      <c r="E369" s="50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81">
        <f>(E369*'⚙️ Configuração'!$C$6+F369*'⚙️ Configuração'!$C$7+G369*'⚙️ Configuração'!$C$8+H369*'⚙️ Configuração'!$C$9+I369*'⚙️ Configuração'!$C$10+J369*'⚙️ Configuração'!$C$11)*IF(N369="S",2,1)</f>
        <v>0</v>
      </c>
      <c r="L369" s="90" t="s">
        <v>167</v>
      </c>
      <c r="M369" s="82">
        <f>IF(L369="AT1",'⚙️ Configuração'!$C$14,IF(L369="AT2",'⚙️ Configuração'!$C$15,IF(L369="FI",'⚙️ Configuração'!$C$16,IF(L369="FJ",'⚙️ Configuração'!$C$17,0))))</f>
        <v>0</v>
      </c>
      <c r="N369" s="91" t="s">
        <v>167</v>
      </c>
      <c r="O369" s="92"/>
      <c r="P369" s="83">
        <f>IF(O369="1",'⚙️ Configuração'!$C$21,IF(O369="2",'⚙️ Configuração'!$C$22,IF(O369="3",'⚙️ Configuração'!$C$23,IF(O369="Outro",'⚙️ Configuração'!$C$24,0))))</f>
        <v>0</v>
      </c>
      <c r="Q369" s="84">
        <f t="shared" si="29"/>
        <v>0</v>
      </c>
      <c r="R369" s="40" t="str">
        <f t="shared" si="22"/>
        <v>Semana 1 — ver 🔄</v>
      </c>
      <c r="S369" t="str" cm="1">
        <f t="array" ref="S369">IF(D369="","",IFERROR(_xlfn.SWITCH(B369,"Semana 1",IFERROR(INDEX('🔄 Rotação Duplas'!$D$8:$D$17,MATCH(D369,'🔄 Rotação Duplas'!$C$8:$C$17,0)),INDEX('🔄 Rotação Duplas'!$C$8:$C$17,MATCH(D369,'🔄 Rotação Duplas'!$D$8:$D$17,0))),"Semana 2",IFERROR(INDEX('🔄 Rotação Duplas'!$D$22:$D$31,MATCH(D369,'🔄 Rotação Duplas'!$C$22:$C$31,0)),INDEX('🔄 Rotação Duplas'!$C$22:$C$31,MATCH(D369,'🔄 Rotação Duplas'!$D$22:$D$31,0))),"Semana 3",IFERROR(INDEX('🔄 Rotação Duplas'!$D$36:$D$45,MATCH(D369,'🔄 Rotação Duplas'!$C$36:$C$45,0)),INDEX('🔄 Rotação Duplas'!$C$36:$C$45,MATCH(D369,'🔄 Rotação Duplas'!$D$36:$D$45,0))),"Semana 4",IFERROR(INDEX('🔄 Rotação Duplas'!$D$50:$D$59,MATCH(D369,'🔄 Rotação Duplas'!$C$50:$C$59,0)),INDEX('🔄 Rotação Duplas'!$C$50:$C$59,MATCH(D369,'🔄 Rotação Duplas'!$D$50:$D$59,0))),"Semana 5",IFERROR(INDEX('🔄 Rotação Duplas'!$D$64:$D$73,MATCH(D369,'🔄 Rotação Duplas'!$C$64:$C$73,0)),INDEX('🔄 Rotação Duplas'!$C$64:$C$73,MATCH(D369,'🔄 Rotação Duplas'!$D$64:$D$73,0))),"Semana 6",IFERROR(INDEX('🔄 Rotação Duplas'!$D$78:$D$87,MATCH(D369,'🔄 Rotação Duplas'!$C$78:$C$87,0)),INDEX('🔄 Rotação Duplas'!$C$78:$C$87,MATCH(D369,'🔄 Rotação Duplas'!$D$78:$D$87,0))),"Semana 7",IFERROR(INDEX('🔄 Rotação Duplas'!$D$92:$D$101,MATCH(D369,'🔄 Rotação Duplas'!$C$92:$C$101,0)),INDEX('🔄 Rotação Duplas'!$C$92:$C$101,MATCH(D369,'🔄 Rotação Duplas'!$D$92:$D$101,0))),"Semana 8",IFERROR(INDEX('🔄 Rotação Duplas'!$D$106:$D$115,MATCH(D369,'🔄 Rotação Duplas'!$C$106:$C$115,0)),INDEX('🔄 Rotação Duplas'!$C$106:$C$115,MATCH(D369,'🔄 Rotação Duplas'!$D$106:$D$115,0)))),""))</f>
        <v/>
      </c>
      <c r="T369">
        <f t="shared" si="30"/>
        <v>0</v>
      </c>
    </row>
    <row r="370" spans="2:20" ht="18" customHeight="1" x14ac:dyDescent="0.2">
      <c r="B370" s="85" t="s">
        <v>99</v>
      </c>
      <c r="C370" s="86" t="str">
        <f t="shared" si="32"/>
        <v>Desafio 19</v>
      </c>
      <c r="D370" s="87" t="str">
        <f>'⚙️ Configuração'!C33</f>
        <v>Helena Rocha</v>
      </c>
      <c r="E370" s="50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81">
        <f>(E370*'⚙️ Configuração'!$C$6+F370*'⚙️ Configuração'!$C$7+G370*'⚙️ Configuração'!$C$8+H370*'⚙️ Configuração'!$C$9+I370*'⚙️ Configuração'!$C$10+J370*'⚙️ Configuração'!$C$11)*IF(N370="S",2,1)</f>
        <v>0</v>
      </c>
      <c r="L370" s="90" t="s">
        <v>167</v>
      </c>
      <c r="M370" s="82">
        <f>IF(L370="AT1",'⚙️ Configuração'!$C$14,IF(L370="AT2",'⚙️ Configuração'!$C$15,IF(L370="FI",'⚙️ Configuração'!$C$16,IF(L370="FJ",'⚙️ Configuração'!$C$17,0))))</f>
        <v>0</v>
      </c>
      <c r="N370" s="91" t="s">
        <v>167</v>
      </c>
      <c r="O370" s="92"/>
      <c r="P370" s="83">
        <f>IF(O370="1",'⚙️ Configuração'!$C$21,IF(O370="2",'⚙️ Configuração'!$C$22,IF(O370="3",'⚙️ Configuração'!$C$23,IF(O370="Outro",'⚙️ Configuração'!$C$24,0))))</f>
        <v>0</v>
      </c>
      <c r="Q370" s="84">
        <f t="shared" si="29"/>
        <v>0</v>
      </c>
      <c r="R370" s="40" t="str">
        <f t="shared" si="22"/>
        <v>Semana 1 — ver 🔄</v>
      </c>
      <c r="S370" t="str" cm="1">
        <f t="array" ref="S370">IF(D370="","",IFERROR(_xlfn.SWITCH(B370,"Semana 1",IFERROR(INDEX('🔄 Rotação Duplas'!$D$8:$D$17,MATCH(D370,'🔄 Rotação Duplas'!$C$8:$C$17,0)),INDEX('🔄 Rotação Duplas'!$C$8:$C$17,MATCH(D370,'🔄 Rotação Duplas'!$D$8:$D$17,0))),"Semana 2",IFERROR(INDEX('🔄 Rotação Duplas'!$D$22:$D$31,MATCH(D370,'🔄 Rotação Duplas'!$C$22:$C$31,0)),INDEX('🔄 Rotação Duplas'!$C$22:$C$31,MATCH(D370,'🔄 Rotação Duplas'!$D$22:$D$31,0))),"Semana 3",IFERROR(INDEX('🔄 Rotação Duplas'!$D$36:$D$45,MATCH(D370,'🔄 Rotação Duplas'!$C$36:$C$45,0)),INDEX('🔄 Rotação Duplas'!$C$36:$C$45,MATCH(D370,'🔄 Rotação Duplas'!$D$36:$D$45,0))),"Semana 4",IFERROR(INDEX('🔄 Rotação Duplas'!$D$50:$D$59,MATCH(D370,'🔄 Rotação Duplas'!$C$50:$C$59,0)),INDEX('🔄 Rotação Duplas'!$C$50:$C$59,MATCH(D370,'🔄 Rotação Duplas'!$D$50:$D$59,0))),"Semana 5",IFERROR(INDEX('🔄 Rotação Duplas'!$D$64:$D$73,MATCH(D370,'🔄 Rotação Duplas'!$C$64:$C$73,0)),INDEX('🔄 Rotação Duplas'!$C$64:$C$73,MATCH(D370,'🔄 Rotação Duplas'!$D$64:$D$73,0))),"Semana 6",IFERROR(INDEX('🔄 Rotação Duplas'!$D$78:$D$87,MATCH(D370,'🔄 Rotação Duplas'!$C$78:$C$87,0)),INDEX('🔄 Rotação Duplas'!$C$78:$C$87,MATCH(D370,'🔄 Rotação Duplas'!$D$78:$D$87,0))),"Semana 7",IFERROR(INDEX('🔄 Rotação Duplas'!$D$92:$D$101,MATCH(D370,'🔄 Rotação Duplas'!$C$92:$C$101,0)),INDEX('🔄 Rotação Duplas'!$C$92:$C$101,MATCH(D370,'🔄 Rotação Duplas'!$D$92:$D$101,0))),"Semana 8",IFERROR(INDEX('🔄 Rotação Duplas'!$D$106:$D$115,MATCH(D370,'🔄 Rotação Duplas'!$C$106:$C$115,0)),INDEX('🔄 Rotação Duplas'!$C$106:$C$115,MATCH(D370,'🔄 Rotação Duplas'!$D$106:$D$115,0)))),""))</f>
        <v/>
      </c>
      <c r="T370">
        <f t="shared" si="30"/>
        <v>0</v>
      </c>
    </row>
    <row r="371" spans="2:20" ht="18" customHeight="1" x14ac:dyDescent="0.2">
      <c r="B371" s="78" t="s">
        <v>99</v>
      </c>
      <c r="C371" s="79" t="str">
        <f t="shared" si="32"/>
        <v>Desafio 19</v>
      </c>
      <c r="D371" s="80" t="str">
        <f>'⚙️ Configuração'!C34</f>
        <v>João Xavier</v>
      </c>
      <c r="E371" s="50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81">
        <f>(E371*'⚙️ Configuração'!$C$6+F371*'⚙️ Configuração'!$C$7+G371*'⚙️ Configuração'!$C$8+H371*'⚙️ Configuração'!$C$9+I371*'⚙️ Configuração'!$C$10+J371*'⚙️ Configuração'!$C$11)*IF(N371="S",2,1)</f>
        <v>0</v>
      </c>
      <c r="L371" s="90" t="s">
        <v>167</v>
      </c>
      <c r="M371" s="82">
        <f>IF(L371="AT1",'⚙️ Configuração'!$C$14,IF(L371="AT2",'⚙️ Configuração'!$C$15,IF(L371="FI",'⚙️ Configuração'!$C$16,IF(L371="FJ",'⚙️ Configuração'!$C$17,0))))</f>
        <v>0</v>
      </c>
      <c r="N371" s="91" t="s">
        <v>167</v>
      </c>
      <c r="O371" s="92"/>
      <c r="P371" s="83">
        <f>IF(O371="1",'⚙️ Configuração'!$C$21,IF(O371="2",'⚙️ Configuração'!$C$22,IF(O371="3",'⚙️ Configuração'!$C$23,IF(O371="Outro",'⚙️ Configuração'!$C$24,0))))</f>
        <v>0</v>
      </c>
      <c r="Q371" s="84">
        <f t="shared" si="29"/>
        <v>0</v>
      </c>
      <c r="R371" s="40" t="str">
        <f t="shared" si="22"/>
        <v>Semana 1 — ver 🔄</v>
      </c>
      <c r="S371" t="str" cm="1">
        <f t="array" ref="S371">IF(D371="","",IFERROR(_xlfn.SWITCH(B371,"Semana 1",IFERROR(INDEX('🔄 Rotação Duplas'!$D$8:$D$17,MATCH(D371,'🔄 Rotação Duplas'!$C$8:$C$17,0)),INDEX('🔄 Rotação Duplas'!$C$8:$C$17,MATCH(D371,'🔄 Rotação Duplas'!$D$8:$D$17,0))),"Semana 2",IFERROR(INDEX('🔄 Rotação Duplas'!$D$22:$D$31,MATCH(D371,'🔄 Rotação Duplas'!$C$22:$C$31,0)),INDEX('🔄 Rotação Duplas'!$C$22:$C$31,MATCH(D371,'🔄 Rotação Duplas'!$D$22:$D$31,0))),"Semana 3",IFERROR(INDEX('🔄 Rotação Duplas'!$D$36:$D$45,MATCH(D371,'🔄 Rotação Duplas'!$C$36:$C$45,0)),INDEX('🔄 Rotação Duplas'!$C$36:$C$45,MATCH(D371,'🔄 Rotação Duplas'!$D$36:$D$45,0))),"Semana 4",IFERROR(INDEX('🔄 Rotação Duplas'!$D$50:$D$59,MATCH(D371,'🔄 Rotação Duplas'!$C$50:$C$59,0)),INDEX('🔄 Rotação Duplas'!$C$50:$C$59,MATCH(D371,'🔄 Rotação Duplas'!$D$50:$D$59,0))),"Semana 5",IFERROR(INDEX('🔄 Rotação Duplas'!$D$64:$D$73,MATCH(D371,'🔄 Rotação Duplas'!$C$64:$C$73,0)),INDEX('🔄 Rotação Duplas'!$C$64:$C$73,MATCH(D371,'🔄 Rotação Duplas'!$D$64:$D$73,0))),"Semana 6",IFERROR(INDEX('🔄 Rotação Duplas'!$D$78:$D$87,MATCH(D371,'🔄 Rotação Duplas'!$C$78:$C$87,0)),INDEX('🔄 Rotação Duplas'!$C$78:$C$87,MATCH(D371,'🔄 Rotação Duplas'!$D$78:$D$87,0))),"Semana 7",IFERROR(INDEX('🔄 Rotação Duplas'!$D$92:$D$101,MATCH(D371,'🔄 Rotação Duplas'!$C$92:$C$101,0)),INDEX('🔄 Rotação Duplas'!$C$92:$C$101,MATCH(D371,'🔄 Rotação Duplas'!$D$92:$D$101,0))),"Semana 8",IFERROR(INDEX('🔄 Rotação Duplas'!$D$106:$D$115,MATCH(D371,'🔄 Rotação Duplas'!$C$106:$C$115,0)),INDEX('🔄 Rotação Duplas'!$C$106:$C$115,MATCH(D371,'🔄 Rotação Duplas'!$D$106:$D$115,0)))),""))</f>
        <v/>
      </c>
      <c r="T371">
        <f t="shared" si="30"/>
        <v>0</v>
      </c>
    </row>
    <row r="372" spans="2:20" ht="18" customHeight="1" x14ac:dyDescent="0.2">
      <c r="B372" s="85" t="s">
        <v>99</v>
      </c>
      <c r="C372" s="86" t="str">
        <f t="shared" si="32"/>
        <v>Desafio 19</v>
      </c>
      <c r="D372" s="87" t="str">
        <f>'⚙️ Configuração'!C35</f>
        <v>Tomás Carlos</v>
      </c>
      <c r="E372" s="50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81">
        <f>(E372*'⚙️ Configuração'!$C$6+F372*'⚙️ Configuração'!$C$7+G372*'⚙️ Configuração'!$C$8+H372*'⚙️ Configuração'!$C$9+I372*'⚙️ Configuração'!$C$10+J372*'⚙️ Configuração'!$C$11)*IF(N372="S",2,1)</f>
        <v>0</v>
      </c>
      <c r="L372" s="90" t="s">
        <v>167</v>
      </c>
      <c r="M372" s="82">
        <f>IF(L372="AT1",'⚙️ Configuração'!$C$14,IF(L372="AT2",'⚙️ Configuração'!$C$15,IF(L372="FI",'⚙️ Configuração'!$C$16,IF(L372="FJ",'⚙️ Configuração'!$C$17,0))))</f>
        <v>0</v>
      </c>
      <c r="N372" s="91" t="s">
        <v>167</v>
      </c>
      <c r="O372" s="92"/>
      <c r="P372" s="83">
        <f>IF(O372="1",'⚙️ Configuração'!$C$21,IF(O372="2",'⚙️ Configuração'!$C$22,IF(O372="3",'⚙️ Configuração'!$C$23,IF(O372="Outro",'⚙️ Configuração'!$C$24,0))))</f>
        <v>0</v>
      </c>
      <c r="Q372" s="84">
        <f t="shared" si="29"/>
        <v>0</v>
      </c>
      <c r="R372" s="40" t="str">
        <f t="shared" si="22"/>
        <v>Semana 1 — ver 🔄</v>
      </c>
      <c r="S372" t="str" cm="1">
        <f t="array" ref="S372">IF(D372="","",IFERROR(_xlfn.SWITCH(B372,"Semana 1",IFERROR(INDEX('🔄 Rotação Duplas'!$D$8:$D$17,MATCH(D372,'🔄 Rotação Duplas'!$C$8:$C$17,0)),INDEX('🔄 Rotação Duplas'!$C$8:$C$17,MATCH(D372,'🔄 Rotação Duplas'!$D$8:$D$17,0))),"Semana 2",IFERROR(INDEX('🔄 Rotação Duplas'!$D$22:$D$31,MATCH(D372,'🔄 Rotação Duplas'!$C$22:$C$31,0)),INDEX('🔄 Rotação Duplas'!$C$22:$C$31,MATCH(D372,'🔄 Rotação Duplas'!$D$22:$D$31,0))),"Semana 3",IFERROR(INDEX('🔄 Rotação Duplas'!$D$36:$D$45,MATCH(D372,'🔄 Rotação Duplas'!$C$36:$C$45,0)),INDEX('🔄 Rotação Duplas'!$C$36:$C$45,MATCH(D372,'🔄 Rotação Duplas'!$D$36:$D$45,0))),"Semana 4",IFERROR(INDEX('🔄 Rotação Duplas'!$D$50:$D$59,MATCH(D372,'🔄 Rotação Duplas'!$C$50:$C$59,0)),INDEX('🔄 Rotação Duplas'!$C$50:$C$59,MATCH(D372,'🔄 Rotação Duplas'!$D$50:$D$59,0))),"Semana 5",IFERROR(INDEX('🔄 Rotação Duplas'!$D$64:$D$73,MATCH(D372,'🔄 Rotação Duplas'!$C$64:$C$73,0)),INDEX('🔄 Rotação Duplas'!$C$64:$C$73,MATCH(D372,'🔄 Rotação Duplas'!$D$64:$D$73,0))),"Semana 6",IFERROR(INDEX('🔄 Rotação Duplas'!$D$78:$D$87,MATCH(D372,'🔄 Rotação Duplas'!$C$78:$C$87,0)),INDEX('🔄 Rotação Duplas'!$C$78:$C$87,MATCH(D372,'🔄 Rotação Duplas'!$D$78:$D$87,0))),"Semana 7",IFERROR(INDEX('🔄 Rotação Duplas'!$D$92:$D$101,MATCH(D372,'🔄 Rotação Duplas'!$C$92:$C$101,0)),INDEX('🔄 Rotação Duplas'!$C$92:$C$101,MATCH(D372,'🔄 Rotação Duplas'!$D$92:$D$101,0))),"Semana 8",IFERROR(INDEX('🔄 Rotação Duplas'!$D$106:$D$115,MATCH(D372,'🔄 Rotação Duplas'!$C$106:$C$115,0)),INDEX('🔄 Rotação Duplas'!$C$106:$C$115,MATCH(D372,'🔄 Rotação Duplas'!$D$106:$D$115,0)))),""))</f>
        <v/>
      </c>
      <c r="T372">
        <f t="shared" si="30"/>
        <v>0</v>
      </c>
    </row>
    <row r="373" spans="2:20" ht="18" customHeight="1" x14ac:dyDescent="0.2">
      <c r="B373" s="78" t="s">
        <v>99</v>
      </c>
      <c r="C373" s="79" t="str">
        <f t="shared" si="32"/>
        <v>Desafio 19</v>
      </c>
      <c r="D373" s="80" t="str">
        <f>'⚙️ Configuração'!C36</f>
        <v>Alexandra Correia</v>
      </c>
      <c r="E373" s="50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81">
        <f>(E373*'⚙️ Configuração'!$C$6+F373*'⚙️ Configuração'!$C$7+G373*'⚙️ Configuração'!$C$8+H373*'⚙️ Configuração'!$C$9+I373*'⚙️ Configuração'!$C$10+J373*'⚙️ Configuração'!$C$11)*IF(N373="S",2,1)</f>
        <v>0</v>
      </c>
      <c r="L373" s="90" t="s">
        <v>167</v>
      </c>
      <c r="M373" s="82">
        <f>IF(L373="AT1",'⚙️ Configuração'!$C$14,IF(L373="AT2",'⚙️ Configuração'!$C$15,IF(L373="FI",'⚙️ Configuração'!$C$16,IF(L373="FJ",'⚙️ Configuração'!$C$17,0))))</f>
        <v>0</v>
      </c>
      <c r="N373" s="91" t="s">
        <v>167</v>
      </c>
      <c r="O373" s="92"/>
      <c r="P373" s="83">
        <f>IF(O373="1",'⚙️ Configuração'!$C$21,IF(O373="2",'⚙️ Configuração'!$C$22,IF(O373="3",'⚙️ Configuração'!$C$23,IF(O373="Outro",'⚙️ Configuração'!$C$24,0))))</f>
        <v>0</v>
      </c>
      <c r="Q373" s="84">
        <f t="shared" si="29"/>
        <v>0</v>
      </c>
      <c r="R373" s="40" t="str">
        <f t="shared" si="22"/>
        <v>Semana 1 — ver 🔄</v>
      </c>
      <c r="S373" t="str" cm="1">
        <f t="array" ref="S373">IF(D373="","",IFERROR(_xlfn.SWITCH(B373,"Semana 1",IFERROR(INDEX('🔄 Rotação Duplas'!$D$8:$D$17,MATCH(D373,'🔄 Rotação Duplas'!$C$8:$C$17,0)),INDEX('🔄 Rotação Duplas'!$C$8:$C$17,MATCH(D373,'🔄 Rotação Duplas'!$D$8:$D$17,0))),"Semana 2",IFERROR(INDEX('🔄 Rotação Duplas'!$D$22:$D$31,MATCH(D373,'🔄 Rotação Duplas'!$C$22:$C$31,0)),INDEX('🔄 Rotação Duplas'!$C$22:$C$31,MATCH(D373,'🔄 Rotação Duplas'!$D$22:$D$31,0))),"Semana 3",IFERROR(INDEX('🔄 Rotação Duplas'!$D$36:$D$45,MATCH(D373,'🔄 Rotação Duplas'!$C$36:$C$45,0)),INDEX('🔄 Rotação Duplas'!$C$36:$C$45,MATCH(D373,'🔄 Rotação Duplas'!$D$36:$D$45,0))),"Semana 4",IFERROR(INDEX('🔄 Rotação Duplas'!$D$50:$D$59,MATCH(D373,'🔄 Rotação Duplas'!$C$50:$C$59,0)),INDEX('🔄 Rotação Duplas'!$C$50:$C$59,MATCH(D373,'🔄 Rotação Duplas'!$D$50:$D$59,0))),"Semana 5",IFERROR(INDEX('🔄 Rotação Duplas'!$D$64:$D$73,MATCH(D373,'🔄 Rotação Duplas'!$C$64:$C$73,0)),INDEX('🔄 Rotação Duplas'!$C$64:$C$73,MATCH(D373,'🔄 Rotação Duplas'!$D$64:$D$73,0))),"Semana 6",IFERROR(INDEX('🔄 Rotação Duplas'!$D$78:$D$87,MATCH(D373,'🔄 Rotação Duplas'!$C$78:$C$87,0)),INDEX('🔄 Rotação Duplas'!$C$78:$C$87,MATCH(D373,'🔄 Rotação Duplas'!$D$78:$D$87,0))),"Semana 7",IFERROR(INDEX('🔄 Rotação Duplas'!$D$92:$D$101,MATCH(D373,'🔄 Rotação Duplas'!$C$92:$C$101,0)),INDEX('🔄 Rotação Duplas'!$C$92:$C$101,MATCH(D373,'🔄 Rotação Duplas'!$D$92:$D$101,0))),"Semana 8",IFERROR(INDEX('🔄 Rotação Duplas'!$D$106:$D$115,MATCH(D373,'🔄 Rotação Duplas'!$C$106:$C$115,0)),INDEX('🔄 Rotação Duplas'!$C$106:$C$115,MATCH(D373,'🔄 Rotação Duplas'!$D$106:$D$115,0)))),""))</f>
        <v/>
      </c>
      <c r="T373">
        <f t="shared" si="30"/>
        <v>0</v>
      </c>
    </row>
    <row r="374" spans="2:20" ht="18" customHeight="1" x14ac:dyDescent="0.2">
      <c r="B374" s="85" t="s">
        <v>99</v>
      </c>
      <c r="C374" s="86" t="str">
        <f t="shared" si="32"/>
        <v>Desafio 19</v>
      </c>
      <c r="D374" s="87" t="str">
        <f>'⚙️ Configuração'!C37</f>
        <v>Carla Barata</v>
      </c>
      <c r="E374" s="50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81">
        <f>(E374*'⚙️ Configuração'!$C$6+F374*'⚙️ Configuração'!$C$7+G374*'⚙️ Configuração'!$C$8+H374*'⚙️ Configuração'!$C$9+I374*'⚙️ Configuração'!$C$10+J374*'⚙️ Configuração'!$C$11)*IF(N374="S",2,1)</f>
        <v>0</v>
      </c>
      <c r="L374" s="90" t="s">
        <v>167</v>
      </c>
      <c r="M374" s="82">
        <f>IF(L374="AT1",'⚙️ Configuração'!$C$14,IF(L374="AT2",'⚙️ Configuração'!$C$15,IF(L374="FI",'⚙️ Configuração'!$C$16,IF(L374="FJ",'⚙️ Configuração'!$C$17,0))))</f>
        <v>0</v>
      </c>
      <c r="N374" s="91" t="s">
        <v>167</v>
      </c>
      <c r="O374" s="92"/>
      <c r="P374" s="83">
        <f>IF(O374="1",'⚙️ Configuração'!$C$21,IF(O374="2",'⚙️ Configuração'!$C$22,IF(O374="3",'⚙️ Configuração'!$C$23,IF(O374="Outro",'⚙️ Configuração'!$C$24,0))))</f>
        <v>0</v>
      </c>
      <c r="Q374" s="84">
        <f t="shared" si="29"/>
        <v>0</v>
      </c>
      <c r="R374" s="40" t="str">
        <f t="shared" si="22"/>
        <v>Semana 1 — ver 🔄</v>
      </c>
      <c r="S374" t="str" cm="1">
        <f t="array" ref="S374">IF(D374="","",IFERROR(_xlfn.SWITCH(B374,"Semana 1",IFERROR(INDEX('🔄 Rotação Duplas'!$D$8:$D$17,MATCH(D374,'🔄 Rotação Duplas'!$C$8:$C$17,0)),INDEX('🔄 Rotação Duplas'!$C$8:$C$17,MATCH(D374,'🔄 Rotação Duplas'!$D$8:$D$17,0))),"Semana 2",IFERROR(INDEX('🔄 Rotação Duplas'!$D$22:$D$31,MATCH(D374,'🔄 Rotação Duplas'!$C$22:$C$31,0)),INDEX('🔄 Rotação Duplas'!$C$22:$C$31,MATCH(D374,'🔄 Rotação Duplas'!$D$22:$D$31,0))),"Semana 3",IFERROR(INDEX('🔄 Rotação Duplas'!$D$36:$D$45,MATCH(D374,'🔄 Rotação Duplas'!$C$36:$C$45,0)),INDEX('🔄 Rotação Duplas'!$C$36:$C$45,MATCH(D374,'🔄 Rotação Duplas'!$D$36:$D$45,0))),"Semana 4",IFERROR(INDEX('🔄 Rotação Duplas'!$D$50:$D$59,MATCH(D374,'🔄 Rotação Duplas'!$C$50:$C$59,0)),INDEX('🔄 Rotação Duplas'!$C$50:$C$59,MATCH(D374,'🔄 Rotação Duplas'!$D$50:$D$59,0))),"Semana 5",IFERROR(INDEX('🔄 Rotação Duplas'!$D$64:$D$73,MATCH(D374,'🔄 Rotação Duplas'!$C$64:$C$73,0)),INDEX('🔄 Rotação Duplas'!$C$64:$C$73,MATCH(D374,'🔄 Rotação Duplas'!$D$64:$D$73,0))),"Semana 6",IFERROR(INDEX('🔄 Rotação Duplas'!$D$78:$D$87,MATCH(D374,'🔄 Rotação Duplas'!$C$78:$C$87,0)),INDEX('🔄 Rotação Duplas'!$C$78:$C$87,MATCH(D374,'🔄 Rotação Duplas'!$D$78:$D$87,0))),"Semana 7",IFERROR(INDEX('🔄 Rotação Duplas'!$D$92:$D$101,MATCH(D374,'🔄 Rotação Duplas'!$C$92:$C$101,0)),INDEX('🔄 Rotação Duplas'!$C$92:$C$101,MATCH(D374,'🔄 Rotação Duplas'!$D$92:$D$101,0))),"Semana 8",IFERROR(INDEX('🔄 Rotação Duplas'!$D$106:$D$115,MATCH(D374,'🔄 Rotação Duplas'!$C$106:$C$115,0)),INDEX('🔄 Rotação Duplas'!$C$106:$C$115,MATCH(D374,'🔄 Rotação Duplas'!$D$106:$D$115,0)))),""))</f>
        <v/>
      </c>
      <c r="T374">
        <f t="shared" si="30"/>
        <v>0</v>
      </c>
    </row>
    <row r="375" spans="2:20" ht="18" customHeight="1" x14ac:dyDescent="0.2">
      <c r="B375" s="78" t="s">
        <v>99</v>
      </c>
      <c r="C375" s="79" t="str">
        <f t="shared" si="32"/>
        <v>Desafio 19</v>
      </c>
      <c r="D375" s="80" t="str">
        <f>'⚙️ Configuração'!C38</f>
        <v>Denise Filipe</v>
      </c>
      <c r="E375" s="50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81">
        <f>(E375*'⚙️ Configuração'!$C$6+F375*'⚙️ Configuração'!$C$7+G375*'⚙️ Configuração'!$C$8+H375*'⚙️ Configuração'!$C$9+I375*'⚙️ Configuração'!$C$10+J375*'⚙️ Configuração'!$C$11)*IF(N375="S",2,1)</f>
        <v>0</v>
      </c>
      <c r="L375" s="90" t="s">
        <v>167</v>
      </c>
      <c r="M375" s="82">
        <f>IF(L375="AT1",'⚙️ Configuração'!$C$14,IF(L375="AT2",'⚙️ Configuração'!$C$15,IF(L375="FI",'⚙️ Configuração'!$C$16,IF(L375="FJ",'⚙️ Configuração'!$C$17,0))))</f>
        <v>0</v>
      </c>
      <c r="N375" s="91" t="s">
        <v>167</v>
      </c>
      <c r="O375" s="92"/>
      <c r="P375" s="83">
        <f>IF(O375="1",'⚙️ Configuração'!$C$21,IF(O375="2",'⚙️ Configuração'!$C$22,IF(O375="3",'⚙️ Configuração'!$C$23,IF(O375="Outro",'⚙️ Configuração'!$C$24,0))))</f>
        <v>0</v>
      </c>
      <c r="Q375" s="84">
        <f t="shared" si="29"/>
        <v>0</v>
      </c>
      <c r="R375" s="40" t="str">
        <f t="shared" si="22"/>
        <v>Semana 1 — ver 🔄</v>
      </c>
      <c r="S375" t="str" cm="1">
        <f t="array" ref="S375">IF(D375="","",IFERROR(_xlfn.SWITCH(B375,"Semana 1",IFERROR(INDEX('🔄 Rotação Duplas'!$D$8:$D$17,MATCH(D375,'🔄 Rotação Duplas'!$C$8:$C$17,0)),INDEX('🔄 Rotação Duplas'!$C$8:$C$17,MATCH(D375,'🔄 Rotação Duplas'!$D$8:$D$17,0))),"Semana 2",IFERROR(INDEX('🔄 Rotação Duplas'!$D$22:$D$31,MATCH(D375,'🔄 Rotação Duplas'!$C$22:$C$31,0)),INDEX('🔄 Rotação Duplas'!$C$22:$C$31,MATCH(D375,'🔄 Rotação Duplas'!$D$22:$D$31,0))),"Semana 3",IFERROR(INDEX('🔄 Rotação Duplas'!$D$36:$D$45,MATCH(D375,'🔄 Rotação Duplas'!$C$36:$C$45,0)),INDEX('🔄 Rotação Duplas'!$C$36:$C$45,MATCH(D375,'🔄 Rotação Duplas'!$D$36:$D$45,0))),"Semana 4",IFERROR(INDEX('🔄 Rotação Duplas'!$D$50:$D$59,MATCH(D375,'🔄 Rotação Duplas'!$C$50:$C$59,0)),INDEX('🔄 Rotação Duplas'!$C$50:$C$59,MATCH(D375,'🔄 Rotação Duplas'!$D$50:$D$59,0))),"Semana 5",IFERROR(INDEX('🔄 Rotação Duplas'!$D$64:$D$73,MATCH(D375,'🔄 Rotação Duplas'!$C$64:$C$73,0)),INDEX('🔄 Rotação Duplas'!$C$64:$C$73,MATCH(D375,'🔄 Rotação Duplas'!$D$64:$D$73,0))),"Semana 6",IFERROR(INDEX('🔄 Rotação Duplas'!$D$78:$D$87,MATCH(D375,'🔄 Rotação Duplas'!$C$78:$C$87,0)),INDEX('🔄 Rotação Duplas'!$C$78:$C$87,MATCH(D375,'🔄 Rotação Duplas'!$D$78:$D$87,0))),"Semana 7",IFERROR(INDEX('🔄 Rotação Duplas'!$D$92:$D$101,MATCH(D375,'🔄 Rotação Duplas'!$C$92:$C$101,0)),INDEX('🔄 Rotação Duplas'!$C$92:$C$101,MATCH(D375,'🔄 Rotação Duplas'!$D$92:$D$101,0))),"Semana 8",IFERROR(INDEX('🔄 Rotação Duplas'!$D$106:$D$115,MATCH(D375,'🔄 Rotação Duplas'!$C$106:$C$115,0)),INDEX('🔄 Rotação Duplas'!$C$106:$C$115,MATCH(D375,'🔄 Rotação Duplas'!$D$106:$D$115,0)))),""))</f>
        <v/>
      </c>
      <c r="T375">
        <f t="shared" si="30"/>
        <v>0</v>
      </c>
    </row>
    <row r="376" spans="2:20" ht="18" customHeight="1" x14ac:dyDescent="0.2">
      <c r="B376" s="85" t="s">
        <v>99</v>
      </c>
      <c r="C376" s="86" t="str">
        <f t="shared" si="32"/>
        <v>Desafio 19</v>
      </c>
      <c r="D376" s="87" t="str">
        <f>'⚙️ Configuração'!C39</f>
        <v>Fátima Rodriguez</v>
      </c>
      <c r="E376" s="50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81">
        <f>(E376*'⚙️ Configuração'!$C$6+F376*'⚙️ Configuração'!$C$7+G376*'⚙️ Configuração'!$C$8+H376*'⚙️ Configuração'!$C$9+I376*'⚙️ Configuração'!$C$10+J376*'⚙️ Configuração'!$C$11)*IF(N376="S",2,1)</f>
        <v>0</v>
      </c>
      <c r="L376" s="90" t="s">
        <v>167</v>
      </c>
      <c r="M376" s="82">
        <f>IF(L376="AT1",'⚙️ Configuração'!$C$14,IF(L376="AT2",'⚙️ Configuração'!$C$15,IF(L376="FI",'⚙️ Configuração'!$C$16,IF(L376="FJ",'⚙️ Configuração'!$C$17,0))))</f>
        <v>0</v>
      </c>
      <c r="N376" s="91" t="s">
        <v>167</v>
      </c>
      <c r="O376" s="92"/>
      <c r="P376" s="83">
        <f>IF(O376="1",'⚙️ Configuração'!$C$21,IF(O376="2",'⚙️ Configuração'!$C$22,IF(O376="3",'⚙️ Configuração'!$C$23,IF(O376="Outro",'⚙️ Configuração'!$C$24,0))))</f>
        <v>0</v>
      </c>
      <c r="Q376" s="84">
        <f t="shared" si="29"/>
        <v>0</v>
      </c>
      <c r="R376" s="40" t="str">
        <f t="shared" si="22"/>
        <v>Semana 1 — ver 🔄</v>
      </c>
      <c r="S376" t="str" cm="1">
        <f t="array" ref="S376">IF(D376="","",IFERROR(_xlfn.SWITCH(B376,"Semana 1",IFERROR(INDEX('🔄 Rotação Duplas'!$D$8:$D$17,MATCH(D376,'🔄 Rotação Duplas'!$C$8:$C$17,0)),INDEX('🔄 Rotação Duplas'!$C$8:$C$17,MATCH(D376,'🔄 Rotação Duplas'!$D$8:$D$17,0))),"Semana 2",IFERROR(INDEX('🔄 Rotação Duplas'!$D$22:$D$31,MATCH(D376,'🔄 Rotação Duplas'!$C$22:$C$31,0)),INDEX('🔄 Rotação Duplas'!$C$22:$C$31,MATCH(D376,'🔄 Rotação Duplas'!$D$22:$D$31,0))),"Semana 3",IFERROR(INDEX('🔄 Rotação Duplas'!$D$36:$D$45,MATCH(D376,'🔄 Rotação Duplas'!$C$36:$C$45,0)),INDEX('🔄 Rotação Duplas'!$C$36:$C$45,MATCH(D376,'🔄 Rotação Duplas'!$D$36:$D$45,0))),"Semana 4",IFERROR(INDEX('🔄 Rotação Duplas'!$D$50:$D$59,MATCH(D376,'🔄 Rotação Duplas'!$C$50:$C$59,0)),INDEX('🔄 Rotação Duplas'!$C$50:$C$59,MATCH(D376,'🔄 Rotação Duplas'!$D$50:$D$59,0))),"Semana 5",IFERROR(INDEX('🔄 Rotação Duplas'!$D$64:$D$73,MATCH(D376,'🔄 Rotação Duplas'!$C$64:$C$73,0)),INDEX('🔄 Rotação Duplas'!$C$64:$C$73,MATCH(D376,'🔄 Rotação Duplas'!$D$64:$D$73,0))),"Semana 6",IFERROR(INDEX('🔄 Rotação Duplas'!$D$78:$D$87,MATCH(D376,'🔄 Rotação Duplas'!$C$78:$C$87,0)),INDEX('🔄 Rotação Duplas'!$C$78:$C$87,MATCH(D376,'🔄 Rotação Duplas'!$D$78:$D$87,0))),"Semana 7",IFERROR(INDEX('🔄 Rotação Duplas'!$D$92:$D$101,MATCH(D376,'🔄 Rotação Duplas'!$C$92:$C$101,0)),INDEX('🔄 Rotação Duplas'!$C$92:$C$101,MATCH(D376,'🔄 Rotação Duplas'!$D$92:$D$101,0))),"Semana 8",IFERROR(INDEX('🔄 Rotação Duplas'!$D$106:$D$115,MATCH(D376,'🔄 Rotação Duplas'!$C$106:$C$115,0)),INDEX('🔄 Rotação Duplas'!$C$106:$C$115,MATCH(D376,'🔄 Rotação Duplas'!$D$106:$D$115,0)))),""))</f>
        <v/>
      </c>
      <c r="T376">
        <f t="shared" si="30"/>
        <v>0</v>
      </c>
    </row>
    <row r="377" spans="2:20" ht="18" customHeight="1" x14ac:dyDescent="0.2">
      <c r="B377" s="78" t="s">
        <v>99</v>
      </c>
      <c r="C377" s="79" t="str">
        <f t="shared" si="32"/>
        <v>Desafio 19</v>
      </c>
      <c r="D377" s="80" t="str">
        <f>'⚙️ Configuração'!C40</f>
        <v>Maria João Travassos</v>
      </c>
      <c r="E377" s="50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81">
        <f>(E377*'⚙️ Configuração'!$C$6+F377*'⚙️ Configuração'!$C$7+G377*'⚙️ Configuração'!$C$8+H377*'⚙️ Configuração'!$C$9+I377*'⚙️ Configuração'!$C$10+J377*'⚙️ Configuração'!$C$11)*IF(N377="S",2,1)</f>
        <v>0</v>
      </c>
      <c r="L377" s="90" t="s">
        <v>167</v>
      </c>
      <c r="M377" s="82">
        <f>IF(L377="AT1",'⚙️ Configuração'!$C$14,IF(L377="AT2",'⚙️ Configuração'!$C$15,IF(L377="FI",'⚙️ Configuração'!$C$16,IF(L377="FJ",'⚙️ Configuração'!$C$17,0))))</f>
        <v>0</v>
      </c>
      <c r="N377" s="91" t="s">
        <v>167</v>
      </c>
      <c r="O377" s="92"/>
      <c r="P377" s="83">
        <f>IF(O377="1",'⚙️ Configuração'!$C$21,IF(O377="2",'⚙️ Configuração'!$C$22,IF(O377="3",'⚙️ Configuração'!$C$23,IF(O377="Outro",'⚙️ Configuração'!$C$24,0))))</f>
        <v>0</v>
      </c>
      <c r="Q377" s="84">
        <f t="shared" si="29"/>
        <v>0</v>
      </c>
      <c r="R377" s="40" t="str">
        <f t="shared" si="22"/>
        <v>Semana 1 — ver 🔄</v>
      </c>
      <c r="S377" t="str" cm="1">
        <f t="array" ref="S377">IF(D377="","",IFERROR(_xlfn.SWITCH(B377,"Semana 1",IFERROR(INDEX('🔄 Rotação Duplas'!$D$8:$D$17,MATCH(D377,'🔄 Rotação Duplas'!$C$8:$C$17,0)),INDEX('🔄 Rotação Duplas'!$C$8:$C$17,MATCH(D377,'🔄 Rotação Duplas'!$D$8:$D$17,0))),"Semana 2",IFERROR(INDEX('🔄 Rotação Duplas'!$D$22:$D$31,MATCH(D377,'🔄 Rotação Duplas'!$C$22:$C$31,0)),INDEX('🔄 Rotação Duplas'!$C$22:$C$31,MATCH(D377,'🔄 Rotação Duplas'!$D$22:$D$31,0))),"Semana 3",IFERROR(INDEX('🔄 Rotação Duplas'!$D$36:$D$45,MATCH(D377,'🔄 Rotação Duplas'!$C$36:$C$45,0)),INDEX('🔄 Rotação Duplas'!$C$36:$C$45,MATCH(D377,'🔄 Rotação Duplas'!$D$36:$D$45,0))),"Semana 4",IFERROR(INDEX('🔄 Rotação Duplas'!$D$50:$D$59,MATCH(D377,'🔄 Rotação Duplas'!$C$50:$C$59,0)),INDEX('🔄 Rotação Duplas'!$C$50:$C$59,MATCH(D377,'🔄 Rotação Duplas'!$D$50:$D$59,0))),"Semana 5",IFERROR(INDEX('🔄 Rotação Duplas'!$D$64:$D$73,MATCH(D377,'🔄 Rotação Duplas'!$C$64:$C$73,0)),INDEX('🔄 Rotação Duplas'!$C$64:$C$73,MATCH(D377,'🔄 Rotação Duplas'!$D$64:$D$73,0))),"Semana 6",IFERROR(INDEX('🔄 Rotação Duplas'!$D$78:$D$87,MATCH(D377,'🔄 Rotação Duplas'!$C$78:$C$87,0)),INDEX('🔄 Rotação Duplas'!$C$78:$C$87,MATCH(D377,'🔄 Rotação Duplas'!$D$78:$D$87,0))),"Semana 7",IFERROR(INDEX('🔄 Rotação Duplas'!$D$92:$D$101,MATCH(D377,'🔄 Rotação Duplas'!$C$92:$C$101,0)),INDEX('🔄 Rotação Duplas'!$C$92:$C$101,MATCH(D377,'🔄 Rotação Duplas'!$D$92:$D$101,0))),"Semana 8",IFERROR(INDEX('🔄 Rotação Duplas'!$D$106:$D$115,MATCH(D377,'🔄 Rotação Duplas'!$C$106:$C$115,0)),INDEX('🔄 Rotação Duplas'!$C$106:$C$115,MATCH(D377,'🔄 Rotação Duplas'!$D$106:$D$115,0)))),""))</f>
        <v/>
      </c>
      <c r="T377">
        <f t="shared" si="30"/>
        <v>0</v>
      </c>
    </row>
    <row r="378" spans="2:20" ht="18" customHeight="1" x14ac:dyDescent="0.2">
      <c r="B378" s="85" t="s">
        <v>99</v>
      </c>
      <c r="C378" s="86" t="str">
        <f t="shared" si="32"/>
        <v>Desafio 19</v>
      </c>
      <c r="D378" s="87" t="str">
        <f>'⚙️ Configuração'!C41</f>
        <v>Marta Torres</v>
      </c>
      <c r="E378" s="50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81">
        <f>(E378*'⚙️ Configuração'!$C$6+F378*'⚙️ Configuração'!$C$7+G378*'⚙️ Configuração'!$C$8+H378*'⚙️ Configuração'!$C$9+I378*'⚙️ Configuração'!$C$10+J378*'⚙️ Configuração'!$C$11)*IF(N378="S",2,1)</f>
        <v>0</v>
      </c>
      <c r="L378" s="90" t="s">
        <v>167</v>
      </c>
      <c r="M378" s="82">
        <f>IF(L378="AT1",'⚙️ Configuração'!$C$14,IF(L378="AT2",'⚙️ Configuração'!$C$15,IF(L378="FI",'⚙️ Configuração'!$C$16,IF(L378="FJ",'⚙️ Configuração'!$C$17,0))))</f>
        <v>0</v>
      </c>
      <c r="N378" s="91" t="s">
        <v>167</v>
      </c>
      <c r="O378" s="92"/>
      <c r="P378" s="83">
        <f>IF(O378="1",'⚙️ Configuração'!$C$21,IF(O378="2",'⚙️ Configuração'!$C$22,IF(O378="3",'⚙️ Configuração'!$C$23,IF(O378="Outro",'⚙️ Configuração'!$C$24,0))))</f>
        <v>0</v>
      </c>
      <c r="Q378" s="84">
        <f t="shared" si="29"/>
        <v>0</v>
      </c>
      <c r="R378" s="40" t="str">
        <f t="shared" si="22"/>
        <v>Semana 1 — ver 🔄</v>
      </c>
      <c r="S378" t="str" cm="1">
        <f t="array" ref="S378">IF(D378="","",IFERROR(_xlfn.SWITCH(B378,"Semana 1",IFERROR(INDEX('🔄 Rotação Duplas'!$D$8:$D$17,MATCH(D378,'🔄 Rotação Duplas'!$C$8:$C$17,0)),INDEX('🔄 Rotação Duplas'!$C$8:$C$17,MATCH(D378,'🔄 Rotação Duplas'!$D$8:$D$17,0))),"Semana 2",IFERROR(INDEX('🔄 Rotação Duplas'!$D$22:$D$31,MATCH(D378,'🔄 Rotação Duplas'!$C$22:$C$31,0)),INDEX('🔄 Rotação Duplas'!$C$22:$C$31,MATCH(D378,'🔄 Rotação Duplas'!$D$22:$D$31,0))),"Semana 3",IFERROR(INDEX('🔄 Rotação Duplas'!$D$36:$D$45,MATCH(D378,'🔄 Rotação Duplas'!$C$36:$C$45,0)),INDEX('🔄 Rotação Duplas'!$C$36:$C$45,MATCH(D378,'🔄 Rotação Duplas'!$D$36:$D$45,0))),"Semana 4",IFERROR(INDEX('🔄 Rotação Duplas'!$D$50:$D$59,MATCH(D378,'🔄 Rotação Duplas'!$C$50:$C$59,0)),INDEX('🔄 Rotação Duplas'!$C$50:$C$59,MATCH(D378,'🔄 Rotação Duplas'!$D$50:$D$59,0))),"Semana 5",IFERROR(INDEX('🔄 Rotação Duplas'!$D$64:$D$73,MATCH(D378,'🔄 Rotação Duplas'!$C$64:$C$73,0)),INDEX('🔄 Rotação Duplas'!$C$64:$C$73,MATCH(D378,'🔄 Rotação Duplas'!$D$64:$D$73,0))),"Semana 6",IFERROR(INDEX('🔄 Rotação Duplas'!$D$78:$D$87,MATCH(D378,'🔄 Rotação Duplas'!$C$78:$C$87,0)),INDEX('🔄 Rotação Duplas'!$C$78:$C$87,MATCH(D378,'🔄 Rotação Duplas'!$D$78:$D$87,0))),"Semana 7",IFERROR(INDEX('🔄 Rotação Duplas'!$D$92:$D$101,MATCH(D378,'🔄 Rotação Duplas'!$C$92:$C$101,0)),INDEX('🔄 Rotação Duplas'!$C$92:$C$101,MATCH(D378,'🔄 Rotação Duplas'!$D$92:$D$101,0))),"Semana 8",IFERROR(INDEX('🔄 Rotação Duplas'!$D$106:$D$115,MATCH(D378,'🔄 Rotação Duplas'!$C$106:$C$115,0)),INDEX('🔄 Rotação Duplas'!$C$106:$C$115,MATCH(D378,'🔄 Rotação Duplas'!$D$106:$D$115,0)))),""))</f>
        <v/>
      </c>
      <c r="T378">
        <f t="shared" si="30"/>
        <v>0</v>
      </c>
    </row>
    <row r="379" spans="2:20" ht="18" customHeight="1" x14ac:dyDescent="0.2">
      <c r="B379" s="78" t="s">
        <v>99</v>
      </c>
      <c r="C379" s="79" t="str">
        <f t="shared" si="32"/>
        <v>Desafio 19</v>
      </c>
      <c r="D379" s="80" t="str">
        <f>'⚙️ Configuração'!C42</f>
        <v>Patricia Isabel Silva</v>
      </c>
      <c r="E379" s="50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81">
        <f>(E379*'⚙️ Configuração'!$C$6+F379*'⚙️ Configuração'!$C$7+G379*'⚙️ Configuração'!$C$8+H379*'⚙️ Configuração'!$C$9+I379*'⚙️ Configuração'!$C$10+J379*'⚙️ Configuração'!$C$11)*IF(N379="S",2,1)</f>
        <v>0</v>
      </c>
      <c r="L379" s="90" t="s">
        <v>167</v>
      </c>
      <c r="M379" s="82">
        <f>IF(L379="AT1",'⚙️ Configuração'!$C$14,IF(L379="AT2",'⚙️ Configuração'!$C$15,IF(L379="FI",'⚙️ Configuração'!$C$16,IF(L379="FJ",'⚙️ Configuração'!$C$17,0))))</f>
        <v>0</v>
      </c>
      <c r="N379" s="91" t="s">
        <v>167</v>
      </c>
      <c r="O379" s="92"/>
      <c r="P379" s="83">
        <f>IF(O379="1",'⚙️ Configuração'!$C$21,IF(O379="2",'⚙️ Configuração'!$C$22,IF(O379="3",'⚙️ Configuração'!$C$23,IF(O379="Outro",'⚙️ Configuração'!$C$24,0))))</f>
        <v>0</v>
      </c>
      <c r="Q379" s="84">
        <f t="shared" si="29"/>
        <v>0</v>
      </c>
      <c r="R379" s="40" t="str">
        <f t="shared" si="22"/>
        <v>Semana 1 — ver 🔄</v>
      </c>
      <c r="S379" t="str" cm="1">
        <f t="array" ref="S379">IF(D379="","",IFERROR(_xlfn.SWITCH(B379,"Semana 1",IFERROR(INDEX('🔄 Rotação Duplas'!$D$8:$D$17,MATCH(D379,'🔄 Rotação Duplas'!$C$8:$C$17,0)),INDEX('🔄 Rotação Duplas'!$C$8:$C$17,MATCH(D379,'🔄 Rotação Duplas'!$D$8:$D$17,0))),"Semana 2",IFERROR(INDEX('🔄 Rotação Duplas'!$D$22:$D$31,MATCH(D379,'🔄 Rotação Duplas'!$C$22:$C$31,0)),INDEX('🔄 Rotação Duplas'!$C$22:$C$31,MATCH(D379,'🔄 Rotação Duplas'!$D$22:$D$31,0))),"Semana 3",IFERROR(INDEX('🔄 Rotação Duplas'!$D$36:$D$45,MATCH(D379,'🔄 Rotação Duplas'!$C$36:$C$45,0)),INDEX('🔄 Rotação Duplas'!$C$36:$C$45,MATCH(D379,'🔄 Rotação Duplas'!$D$36:$D$45,0))),"Semana 4",IFERROR(INDEX('🔄 Rotação Duplas'!$D$50:$D$59,MATCH(D379,'🔄 Rotação Duplas'!$C$50:$C$59,0)),INDEX('🔄 Rotação Duplas'!$C$50:$C$59,MATCH(D379,'🔄 Rotação Duplas'!$D$50:$D$59,0))),"Semana 5",IFERROR(INDEX('🔄 Rotação Duplas'!$D$64:$D$73,MATCH(D379,'🔄 Rotação Duplas'!$C$64:$C$73,0)),INDEX('🔄 Rotação Duplas'!$C$64:$C$73,MATCH(D379,'🔄 Rotação Duplas'!$D$64:$D$73,0))),"Semana 6",IFERROR(INDEX('🔄 Rotação Duplas'!$D$78:$D$87,MATCH(D379,'🔄 Rotação Duplas'!$C$78:$C$87,0)),INDEX('🔄 Rotação Duplas'!$C$78:$C$87,MATCH(D379,'🔄 Rotação Duplas'!$D$78:$D$87,0))),"Semana 7",IFERROR(INDEX('🔄 Rotação Duplas'!$D$92:$D$101,MATCH(D379,'🔄 Rotação Duplas'!$C$92:$C$101,0)),INDEX('🔄 Rotação Duplas'!$C$92:$C$101,MATCH(D379,'🔄 Rotação Duplas'!$D$92:$D$101,0))),"Semana 8",IFERROR(INDEX('🔄 Rotação Duplas'!$D$106:$D$115,MATCH(D379,'🔄 Rotação Duplas'!$C$106:$C$115,0)),INDEX('🔄 Rotação Duplas'!$C$106:$C$115,MATCH(D379,'🔄 Rotação Duplas'!$D$106:$D$115,0)))),""))</f>
        <v/>
      </c>
      <c r="T379">
        <f t="shared" si="30"/>
        <v>0</v>
      </c>
    </row>
    <row r="380" spans="2:20" ht="18" customHeight="1" x14ac:dyDescent="0.2">
      <c r="B380" s="85" t="s">
        <v>99</v>
      </c>
      <c r="C380" s="86" t="str">
        <f t="shared" si="32"/>
        <v>Desafio 19</v>
      </c>
      <c r="D380" s="87" t="str">
        <f>'⚙️ Configuração'!C43</f>
        <v>Paula Martins</v>
      </c>
      <c r="E380" s="50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81">
        <f>(E380*'⚙️ Configuração'!$C$6+F380*'⚙️ Configuração'!$C$7+G380*'⚙️ Configuração'!$C$8+H380*'⚙️ Configuração'!$C$9+I380*'⚙️ Configuração'!$C$10+J380*'⚙️ Configuração'!$C$11)*IF(N380="S",2,1)</f>
        <v>0</v>
      </c>
      <c r="L380" s="90" t="s">
        <v>167</v>
      </c>
      <c r="M380" s="82">
        <f>IF(L380="AT1",'⚙️ Configuração'!$C$14,IF(L380="AT2",'⚙️ Configuração'!$C$15,IF(L380="FI",'⚙️ Configuração'!$C$16,IF(L380="FJ",'⚙️ Configuração'!$C$17,0))))</f>
        <v>0</v>
      </c>
      <c r="N380" s="91" t="s">
        <v>167</v>
      </c>
      <c r="O380" s="92"/>
      <c r="P380" s="83">
        <f>IF(O380="1",'⚙️ Configuração'!$C$21,IF(O380="2",'⚙️ Configuração'!$C$22,IF(O380="3",'⚙️ Configuração'!$C$23,IF(O380="Outro",'⚙️ Configuração'!$C$24,0))))</f>
        <v>0</v>
      </c>
      <c r="Q380" s="84">
        <f t="shared" si="29"/>
        <v>0</v>
      </c>
      <c r="R380" s="40" t="str">
        <f t="shared" si="22"/>
        <v>Semana 1 — ver 🔄</v>
      </c>
      <c r="S380" t="str" cm="1">
        <f t="array" ref="S380">IF(D380="","",IFERROR(_xlfn.SWITCH(B380,"Semana 1",IFERROR(INDEX('🔄 Rotação Duplas'!$D$8:$D$17,MATCH(D380,'🔄 Rotação Duplas'!$C$8:$C$17,0)),INDEX('🔄 Rotação Duplas'!$C$8:$C$17,MATCH(D380,'🔄 Rotação Duplas'!$D$8:$D$17,0))),"Semana 2",IFERROR(INDEX('🔄 Rotação Duplas'!$D$22:$D$31,MATCH(D380,'🔄 Rotação Duplas'!$C$22:$C$31,0)),INDEX('🔄 Rotação Duplas'!$C$22:$C$31,MATCH(D380,'🔄 Rotação Duplas'!$D$22:$D$31,0))),"Semana 3",IFERROR(INDEX('🔄 Rotação Duplas'!$D$36:$D$45,MATCH(D380,'🔄 Rotação Duplas'!$C$36:$C$45,0)),INDEX('🔄 Rotação Duplas'!$C$36:$C$45,MATCH(D380,'🔄 Rotação Duplas'!$D$36:$D$45,0))),"Semana 4",IFERROR(INDEX('🔄 Rotação Duplas'!$D$50:$D$59,MATCH(D380,'🔄 Rotação Duplas'!$C$50:$C$59,0)),INDEX('🔄 Rotação Duplas'!$C$50:$C$59,MATCH(D380,'🔄 Rotação Duplas'!$D$50:$D$59,0))),"Semana 5",IFERROR(INDEX('🔄 Rotação Duplas'!$D$64:$D$73,MATCH(D380,'🔄 Rotação Duplas'!$C$64:$C$73,0)),INDEX('🔄 Rotação Duplas'!$C$64:$C$73,MATCH(D380,'🔄 Rotação Duplas'!$D$64:$D$73,0))),"Semana 6",IFERROR(INDEX('🔄 Rotação Duplas'!$D$78:$D$87,MATCH(D380,'🔄 Rotação Duplas'!$C$78:$C$87,0)),INDEX('🔄 Rotação Duplas'!$C$78:$C$87,MATCH(D380,'🔄 Rotação Duplas'!$D$78:$D$87,0))),"Semana 7",IFERROR(INDEX('🔄 Rotação Duplas'!$D$92:$D$101,MATCH(D380,'🔄 Rotação Duplas'!$C$92:$C$101,0)),INDEX('🔄 Rotação Duplas'!$C$92:$C$101,MATCH(D380,'🔄 Rotação Duplas'!$D$92:$D$101,0))),"Semana 8",IFERROR(INDEX('🔄 Rotação Duplas'!$D$106:$D$115,MATCH(D380,'🔄 Rotação Duplas'!$C$106:$C$115,0)),INDEX('🔄 Rotação Duplas'!$C$106:$C$115,MATCH(D380,'🔄 Rotação Duplas'!$D$106:$D$115,0)))),""))</f>
        <v/>
      </c>
      <c r="T380">
        <f t="shared" si="30"/>
        <v>0</v>
      </c>
    </row>
    <row r="381" spans="2:20" ht="18" customHeight="1" x14ac:dyDescent="0.2">
      <c r="B381" s="78" t="s">
        <v>99</v>
      </c>
      <c r="C381" s="79" t="str">
        <f t="shared" si="32"/>
        <v>Desafio 19</v>
      </c>
      <c r="D381" s="80" t="str">
        <f>'⚙️ Configuração'!C44</f>
        <v>Paula Miabara</v>
      </c>
      <c r="E381" s="50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81">
        <f>(E381*'⚙️ Configuração'!$C$6+F381*'⚙️ Configuração'!$C$7+G381*'⚙️ Configuração'!$C$8+H381*'⚙️ Configuração'!$C$9+I381*'⚙️ Configuração'!$C$10+J381*'⚙️ Configuração'!$C$11)*IF(N381="S",2,1)</f>
        <v>0</v>
      </c>
      <c r="L381" s="90" t="s">
        <v>167</v>
      </c>
      <c r="M381" s="82">
        <f>IF(L381="AT1",'⚙️ Configuração'!$C$14,IF(L381="AT2",'⚙️ Configuração'!$C$15,IF(L381="FI",'⚙️ Configuração'!$C$16,IF(L381="FJ",'⚙️ Configuração'!$C$17,0))))</f>
        <v>0</v>
      </c>
      <c r="N381" s="91" t="s">
        <v>167</v>
      </c>
      <c r="O381" s="92"/>
      <c r="P381" s="83">
        <f>IF(O381="1",'⚙️ Configuração'!$C$21,IF(O381="2",'⚙️ Configuração'!$C$22,IF(O381="3",'⚙️ Configuração'!$C$23,IF(O381="Outro",'⚙️ Configuração'!$C$24,0))))</f>
        <v>0</v>
      </c>
      <c r="Q381" s="84">
        <f t="shared" si="29"/>
        <v>0</v>
      </c>
      <c r="R381" s="40" t="str">
        <f t="shared" si="22"/>
        <v>Semana 1 — ver 🔄</v>
      </c>
      <c r="S381" t="str" cm="1">
        <f t="array" ref="S381">IF(D381="","",IFERROR(_xlfn.SWITCH(B381,"Semana 1",IFERROR(INDEX('🔄 Rotação Duplas'!$D$8:$D$17,MATCH(D381,'🔄 Rotação Duplas'!$C$8:$C$17,0)),INDEX('🔄 Rotação Duplas'!$C$8:$C$17,MATCH(D381,'🔄 Rotação Duplas'!$D$8:$D$17,0))),"Semana 2",IFERROR(INDEX('🔄 Rotação Duplas'!$D$22:$D$31,MATCH(D381,'🔄 Rotação Duplas'!$C$22:$C$31,0)),INDEX('🔄 Rotação Duplas'!$C$22:$C$31,MATCH(D381,'🔄 Rotação Duplas'!$D$22:$D$31,0))),"Semana 3",IFERROR(INDEX('🔄 Rotação Duplas'!$D$36:$D$45,MATCH(D381,'🔄 Rotação Duplas'!$C$36:$C$45,0)),INDEX('🔄 Rotação Duplas'!$C$36:$C$45,MATCH(D381,'🔄 Rotação Duplas'!$D$36:$D$45,0))),"Semana 4",IFERROR(INDEX('🔄 Rotação Duplas'!$D$50:$D$59,MATCH(D381,'🔄 Rotação Duplas'!$C$50:$C$59,0)),INDEX('🔄 Rotação Duplas'!$C$50:$C$59,MATCH(D381,'🔄 Rotação Duplas'!$D$50:$D$59,0))),"Semana 5",IFERROR(INDEX('🔄 Rotação Duplas'!$D$64:$D$73,MATCH(D381,'🔄 Rotação Duplas'!$C$64:$C$73,0)),INDEX('🔄 Rotação Duplas'!$C$64:$C$73,MATCH(D381,'🔄 Rotação Duplas'!$D$64:$D$73,0))),"Semana 6",IFERROR(INDEX('🔄 Rotação Duplas'!$D$78:$D$87,MATCH(D381,'🔄 Rotação Duplas'!$C$78:$C$87,0)),INDEX('🔄 Rotação Duplas'!$C$78:$C$87,MATCH(D381,'🔄 Rotação Duplas'!$D$78:$D$87,0))),"Semana 7",IFERROR(INDEX('🔄 Rotação Duplas'!$D$92:$D$101,MATCH(D381,'🔄 Rotação Duplas'!$C$92:$C$101,0)),INDEX('🔄 Rotação Duplas'!$C$92:$C$101,MATCH(D381,'🔄 Rotação Duplas'!$D$92:$D$101,0))),"Semana 8",IFERROR(INDEX('🔄 Rotação Duplas'!$D$106:$D$115,MATCH(D381,'🔄 Rotação Duplas'!$C$106:$C$115,0)),INDEX('🔄 Rotação Duplas'!$C$106:$C$115,MATCH(D381,'🔄 Rotação Duplas'!$D$106:$D$115,0)))),""))</f>
        <v/>
      </c>
      <c r="T381">
        <f t="shared" si="30"/>
        <v>0</v>
      </c>
    </row>
    <row r="382" spans="2:20" ht="18" customHeight="1" x14ac:dyDescent="0.2">
      <c r="B382" s="85" t="s">
        <v>99</v>
      </c>
      <c r="C382" s="86" t="str">
        <f t="shared" si="32"/>
        <v>Desafio 19</v>
      </c>
      <c r="D382" s="87" t="str">
        <f>'⚙️ Configuração'!C45</f>
        <v>Rita Carmo</v>
      </c>
      <c r="E382" s="50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81">
        <f>(E382*'⚙️ Configuração'!$C$6+F382*'⚙️ Configuração'!$C$7+G382*'⚙️ Configuração'!$C$8+H382*'⚙️ Configuração'!$C$9+I382*'⚙️ Configuração'!$C$10+J382*'⚙️ Configuração'!$C$11)*IF(N382="S",2,1)</f>
        <v>0</v>
      </c>
      <c r="L382" s="90" t="s">
        <v>167</v>
      </c>
      <c r="M382" s="82">
        <f>IF(L382="AT1",'⚙️ Configuração'!$C$14,IF(L382="AT2",'⚙️ Configuração'!$C$15,IF(L382="FI",'⚙️ Configuração'!$C$16,IF(L382="FJ",'⚙️ Configuração'!$C$17,0))))</f>
        <v>0</v>
      </c>
      <c r="N382" s="91" t="s">
        <v>167</v>
      </c>
      <c r="O382" s="92"/>
      <c r="P382" s="83">
        <f>IF(O382="1",'⚙️ Configuração'!$C$21,IF(O382="2",'⚙️ Configuração'!$C$22,IF(O382="3",'⚙️ Configuração'!$C$23,IF(O382="Outro",'⚙️ Configuração'!$C$24,0))))</f>
        <v>0</v>
      </c>
      <c r="Q382" s="84">
        <f t="shared" si="29"/>
        <v>0</v>
      </c>
      <c r="R382" s="40" t="str">
        <f t="shared" si="22"/>
        <v>Semana 1 — ver 🔄</v>
      </c>
      <c r="S382" t="str" cm="1">
        <f t="array" ref="S382">IF(D382="","",IFERROR(_xlfn.SWITCH(B382,"Semana 1",IFERROR(INDEX('🔄 Rotação Duplas'!$D$8:$D$17,MATCH(D382,'🔄 Rotação Duplas'!$C$8:$C$17,0)),INDEX('🔄 Rotação Duplas'!$C$8:$C$17,MATCH(D382,'🔄 Rotação Duplas'!$D$8:$D$17,0))),"Semana 2",IFERROR(INDEX('🔄 Rotação Duplas'!$D$22:$D$31,MATCH(D382,'🔄 Rotação Duplas'!$C$22:$C$31,0)),INDEX('🔄 Rotação Duplas'!$C$22:$C$31,MATCH(D382,'🔄 Rotação Duplas'!$D$22:$D$31,0))),"Semana 3",IFERROR(INDEX('🔄 Rotação Duplas'!$D$36:$D$45,MATCH(D382,'🔄 Rotação Duplas'!$C$36:$C$45,0)),INDEX('🔄 Rotação Duplas'!$C$36:$C$45,MATCH(D382,'🔄 Rotação Duplas'!$D$36:$D$45,0))),"Semana 4",IFERROR(INDEX('🔄 Rotação Duplas'!$D$50:$D$59,MATCH(D382,'🔄 Rotação Duplas'!$C$50:$C$59,0)),INDEX('🔄 Rotação Duplas'!$C$50:$C$59,MATCH(D382,'🔄 Rotação Duplas'!$D$50:$D$59,0))),"Semana 5",IFERROR(INDEX('🔄 Rotação Duplas'!$D$64:$D$73,MATCH(D382,'🔄 Rotação Duplas'!$C$64:$C$73,0)),INDEX('🔄 Rotação Duplas'!$C$64:$C$73,MATCH(D382,'🔄 Rotação Duplas'!$D$64:$D$73,0))),"Semana 6",IFERROR(INDEX('🔄 Rotação Duplas'!$D$78:$D$87,MATCH(D382,'🔄 Rotação Duplas'!$C$78:$C$87,0)),INDEX('🔄 Rotação Duplas'!$C$78:$C$87,MATCH(D382,'🔄 Rotação Duplas'!$D$78:$D$87,0))),"Semana 7",IFERROR(INDEX('🔄 Rotação Duplas'!$D$92:$D$101,MATCH(D382,'🔄 Rotação Duplas'!$C$92:$C$101,0)),INDEX('🔄 Rotação Duplas'!$C$92:$C$101,MATCH(D382,'🔄 Rotação Duplas'!$D$92:$D$101,0))),"Semana 8",IFERROR(INDEX('🔄 Rotação Duplas'!$D$106:$D$115,MATCH(D382,'🔄 Rotação Duplas'!$C$106:$C$115,0)),INDEX('🔄 Rotação Duplas'!$C$106:$C$115,MATCH(D382,'🔄 Rotação Duplas'!$D$106:$D$115,0)))),""))</f>
        <v/>
      </c>
      <c r="T382">
        <f t="shared" si="30"/>
        <v>0</v>
      </c>
    </row>
    <row r="383" spans="2:20" ht="18" customHeight="1" x14ac:dyDescent="0.2">
      <c r="B383" s="78" t="s">
        <v>99</v>
      </c>
      <c r="C383" s="79" t="str">
        <f t="shared" si="32"/>
        <v>Desafio 19</v>
      </c>
      <c r="D383" s="80" t="str">
        <f>'⚙️ Configuração'!C46</f>
        <v>William Fernandes</v>
      </c>
      <c r="E383" s="50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81">
        <f>(E383*'⚙️ Configuração'!$C$6+F383*'⚙️ Configuração'!$C$7+G383*'⚙️ Configuração'!$C$8+H383*'⚙️ Configuração'!$C$9+I383*'⚙️ Configuração'!$C$10+J383*'⚙️ Configuração'!$C$11)*IF(N383="S",2,1)</f>
        <v>0</v>
      </c>
      <c r="L383" s="90" t="s">
        <v>167</v>
      </c>
      <c r="M383" s="82">
        <f>IF(L383="AT1",'⚙️ Configuração'!$C$14,IF(L383="AT2",'⚙️ Configuração'!$C$15,IF(L383="FI",'⚙️ Configuração'!$C$16,IF(L383="FJ",'⚙️ Configuração'!$C$17,0))))</f>
        <v>0</v>
      </c>
      <c r="N383" s="91" t="s">
        <v>167</v>
      </c>
      <c r="O383" s="92"/>
      <c r="P383" s="83">
        <f>IF(O383="1",'⚙️ Configuração'!$C$21,IF(O383="2",'⚙️ Configuração'!$C$22,IF(O383="3",'⚙️ Configuração'!$C$23,IF(O383="Outro",'⚙️ Configuração'!$C$24,0))))</f>
        <v>0</v>
      </c>
      <c r="Q383" s="84">
        <f t="shared" si="29"/>
        <v>0</v>
      </c>
      <c r="R383" s="40" t="str">
        <f t="shared" si="22"/>
        <v>Semana 1 — ver 🔄</v>
      </c>
      <c r="S383" t="str" cm="1">
        <f t="array" ref="S383">IF(D383="","",IFERROR(_xlfn.SWITCH(B383,"Semana 1",IFERROR(INDEX('🔄 Rotação Duplas'!$D$8:$D$17,MATCH(D383,'🔄 Rotação Duplas'!$C$8:$C$17,0)),INDEX('🔄 Rotação Duplas'!$C$8:$C$17,MATCH(D383,'🔄 Rotação Duplas'!$D$8:$D$17,0))),"Semana 2",IFERROR(INDEX('🔄 Rotação Duplas'!$D$22:$D$31,MATCH(D383,'🔄 Rotação Duplas'!$C$22:$C$31,0)),INDEX('🔄 Rotação Duplas'!$C$22:$C$31,MATCH(D383,'🔄 Rotação Duplas'!$D$22:$D$31,0))),"Semana 3",IFERROR(INDEX('🔄 Rotação Duplas'!$D$36:$D$45,MATCH(D383,'🔄 Rotação Duplas'!$C$36:$C$45,0)),INDEX('🔄 Rotação Duplas'!$C$36:$C$45,MATCH(D383,'🔄 Rotação Duplas'!$D$36:$D$45,0))),"Semana 4",IFERROR(INDEX('🔄 Rotação Duplas'!$D$50:$D$59,MATCH(D383,'🔄 Rotação Duplas'!$C$50:$C$59,0)),INDEX('🔄 Rotação Duplas'!$C$50:$C$59,MATCH(D383,'🔄 Rotação Duplas'!$D$50:$D$59,0))),"Semana 5",IFERROR(INDEX('🔄 Rotação Duplas'!$D$64:$D$73,MATCH(D383,'🔄 Rotação Duplas'!$C$64:$C$73,0)),INDEX('🔄 Rotação Duplas'!$C$64:$C$73,MATCH(D383,'🔄 Rotação Duplas'!$D$64:$D$73,0))),"Semana 6",IFERROR(INDEX('🔄 Rotação Duplas'!$D$78:$D$87,MATCH(D383,'🔄 Rotação Duplas'!$C$78:$C$87,0)),INDEX('🔄 Rotação Duplas'!$C$78:$C$87,MATCH(D383,'🔄 Rotação Duplas'!$D$78:$D$87,0))),"Semana 7",IFERROR(INDEX('🔄 Rotação Duplas'!$D$92:$D$101,MATCH(D383,'🔄 Rotação Duplas'!$C$92:$C$101,0)),INDEX('🔄 Rotação Duplas'!$C$92:$C$101,MATCH(D383,'🔄 Rotação Duplas'!$D$92:$D$101,0))),"Semana 8",IFERROR(INDEX('🔄 Rotação Duplas'!$D$106:$D$115,MATCH(D383,'🔄 Rotação Duplas'!$C$106:$C$115,0)),INDEX('🔄 Rotação Duplas'!$C$106:$C$115,MATCH(D383,'🔄 Rotação Duplas'!$D$106:$D$115,0)))),""))</f>
        <v/>
      </c>
      <c r="T383">
        <f t="shared" si="30"/>
        <v>0</v>
      </c>
    </row>
    <row r="384" spans="2:20" ht="18" customHeight="1" x14ac:dyDescent="0.2">
      <c r="B384" s="85" t="s">
        <v>99</v>
      </c>
      <c r="C384" s="86" t="str">
        <f t="shared" si="32"/>
        <v>Desafio 19</v>
      </c>
      <c r="D384" s="87" t="str">
        <f>'⚙️ Configuração'!C47</f>
        <v>-</v>
      </c>
      <c r="E384" s="50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81">
        <f>(E384*'⚙️ Configuração'!$C$6+F384*'⚙️ Configuração'!$C$7+G384*'⚙️ Configuração'!$C$8+H384*'⚙️ Configuração'!$C$9+I384*'⚙️ Configuração'!$C$10+J384*'⚙️ Configuração'!$C$11)*IF(N384="S",2,1)</f>
        <v>0</v>
      </c>
      <c r="L384" s="90" t="s">
        <v>167</v>
      </c>
      <c r="M384" s="82">
        <f>IF(L384="AT1",'⚙️ Configuração'!$C$14,IF(L384="AT2",'⚙️ Configuração'!$C$15,IF(L384="FI",'⚙️ Configuração'!$C$16,IF(L384="FJ",'⚙️ Configuração'!$C$17,0))))</f>
        <v>0</v>
      </c>
      <c r="N384" s="91" t="s">
        <v>167</v>
      </c>
      <c r="O384" s="92"/>
      <c r="P384" s="83">
        <f>IF(O384="1",'⚙️ Configuração'!$C$21,IF(O384="2",'⚙️ Configuração'!$C$22,IF(O384="3",'⚙️ Configuração'!$C$23,IF(O384="Outro",'⚙️ Configuração'!$C$24,0))))</f>
        <v>0</v>
      </c>
      <c r="Q384" s="84">
        <f t="shared" si="29"/>
        <v>0</v>
      </c>
      <c r="R384" s="40" t="str">
        <f t="shared" si="22"/>
        <v>Semana 1 — ver 🔄</v>
      </c>
      <c r="S384" t="str" cm="1">
        <f t="array" ref="S384">IF(D384="","",IFERROR(_xlfn.SWITCH(B384,"Semana 1",IFERROR(INDEX('🔄 Rotação Duplas'!$D$8:$D$17,MATCH(D384,'🔄 Rotação Duplas'!$C$8:$C$17,0)),INDEX('🔄 Rotação Duplas'!$C$8:$C$17,MATCH(D384,'🔄 Rotação Duplas'!$D$8:$D$17,0))),"Semana 2",IFERROR(INDEX('🔄 Rotação Duplas'!$D$22:$D$31,MATCH(D384,'🔄 Rotação Duplas'!$C$22:$C$31,0)),INDEX('🔄 Rotação Duplas'!$C$22:$C$31,MATCH(D384,'🔄 Rotação Duplas'!$D$22:$D$31,0))),"Semana 3",IFERROR(INDEX('🔄 Rotação Duplas'!$D$36:$D$45,MATCH(D384,'🔄 Rotação Duplas'!$C$36:$C$45,0)),INDEX('🔄 Rotação Duplas'!$C$36:$C$45,MATCH(D384,'🔄 Rotação Duplas'!$D$36:$D$45,0))),"Semana 4",IFERROR(INDEX('🔄 Rotação Duplas'!$D$50:$D$59,MATCH(D384,'🔄 Rotação Duplas'!$C$50:$C$59,0)),INDEX('🔄 Rotação Duplas'!$C$50:$C$59,MATCH(D384,'🔄 Rotação Duplas'!$D$50:$D$59,0))),"Semana 5",IFERROR(INDEX('🔄 Rotação Duplas'!$D$64:$D$73,MATCH(D384,'🔄 Rotação Duplas'!$C$64:$C$73,0)),INDEX('🔄 Rotação Duplas'!$C$64:$C$73,MATCH(D384,'🔄 Rotação Duplas'!$D$64:$D$73,0))),"Semana 6",IFERROR(INDEX('🔄 Rotação Duplas'!$D$78:$D$87,MATCH(D384,'🔄 Rotação Duplas'!$C$78:$C$87,0)),INDEX('🔄 Rotação Duplas'!$C$78:$C$87,MATCH(D384,'🔄 Rotação Duplas'!$D$78:$D$87,0))),"Semana 7",IFERROR(INDEX('🔄 Rotação Duplas'!$D$92:$D$101,MATCH(D384,'🔄 Rotação Duplas'!$C$92:$C$101,0)),INDEX('🔄 Rotação Duplas'!$C$92:$C$101,MATCH(D384,'🔄 Rotação Duplas'!$D$92:$D$101,0))),"Semana 8",IFERROR(INDEX('🔄 Rotação Duplas'!$D$106:$D$115,MATCH(D384,'🔄 Rotação Duplas'!$C$106:$C$115,0)),INDEX('🔄 Rotação Duplas'!$C$106:$C$115,MATCH(D384,'🔄 Rotação Duplas'!$D$106:$D$115,0)))),""))</f>
        <v/>
      </c>
      <c r="T384">
        <f t="shared" si="30"/>
        <v>0</v>
      </c>
    </row>
    <row r="385" spans="2:20" ht="18" customHeight="1" x14ac:dyDescent="0.2">
      <c r="B385" s="78" t="s">
        <v>99</v>
      </c>
      <c r="C385" s="79" t="str">
        <f t="shared" si="32"/>
        <v>Desafio 19</v>
      </c>
      <c r="D385" s="80" t="str">
        <f>'⚙️ Configuração'!C48</f>
        <v>-</v>
      </c>
      <c r="E385" s="50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81">
        <f>(E385*'⚙️ Configuração'!$C$6+F385*'⚙️ Configuração'!$C$7+G385*'⚙️ Configuração'!$C$8+H385*'⚙️ Configuração'!$C$9+I385*'⚙️ Configuração'!$C$10+J385*'⚙️ Configuração'!$C$11)*IF(N385="S",2,1)</f>
        <v>0</v>
      </c>
      <c r="L385" s="90" t="s">
        <v>167</v>
      </c>
      <c r="M385" s="82">
        <f>IF(L385="AT1",'⚙️ Configuração'!$C$14,IF(L385="AT2",'⚙️ Configuração'!$C$15,IF(L385="FI",'⚙️ Configuração'!$C$16,IF(L385="FJ",'⚙️ Configuração'!$C$17,0))))</f>
        <v>0</v>
      </c>
      <c r="N385" s="91" t="s">
        <v>167</v>
      </c>
      <c r="O385" s="92"/>
      <c r="P385" s="83">
        <f>IF(O385="1",'⚙️ Configuração'!$C$21,IF(O385="2",'⚙️ Configuração'!$C$22,IF(O385="3",'⚙️ Configuração'!$C$23,IF(O385="Outro",'⚙️ Configuração'!$C$24,0))))</f>
        <v>0</v>
      </c>
      <c r="Q385" s="84">
        <f t="shared" si="29"/>
        <v>0</v>
      </c>
      <c r="R385" s="40" t="str">
        <f t="shared" si="22"/>
        <v>Semana 1 — ver 🔄</v>
      </c>
      <c r="S385" t="str" cm="1">
        <f t="array" ref="S385">IF(D385="","",IFERROR(_xlfn.SWITCH(B385,"Semana 1",IFERROR(INDEX('🔄 Rotação Duplas'!$D$8:$D$17,MATCH(D385,'🔄 Rotação Duplas'!$C$8:$C$17,0)),INDEX('🔄 Rotação Duplas'!$C$8:$C$17,MATCH(D385,'🔄 Rotação Duplas'!$D$8:$D$17,0))),"Semana 2",IFERROR(INDEX('🔄 Rotação Duplas'!$D$22:$D$31,MATCH(D385,'🔄 Rotação Duplas'!$C$22:$C$31,0)),INDEX('🔄 Rotação Duplas'!$C$22:$C$31,MATCH(D385,'🔄 Rotação Duplas'!$D$22:$D$31,0))),"Semana 3",IFERROR(INDEX('🔄 Rotação Duplas'!$D$36:$D$45,MATCH(D385,'🔄 Rotação Duplas'!$C$36:$C$45,0)),INDEX('🔄 Rotação Duplas'!$C$36:$C$45,MATCH(D385,'🔄 Rotação Duplas'!$D$36:$D$45,0))),"Semana 4",IFERROR(INDEX('🔄 Rotação Duplas'!$D$50:$D$59,MATCH(D385,'🔄 Rotação Duplas'!$C$50:$C$59,0)),INDEX('🔄 Rotação Duplas'!$C$50:$C$59,MATCH(D385,'🔄 Rotação Duplas'!$D$50:$D$59,0))),"Semana 5",IFERROR(INDEX('🔄 Rotação Duplas'!$D$64:$D$73,MATCH(D385,'🔄 Rotação Duplas'!$C$64:$C$73,0)),INDEX('🔄 Rotação Duplas'!$C$64:$C$73,MATCH(D385,'🔄 Rotação Duplas'!$D$64:$D$73,0))),"Semana 6",IFERROR(INDEX('🔄 Rotação Duplas'!$D$78:$D$87,MATCH(D385,'🔄 Rotação Duplas'!$C$78:$C$87,0)),INDEX('🔄 Rotação Duplas'!$C$78:$C$87,MATCH(D385,'🔄 Rotação Duplas'!$D$78:$D$87,0))),"Semana 7",IFERROR(INDEX('🔄 Rotação Duplas'!$D$92:$D$101,MATCH(D385,'🔄 Rotação Duplas'!$C$92:$C$101,0)),INDEX('🔄 Rotação Duplas'!$C$92:$C$101,MATCH(D385,'🔄 Rotação Duplas'!$D$92:$D$101,0))),"Semana 8",IFERROR(INDEX('🔄 Rotação Duplas'!$D$106:$D$115,MATCH(D385,'🔄 Rotação Duplas'!$C$106:$C$115,0)),INDEX('🔄 Rotação Duplas'!$C$106:$C$115,MATCH(D385,'🔄 Rotação Duplas'!$D$106:$D$115,0)))),""))</f>
        <v/>
      </c>
      <c r="T385">
        <f t="shared" si="30"/>
        <v>0</v>
      </c>
    </row>
    <row r="386" spans="2:20" ht="18" customHeight="1" x14ac:dyDescent="0.2">
      <c r="B386" s="85" t="s">
        <v>99</v>
      </c>
      <c r="C386" s="86" t="str">
        <f t="shared" si="32"/>
        <v>Desafio 19</v>
      </c>
      <c r="D386" s="87" t="str">
        <f>'⚙️ Configuração'!C49</f>
        <v>-</v>
      </c>
      <c r="E386" s="50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81">
        <f>(E386*'⚙️ Configuração'!$C$6+F386*'⚙️ Configuração'!$C$7+G386*'⚙️ Configuração'!$C$8+H386*'⚙️ Configuração'!$C$9+I386*'⚙️ Configuração'!$C$10+J386*'⚙️ Configuração'!$C$11)*IF(N386="S",2,1)</f>
        <v>0</v>
      </c>
      <c r="L386" s="90" t="s">
        <v>167</v>
      </c>
      <c r="M386" s="82">
        <f>IF(L386="AT1",'⚙️ Configuração'!$C$14,IF(L386="AT2",'⚙️ Configuração'!$C$15,IF(L386="FI",'⚙️ Configuração'!$C$16,IF(L386="FJ",'⚙️ Configuração'!$C$17,0))))</f>
        <v>0</v>
      </c>
      <c r="N386" s="91" t="s">
        <v>167</v>
      </c>
      <c r="O386" s="92"/>
      <c r="P386" s="83">
        <f>IF(O386="1",'⚙️ Configuração'!$C$21,IF(O386="2",'⚙️ Configuração'!$C$22,IF(O386="3",'⚙️ Configuração'!$C$23,IF(O386="Outro",'⚙️ Configuração'!$C$24,0))))</f>
        <v>0</v>
      </c>
      <c r="Q386" s="84">
        <f t="shared" si="29"/>
        <v>0</v>
      </c>
      <c r="R386" s="40" t="str">
        <f t="shared" si="22"/>
        <v>Semana 1 — ver 🔄</v>
      </c>
      <c r="S386" t="str" cm="1">
        <f t="array" ref="S386">IF(D386="","",IFERROR(_xlfn.SWITCH(B386,"Semana 1",IFERROR(INDEX('🔄 Rotação Duplas'!$D$8:$D$17,MATCH(D386,'🔄 Rotação Duplas'!$C$8:$C$17,0)),INDEX('🔄 Rotação Duplas'!$C$8:$C$17,MATCH(D386,'🔄 Rotação Duplas'!$D$8:$D$17,0))),"Semana 2",IFERROR(INDEX('🔄 Rotação Duplas'!$D$22:$D$31,MATCH(D386,'🔄 Rotação Duplas'!$C$22:$C$31,0)),INDEX('🔄 Rotação Duplas'!$C$22:$C$31,MATCH(D386,'🔄 Rotação Duplas'!$D$22:$D$31,0))),"Semana 3",IFERROR(INDEX('🔄 Rotação Duplas'!$D$36:$D$45,MATCH(D386,'🔄 Rotação Duplas'!$C$36:$C$45,0)),INDEX('🔄 Rotação Duplas'!$C$36:$C$45,MATCH(D386,'🔄 Rotação Duplas'!$D$36:$D$45,0))),"Semana 4",IFERROR(INDEX('🔄 Rotação Duplas'!$D$50:$D$59,MATCH(D386,'🔄 Rotação Duplas'!$C$50:$C$59,0)),INDEX('🔄 Rotação Duplas'!$C$50:$C$59,MATCH(D386,'🔄 Rotação Duplas'!$D$50:$D$59,0))),"Semana 5",IFERROR(INDEX('🔄 Rotação Duplas'!$D$64:$D$73,MATCH(D386,'🔄 Rotação Duplas'!$C$64:$C$73,0)),INDEX('🔄 Rotação Duplas'!$C$64:$C$73,MATCH(D386,'🔄 Rotação Duplas'!$D$64:$D$73,0))),"Semana 6",IFERROR(INDEX('🔄 Rotação Duplas'!$D$78:$D$87,MATCH(D386,'🔄 Rotação Duplas'!$C$78:$C$87,0)),INDEX('🔄 Rotação Duplas'!$C$78:$C$87,MATCH(D386,'🔄 Rotação Duplas'!$D$78:$D$87,0))),"Semana 7",IFERROR(INDEX('🔄 Rotação Duplas'!$D$92:$D$101,MATCH(D386,'🔄 Rotação Duplas'!$C$92:$C$101,0)),INDEX('🔄 Rotação Duplas'!$C$92:$C$101,MATCH(D386,'🔄 Rotação Duplas'!$D$92:$D$101,0))),"Semana 8",IFERROR(INDEX('🔄 Rotação Duplas'!$D$106:$D$115,MATCH(D386,'🔄 Rotação Duplas'!$C$106:$C$115,0)),INDEX('🔄 Rotação Duplas'!$C$106:$C$115,MATCH(D386,'🔄 Rotação Duplas'!$D$106:$D$115,0)))),""))</f>
        <v/>
      </c>
      <c r="T386">
        <f t="shared" si="30"/>
        <v>0</v>
      </c>
    </row>
    <row r="387" spans="2:20" ht="18" customHeight="1" x14ac:dyDescent="0.2">
      <c r="B387" s="78" t="s">
        <v>99</v>
      </c>
      <c r="C387" s="79" t="str">
        <f t="shared" ref="C387:C406" si="33">"Desafio 20"</f>
        <v>Desafio 20</v>
      </c>
      <c r="D387" s="80" t="str">
        <f>'⚙️ Configuração'!C30</f>
        <v>Carla Cantante</v>
      </c>
      <c r="E387" s="50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81">
        <f>(E387*'⚙️ Configuração'!$C$6+F387*'⚙️ Configuração'!$C$7+G387*'⚙️ Configuração'!$C$8+H387*'⚙️ Configuração'!$C$9+I387*'⚙️ Configuração'!$C$10+J387*'⚙️ Configuração'!$C$11)*IF(N387="S",2,1)</f>
        <v>0</v>
      </c>
      <c r="L387" s="90" t="s">
        <v>167</v>
      </c>
      <c r="M387" s="82">
        <f>IF(L387="AT1",'⚙️ Configuração'!$C$14,IF(L387="AT2",'⚙️ Configuração'!$C$15,IF(L387="FI",'⚙️ Configuração'!$C$16,IF(L387="FJ",'⚙️ Configuração'!$C$17,0))))</f>
        <v>0</v>
      </c>
      <c r="N387" s="91" t="s">
        <v>167</v>
      </c>
      <c r="O387" s="92"/>
      <c r="P387" s="83">
        <f>IF(O387="1",'⚙️ Configuração'!$C$21,IF(O387="2",'⚙️ Configuração'!$C$22,IF(O387="3",'⚙️ Configuração'!$C$23,IF(O387="Outro",'⚙️ Configuração'!$C$24,0))))</f>
        <v>0</v>
      </c>
      <c r="Q387" s="84">
        <f t="shared" si="29"/>
        <v>0</v>
      </c>
      <c r="R387" s="40" t="str">
        <f t="shared" si="22"/>
        <v>Semana 1 — ver 🔄</v>
      </c>
      <c r="S387" t="str" cm="1">
        <f t="array" ref="S387">IF(D387="","",IFERROR(_xlfn.SWITCH(B387,"Semana 1",IFERROR(INDEX('🔄 Rotação Duplas'!$D$8:$D$17,MATCH(D387,'🔄 Rotação Duplas'!$C$8:$C$17,0)),INDEX('🔄 Rotação Duplas'!$C$8:$C$17,MATCH(D387,'🔄 Rotação Duplas'!$D$8:$D$17,0))),"Semana 2",IFERROR(INDEX('🔄 Rotação Duplas'!$D$22:$D$31,MATCH(D387,'🔄 Rotação Duplas'!$C$22:$C$31,0)),INDEX('🔄 Rotação Duplas'!$C$22:$C$31,MATCH(D387,'🔄 Rotação Duplas'!$D$22:$D$31,0))),"Semana 3",IFERROR(INDEX('🔄 Rotação Duplas'!$D$36:$D$45,MATCH(D387,'🔄 Rotação Duplas'!$C$36:$C$45,0)),INDEX('🔄 Rotação Duplas'!$C$36:$C$45,MATCH(D387,'🔄 Rotação Duplas'!$D$36:$D$45,0))),"Semana 4",IFERROR(INDEX('🔄 Rotação Duplas'!$D$50:$D$59,MATCH(D387,'🔄 Rotação Duplas'!$C$50:$C$59,0)),INDEX('🔄 Rotação Duplas'!$C$50:$C$59,MATCH(D387,'🔄 Rotação Duplas'!$D$50:$D$59,0))),"Semana 5",IFERROR(INDEX('🔄 Rotação Duplas'!$D$64:$D$73,MATCH(D387,'🔄 Rotação Duplas'!$C$64:$C$73,0)),INDEX('🔄 Rotação Duplas'!$C$64:$C$73,MATCH(D387,'🔄 Rotação Duplas'!$D$64:$D$73,0))),"Semana 6",IFERROR(INDEX('🔄 Rotação Duplas'!$D$78:$D$87,MATCH(D387,'🔄 Rotação Duplas'!$C$78:$C$87,0)),INDEX('🔄 Rotação Duplas'!$C$78:$C$87,MATCH(D387,'🔄 Rotação Duplas'!$D$78:$D$87,0))),"Semana 7",IFERROR(INDEX('🔄 Rotação Duplas'!$D$92:$D$101,MATCH(D387,'🔄 Rotação Duplas'!$C$92:$C$101,0)),INDEX('🔄 Rotação Duplas'!$C$92:$C$101,MATCH(D387,'🔄 Rotação Duplas'!$D$92:$D$101,0))),"Semana 8",IFERROR(INDEX('🔄 Rotação Duplas'!$D$106:$D$115,MATCH(D387,'🔄 Rotação Duplas'!$C$106:$C$115,0)),INDEX('🔄 Rotação Duplas'!$C$106:$C$115,MATCH(D387,'🔄 Rotação Duplas'!$D$106:$D$115,0)))),""))</f>
        <v/>
      </c>
      <c r="T387">
        <f t="shared" si="30"/>
        <v>0</v>
      </c>
    </row>
    <row r="388" spans="2:20" ht="18" customHeight="1" x14ac:dyDescent="0.2">
      <c r="B388" s="85" t="s">
        <v>99</v>
      </c>
      <c r="C388" s="86" t="str">
        <f t="shared" si="33"/>
        <v>Desafio 20</v>
      </c>
      <c r="D388" s="87" t="str">
        <f>'⚙️ Configuração'!C31</f>
        <v>Elisabete Mendes</v>
      </c>
      <c r="E388" s="50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81">
        <f>(E388*'⚙️ Configuração'!$C$6+F388*'⚙️ Configuração'!$C$7+G388*'⚙️ Configuração'!$C$8+H388*'⚙️ Configuração'!$C$9+I388*'⚙️ Configuração'!$C$10+J388*'⚙️ Configuração'!$C$11)*IF(N388="S",2,1)</f>
        <v>0</v>
      </c>
      <c r="L388" s="90" t="s">
        <v>167</v>
      </c>
      <c r="M388" s="82">
        <f>IF(L388="AT1",'⚙️ Configuração'!$C$14,IF(L388="AT2",'⚙️ Configuração'!$C$15,IF(L388="FI",'⚙️ Configuração'!$C$16,IF(L388="FJ",'⚙️ Configuração'!$C$17,0))))</f>
        <v>0</v>
      </c>
      <c r="N388" s="91" t="s">
        <v>167</v>
      </c>
      <c r="O388" s="92"/>
      <c r="P388" s="83">
        <f>IF(O388="1",'⚙️ Configuração'!$C$21,IF(O388="2",'⚙️ Configuração'!$C$22,IF(O388="3",'⚙️ Configuração'!$C$23,IF(O388="Outro",'⚙️ Configuração'!$C$24,0))))</f>
        <v>0</v>
      </c>
      <c r="Q388" s="84">
        <f t="shared" si="29"/>
        <v>0</v>
      </c>
      <c r="R388" s="40" t="str">
        <f t="shared" si="22"/>
        <v>Semana 1 — ver 🔄</v>
      </c>
      <c r="S388" t="str" cm="1">
        <f t="array" ref="S388">IF(D388="","",IFERROR(_xlfn.SWITCH(B388,"Semana 1",IFERROR(INDEX('🔄 Rotação Duplas'!$D$8:$D$17,MATCH(D388,'🔄 Rotação Duplas'!$C$8:$C$17,0)),INDEX('🔄 Rotação Duplas'!$C$8:$C$17,MATCH(D388,'🔄 Rotação Duplas'!$D$8:$D$17,0))),"Semana 2",IFERROR(INDEX('🔄 Rotação Duplas'!$D$22:$D$31,MATCH(D388,'🔄 Rotação Duplas'!$C$22:$C$31,0)),INDEX('🔄 Rotação Duplas'!$C$22:$C$31,MATCH(D388,'🔄 Rotação Duplas'!$D$22:$D$31,0))),"Semana 3",IFERROR(INDEX('🔄 Rotação Duplas'!$D$36:$D$45,MATCH(D388,'🔄 Rotação Duplas'!$C$36:$C$45,0)),INDEX('🔄 Rotação Duplas'!$C$36:$C$45,MATCH(D388,'🔄 Rotação Duplas'!$D$36:$D$45,0))),"Semana 4",IFERROR(INDEX('🔄 Rotação Duplas'!$D$50:$D$59,MATCH(D388,'🔄 Rotação Duplas'!$C$50:$C$59,0)),INDEX('🔄 Rotação Duplas'!$C$50:$C$59,MATCH(D388,'🔄 Rotação Duplas'!$D$50:$D$59,0))),"Semana 5",IFERROR(INDEX('🔄 Rotação Duplas'!$D$64:$D$73,MATCH(D388,'🔄 Rotação Duplas'!$C$64:$C$73,0)),INDEX('🔄 Rotação Duplas'!$C$64:$C$73,MATCH(D388,'🔄 Rotação Duplas'!$D$64:$D$73,0))),"Semana 6",IFERROR(INDEX('🔄 Rotação Duplas'!$D$78:$D$87,MATCH(D388,'🔄 Rotação Duplas'!$C$78:$C$87,0)),INDEX('🔄 Rotação Duplas'!$C$78:$C$87,MATCH(D388,'🔄 Rotação Duplas'!$D$78:$D$87,0))),"Semana 7",IFERROR(INDEX('🔄 Rotação Duplas'!$D$92:$D$101,MATCH(D388,'🔄 Rotação Duplas'!$C$92:$C$101,0)),INDEX('🔄 Rotação Duplas'!$C$92:$C$101,MATCH(D388,'🔄 Rotação Duplas'!$D$92:$D$101,0))),"Semana 8",IFERROR(INDEX('🔄 Rotação Duplas'!$D$106:$D$115,MATCH(D388,'🔄 Rotação Duplas'!$C$106:$C$115,0)),INDEX('🔄 Rotação Duplas'!$C$106:$C$115,MATCH(D388,'🔄 Rotação Duplas'!$D$106:$D$115,0)))),""))</f>
        <v/>
      </c>
      <c r="T388">
        <f t="shared" si="30"/>
        <v>0</v>
      </c>
    </row>
    <row r="389" spans="2:20" ht="18" customHeight="1" x14ac:dyDescent="0.2">
      <c r="B389" s="78" t="s">
        <v>99</v>
      </c>
      <c r="C389" s="79" t="str">
        <f t="shared" si="33"/>
        <v>Desafio 20</v>
      </c>
      <c r="D389" s="80" t="str">
        <f>'⚙️ Configuração'!C32</f>
        <v>Filipa Cunha</v>
      </c>
      <c r="E389" s="50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81">
        <f>(E389*'⚙️ Configuração'!$C$6+F389*'⚙️ Configuração'!$C$7+G389*'⚙️ Configuração'!$C$8+H389*'⚙️ Configuração'!$C$9+I389*'⚙️ Configuração'!$C$10+J389*'⚙️ Configuração'!$C$11)*IF(N389="S",2,1)</f>
        <v>0</v>
      </c>
      <c r="L389" s="90" t="s">
        <v>167</v>
      </c>
      <c r="M389" s="82">
        <f>IF(L389="AT1",'⚙️ Configuração'!$C$14,IF(L389="AT2",'⚙️ Configuração'!$C$15,IF(L389="FI",'⚙️ Configuração'!$C$16,IF(L389="FJ",'⚙️ Configuração'!$C$17,0))))</f>
        <v>0</v>
      </c>
      <c r="N389" s="91" t="s">
        <v>167</v>
      </c>
      <c r="O389" s="92"/>
      <c r="P389" s="83">
        <f>IF(O389="1",'⚙️ Configuração'!$C$21,IF(O389="2",'⚙️ Configuração'!$C$22,IF(O389="3",'⚙️ Configuração'!$C$23,IF(O389="Outro",'⚙️ Configuração'!$C$24,0))))</f>
        <v>0</v>
      </c>
      <c r="Q389" s="84">
        <f t="shared" si="29"/>
        <v>0</v>
      </c>
      <c r="R389" s="40" t="str">
        <f t="shared" si="22"/>
        <v>Semana 1 — ver 🔄</v>
      </c>
      <c r="S389" t="str" cm="1">
        <f t="array" ref="S389">IF(D389="","",IFERROR(_xlfn.SWITCH(B389,"Semana 1",IFERROR(INDEX('🔄 Rotação Duplas'!$D$8:$D$17,MATCH(D389,'🔄 Rotação Duplas'!$C$8:$C$17,0)),INDEX('🔄 Rotação Duplas'!$C$8:$C$17,MATCH(D389,'🔄 Rotação Duplas'!$D$8:$D$17,0))),"Semana 2",IFERROR(INDEX('🔄 Rotação Duplas'!$D$22:$D$31,MATCH(D389,'🔄 Rotação Duplas'!$C$22:$C$31,0)),INDEX('🔄 Rotação Duplas'!$C$22:$C$31,MATCH(D389,'🔄 Rotação Duplas'!$D$22:$D$31,0))),"Semana 3",IFERROR(INDEX('🔄 Rotação Duplas'!$D$36:$D$45,MATCH(D389,'🔄 Rotação Duplas'!$C$36:$C$45,0)),INDEX('🔄 Rotação Duplas'!$C$36:$C$45,MATCH(D389,'🔄 Rotação Duplas'!$D$36:$D$45,0))),"Semana 4",IFERROR(INDEX('🔄 Rotação Duplas'!$D$50:$D$59,MATCH(D389,'🔄 Rotação Duplas'!$C$50:$C$59,0)),INDEX('🔄 Rotação Duplas'!$C$50:$C$59,MATCH(D389,'🔄 Rotação Duplas'!$D$50:$D$59,0))),"Semana 5",IFERROR(INDEX('🔄 Rotação Duplas'!$D$64:$D$73,MATCH(D389,'🔄 Rotação Duplas'!$C$64:$C$73,0)),INDEX('🔄 Rotação Duplas'!$C$64:$C$73,MATCH(D389,'🔄 Rotação Duplas'!$D$64:$D$73,0))),"Semana 6",IFERROR(INDEX('🔄 Rotação Duplas'!$D$78:$D$87,MATCH(D389,'🔄 Rotação Duplas'!$C$78:$C$87,0)),INDEX('🔄 Rotação Duplas'!$C$78:$C$87,MATCH(D389,'🔄 Rotação Duplas'!$D$78:$D$87,0))),"Semana 7",IFERROR(INDEX('🔄 Rotação Duplas'!$D$92:$D$101,MATCH(D389,'🔄 Rotação Duplas'!$C$92:$C$101,0)),INDEX('🔄 Rotação Duplas'!$C$92:$C$101,MATCH(D389,'🔄 Rotação Duplas'!$D$92:$D$101,0))),"Semana 8",IFERROR(INDEX('🔄 Rotação Duplas'!$D$106:$D$115,MATCH(D389,'🔄 Rotação Duplas'!$C$106:$C$115,0)),INDEX('🔄 Rotação Duplas'!$C$106:$C$115,MATCH(D389,'🔄 Rotação Duplas'!$D$106:$D$115,0)))),""))</f>
        <v/>
      </c>
      <c r="T389">
        <f t="shared" si="30"/>
        <v>0</v>
      </c>
    </row>
    <row r="390" spans="2:20" ht="18" customHeight="1" x14ac:dyDescent="0.2">
      <c r="B390" s="85" t="s">
        <v>99</v>
      </c>
      <c r="C390" s="86" t="str">
        <f t="shared" si="33"/>
        <v>Desafio 20</v>
      </c>
      <c r="D390" s="87" t="str">
        <f>'⚙️ Configuração'!C33</f>
        <v>Helena Rocha</v>
      </c>
      <c r="E390" s="50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81">
        <f>(E390*'⚙️ Configuração'!$C$6+F390*'⚙️ Configuração'!$C$7+G390*'⚙️ Configuração'!$C$8+H390*'⚙️ Configuração'!$C$9+I390*'⚙️ Configuração'!$C$10+J390*'⚙️ Configuração'!$C$11)*IF(N390="S",2,1)</f>
        <v>0</v>
      </c>
      <c r="L390" s="90" t="s">
        <v>167</v>
      </c>
      <c r="M390" s="82">
        <f>IF(L390="AT1",'⚙️ Configuração'!$C$14,IF(L390="AT2",'⚙️ Configuração'!$C$15,IF(L390="FI",'⚙️ Configuração'!$C$16,IF(L390="FJ",'⚙️ Configuração'!$C$17,0))))</f>
        <v>0</v>
      </c>
      <c r="N390" s="91" t="s">
        <v>167</v>
      </c>
      <c r="O390" s="92"/>
      <c r="P390" s="83">
        <f>IF(O390="1",'⚙️ Configuração'!$C$21,IF(O390="2",'⚙️ Configuração'!$C$22,IF(O390="3",'⚙️ Configuração'!$C$23,IF(O390="Outro",'⚙️ Configuração'!$C$24,0))))</f>
        <v>0</v>
      </c>
      <c r="Q390" s="84">
        <f t="shared" si="29"/>
        <v>0</v>
      </c>
      <c r="R390" s="40" t="str">
        <f t="shared" si="22"/>
        <v>Semana 1 — ver 🔄</v>
      </c>
      <c r="S390" t="str" cm="1">
        <f t="array" ref="S390">IF(D390="","",IFERROR(_xlfn.SWITCH(B390,"Semana 1",IFERROR(INDEX('🔄 Rotação Duplas'!$D$8:$D$17,MATCH(D390,'🔄 Rotação Duplas'!$C$8:$C$17,0)),INDEX('🔄 Rotação Duplas'!$C$8:$C$17,MATCH(D390,'🔄 Rotação Duplas'!$D$8:$D$17,0))),"Semana 2",IFERROR(INDEX('🔄 Rotação Duplas'!$D$22:$D$31,MATCH(D390,'🔄 Rotação Duplas'!$C$22:$C$31,0)),INDEX('🔄 Rotação Duplas'!$C$22:$C$31,MATCH(D390,'🔄 Rotação Duplas'!$D$22:$D$31,0))),"Semana 3",IFERROR(INDEX('🔄 Rotação Duplas'!$D$36:$D$45,MATCH(D390,'🔄 Rotação Duplas'!$C$36:$C$45,0)),INDEX('🔄 Rotação Duplas'!$C$36:$C$45,MATCH(D390,'🔄 Rotação Duplas'!$D$36:$D$45,0))),"Semana 4",IFERROR(INDEX('🔄 Rotação Duplas'!$D$50:$D$59,MATCH(D390,'🔄 Rotação Duplas'!$C$50:$C$59,0)),INDEX('🔄 Rotação Duplas'!$C$50:$C$59,MATCH(D390,'🔄 Rotação Duplas'!$D$50:$D$59,0))),"Semana 5",IFERROR(INDEX('🔄 Rotação Duplas'!$D$64:$D$73,MATCH(D390,'🔄 Rotação Duplas'!$C$64:$C$73,0)),INDEX('🔄 Rotação Duplas'!$C$64:$C$73,MATCH(D390,'🔄 Rotação Duplas'!$D$64:$D$73,0))),"Semana 6",IFERROR(INDEX('🔄 Rotação Duplas'!$D$78:$D$87,MATCH(D390,'🔄 Rotação Duplas'!$C$78:$C$87,0)),INDEX('🔄 Rotação Duplas'!$C$78:$C$87,MATCH(D390,'🔄 Rotação Duplas'!$D$78:$D$87,0))),"Semana 7",IFERROR(INDEX('🔄 Rotação Duplas'!$D$92:$D$101,MATCH(D390,'🔄 Rotação Duplas'!$C$92:$C$101,0)),INDEX('🔄 Rotação Duplas'!$C$92:$C$101,MATCH(D390,'🔄 Rotação Duplas'!$D$92:$D$101,0))),"Semana 8",IFERROR(INDEX('🔄 Rotação Duplas'!$D$106:$D$115,MATCH(D390,'🔄 Rotação Duplas'!$C$106:$C$115,0)),INDEX('🔄 Rotação Duplas'!$C$106:$C$115,MATCH(D390,'🔄 Rotação Duplas'!$D$106:$D$115,0)))),""))</f>
        <v/>
      </c>
      <c r="T390">
        <f t="shared" si="30"/>
        <v>0</v>
      </c>
    </row>
    <row r="391" spans="2:20" ht="18" customHeight="1" x14ac:dyDescent="0.2">
      <c r="B391" s="78" t="s">
        <v>99</v>
      </c>
      <c r="C391" s="79" t="str">
        <f t="shared" si="33"/>
        <v>Desafio 20</v>
      </c>
      <c r="D391" s="80" t="str">
        <f>'⚙️ Configuração'!C34</f>
        <v>João Xavier</v>
      </c>
      <c r="E391" s="50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81">
        <f>(E391*'⚙️ Configuração'!$C$6+F391*'⚙️ Configuração'!$C$7+G391*'⚙️ Configuração'!$C$8+H391*'⚙️ Configuração'!$C$9+I391*'⚙️ Configuração'!$C$10+J391*'⚙️ Configuração'!$C$11)*IF(N391="S",2,1)</f>
        <v>0</v>
      </c>
      <c r="L391" s="90" t="s">
        <v>167</v>
      </c>
      <c r="M391" s="82">
        <f>IF(L391="AT1",'⚙️ Configuração'!$C$14,IF(L391="AT2",'⚙️ Configuração'!$C$15,IF(L391="FI",'⚙️ Configuração'!$C$16,IF(L391="FJ",'⚙️ Configuração'!$C$17,0))))</f>
        <v>0</v>
      </c>
      <c r="N391" s="91" t="s">
        <v>167</v>
      </c>
      <c r="O391" s="92"/>
      <c r="P391" s="83">
        <f>IF(O391="1",'⚙️ Configuração'!$C$21,IF(O391="2",'⚙️ Configuração'!$C$22,IF(O391="3",'⚙️ Configuração'!$C$23,IF(O391="Outro",'⚙️ Configuração'!$C$24,0))))</f>
        <v>0</v>
      </c>
      <c r="Q391" s="84">
        <f t="shared" si="29"/>
        <v>0</v>
      </c>
      <c r="R391" s="40" t="str">
        <f t="shared" si="22"/>
        <v>Semana 1 — ver 🔄</v>
      </c>
      <c r="S391" t="str" cm="1">
        <f t="array" ref="S391">IF(D391="","",IFERROR(_xlfn.SWITCH(B391,"Semana 1",IFERROR(INDEX('🔄 Rotação Duplas'!$D$8:$D$17,MATCH(D391,'🔄 Rotação Duplas'!$C$8:$C$17,0)),INDEX('🔄 Rotação Duplas'!$C$8:$C$17,MATCH(D391,'🔄 Rotação Duplas'!$D$8:$D$17,0))),"Semana 2",IFERROR(INDEX('🔄 Rotação Duplas'!$D$22:$D$31,MATCH(D391,'🔄 Rotação Duplas'!$C$22:$C$31,0)),INDEX('🔄 Rotação Duplas'!$C$22:$C$31,MATCH(D391,'🔄 Rotação Duplas'!$D$22:$D$31,0))),"Semana 3",IFERROR(INDEX('🔄 Rotação Duplas'!$D$36:$D$45,MATCH(D391,'🔄 Rotação Duplas'!$C$36:$C$45,0)),INDEX('🔄 Rotação Duplas'!$C$36:$C$45,MATCH(D391,'🔄 Rotação Duplas'!$D$36:$D$45,0))),"Semana 4",IFERROR(INDEX('🔄 Rotação Duplas'!$D$50:$D$59,MATCH(D391,'🔄 Rotação Duplas'!$C$50:$C$59,0)),INDEX('🔄 Rotação Duplas'!$C$50:$C$59,MATCH(D391,'🔄 Rotação Duplas'!$D$50:$D$59,0))),"Semana 5",IFERROR(INDEX('🔄 Rotação Duplas'!$D$64:$D$73,MATCH(D391,'🔄 Rotação Duplas'!$C$64:$C$73,0)),INDEX('🔄 Rotação Duplas'!$C$64:$C$73,MATCH(D391,'🔄 Rotação Duplas'!$D$64:$D$73,0))),"Semana 6",IFERROR(INDEX('🔄 Rotação Duplas'!$D$78:$D$87,MATCH(D391,'🔄 Rotação Duplas'!$C$78:$C$87,0)),INDEX('🔄 Rotação Duplas'!$C$78:$C$87,MATCH(D391,'🔄 Rotação Duplas'!$D$78:$D$87,0))),"Semana 7",IFERROR(INDEX('🔄 Rotação Duplas'!$D$92:$D$101,MATCH(D391,'🔄 Rotação Duplas'!$C$92:$C$101,0)),INDEX('🔄 Rotação Duplas'!$C$92:$C$101,MATCH(D391,'🔄 Rotação Duplas'!$D$92:$D$101,0))),"Semana 8",IFERROR(INDEX('🔄 Rotação Duplas'!$D$106:$D$115,MATCH(D391,'🔄 Rotação Duplas'!$C$106:$C$115,0)),INDEX('🔄 Rotação Duplas'!$C$106:$C$115,MATCH(D391,'🔄 Rotação Duplas'!$D$106:$D$115,0)))),""))</f>
        <v/>
      </c>
      <c r="T391">
        <f t="shared" si="30"/>
        <v>0</v>
      </c>
    </row>
    <row r="392" spans="2:20" ht="18" customHeight="1" x14ac:dyDescent="0.2">
      <c r="B392" s="85" t="s">
        <v>99</v>
      </c>
      <c r="C392" s="86" t="str">
        <f t="shared" si="33"/>
        <v>Desafio 20</v>
      </c>
      <c r="D392" s="87" t="str">
        <f>'⚙️ Configuração'!C35</f>
        <v>Tomás Carlos</v>
      </c>
      <c r="E392" s="50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81">
        <f>(E392*'⚙️ Configuração'!$C$6+F392*'⚙️ Configuração'!$C$7+G392*'⚙️ Configuração'!$C$8+H392*'⚙️ Configuração'!$C$9+I392*'⚙️ Configuração'!$C$10+J392*'⚙️ Configuração'!$C$11)*IF(N392="S",2,1)</f>
        <v>0</v>
      </c>
      <c r="L392" s="90" t="s">
        <v>167</v>
      </c>
      <c r="M392" s="82">
        <f>IF(L392="AT1",'⚙️ Configuração'!$C$14,IF(L392="AT2",'⚙️ Configuração'!$C$15,IF(L392="FI",'⚙️ Configuração'!$C$16,IF(L392="FJ",'⚙️ Configuração'!$C$17,0))))</f>
        <v>0</v>
      </c>
      <c r="N392" s="91" t="s">
        <v>167</v>
      </c>
      <c r="O392" s="92"/>
      <c r="P392" s="83">
        <f>IF(O392="1",'⚙️ Configuração'!$C$21,IF(O392="2",'⚙️ Configuração'!$C$22,IF(O392="3",'⚙️ Configuração'!$C$23,IF(O392="Outro",'⚙️ Configuração'!$C$24,0))))</f>
        <v>0</v>
      </c>
      <c r="Q392" s="84">
        <f t="shared" ref="Q392:Q455" si="34">K392+M392+P392</f>
        <v>0</v>
      </c>
      <c r="R392" s="40" t="str">
        <f t="shared" si="22"/>
        <v>Semana 1 — ver 🔄</v>
      </c>
      <c r="S392" t="str" cm="1">
        <f t="array" ref="S392">IF(D392="","",IFERROR(_xlfn.SWITCH(B392,"Semana 1",IFERROR(INDEX('🔄 Rotação Duplas'!$D$8:$D$17,MATCH(D392,'🔄 Rotação Duplas'!$C$8:$C$17,0)),INDEX('🔄 Rotação Duplas'!$C$8:$C$17,MATCH(D392,'🔄 Rotação Duplas'!$D$8:$D$17,0))),"Semana 2",IFERROR(INDEX('🔄 Rotação Duplas'!$D$22:$D$31,MATCH(D392,'🔄 Rotação Duplas'!$C$22:$C$31,0)),INDEX('🔄 Rotação Duplas'!$C$22:$C$31,MATCH(D392,'🔄 Rotação Duplas'!$D$22:$D$31,0))),"Semana 3",IFERROR(INDEX('🔄 Rotação Duplas'!$D$36:$D$45,MATCH(D392,'🔄 Rotação Duplas'!$C$36:$C$45,0)),INDEX('🔄 Rotação Duplas'!$C$36:$C$45,MATCH(D392,'🔄 Rotação Duplas'!$D$36:$D$45,0))),"Semana 4",IFERROR(INDEX('🔄 Rotação Duplas'!$D$50:$D$59,MATCH(D392,'🔄 Rotação Duplas'!$C$50:$C$59,0)),INDEX('🔄 Rotação Duplas'!$C$50:$C$59,MATCH(D392,'🔄 Rotação Duplas'!$D$50:$D$59,0))),"Semana 5",IFERROR(INDEX('🔄 Rotação Duplas'!$D$64:$D$73,MATCH(D392,'🔄 Rotação Duplas'!$C$64:$C$73,0)),INDEX('🔄 Rotação Duplas'!$C$64:$C$73,MATCH(D392,'🔄 Rotação Duplas'!$D$64:$D$73,0))),"Semana 6",IFERROR(INDEX('🔄 Rotação Duplas'!$D$78:$D$87,MATCH(D392,'🔄 Rotação Duplas'!$C$78:$C$87,0)),INDEX('🔄 Rotação Duplas'!$C$78:$C$87,MATCH(D392,'🔄 Rotação Duplas'!$D$78:$D$87,0))),"Semana 7",IFERROR(INDEX('🔄 Rotação Duplas'!$D$92:$D$101,MATCH(D392,'🔄 Rotação Duplas'!$C$92:$C$101,0)),INDEX('🔄 Rotação Duplas'!$C$92:$C$101,MATCH(D392,'🔄 Rotação Duplas'!$D$92:$D$101,0))),"Semana 8",IFERROR(INDEX('🔄 Rotação Duplas'!$D$106:$D$115,MATCH(D392,'🔄 Rotação Duplas'!$C$106:$C$115,0)),INDEX('🔄 Rotação Duplas'!$C$106:$C$115,MATCH(D392,'🔄 Rotação Duplas'!$D$106:$D$115,0)))),""))</f>
        <v/>
      </c>
      <c r="T392">
        <f t="shared" ref="T392:T455" si="35">IF(OR(D392="",D392="-",S392="",S392="-"),0,COUNTIFS($B$7:$B$646,B392,$D$7:$D$646,D392,$N$7:$N$646,"S")+COUNTIFS($B$7:$B$646,B392,$D$7:$D$646,S392,$N$7:$N$646,"S"))</f>
        <v>0</v>
      </c>
    </row>
    <row r="393" spans="2:20" ht="18" customHeight="1" x14ac:dyDescent="0.2">
      <c r="B393" s="78" t="s">
        <v>99</v>
      </c>
      <c r="C393" s="79" t="str">
        <f t="shared" si="33"/>
        <v>Desafio 20</v>
      </c>
      <c r="D393" s="80" t="str">
        <f>'⚙️ Configuração'!C36</f>
        <v>Alexandra Correia</v>
      </c>
      <c r="E393" s="50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81">
        <f>(E393*'⚙️ Configuração'!$C$6+F393*'⚙️ Configuração'!$C$7+G393*'⚙️ Configuração'!$C$8+H393*'⚙️ Configuração'!$C$9+I393*'⚙️ Configuração'!$C$10+J393*'⚙️ Configuração'!$C$11)*IF(N393="S",2,1)</f>
        <v>0</v>
      </c>
      <c r="L393" s="90" t="s">
        <v>167</v>
      </c>
      <c r="M393" s="82">
        <f>IF(L393="AT1",'⚙️ Configuração'!$C$14,IF(L393="AT2",'⚙️ Configuração'!$C$15,IF(L393="FI",'⚙️ Configuração'!$C$16,IF(L393="FJ",'⚙️ Configuração'!$C$17,0))))</f>
        <v>0</v>
      </c>
      <c r="N393" s="91" t="s">
        <v>167</v>
      </c>
      <c r="O393" s="92"/>
      <c r="P393" s="83">
        <f>IF(O393="1",'⚙️ Configuração'!$C$21,IF(O393="2",'⚙️ Configuração'!$C$22,IF(O393="3",'⚙️ Configuração'!$C$23,IF(O393="Outro",'⚙️ Configuração'!$C$24,0))))</f>
        <v>0</v>
      </c>
      <c r="Q393" s="84">
        <f t="shared" si="34"/>
        <v>0</v>
      </c>
      <c r="R393" s="40" t="str">
        <f t="shared" si="22"/>
        <v>Semana 1 — ver 🔄</v>
      </c>
      <c r="S393" t="str" cm="1">
        <f t="array" ref="S393">IF(D393="","",IFERROR(_xlfn.SWITCH(B393,"Semana 1",IFERROR(INDEX('🔄 Rotação Duplas'!$D$8:$D$17,MATCH(D393,'🔄 Rotação Duplas'!$C$8:$C$17,0)),INDEX('🔄 Rotação Duplas'!$C$8:$C$17,MATCH(D393,'🔄 Rotação Duplas'!$D$8:$D$17,0))),"Semana 2",IFERROR(INDEX('🔄 Rotação Duplas'!$D$22:$D$31,MATCH(D393,'🔄 Rotação Duplas'!$C$22:$C$31,0)),INDEX('🔄 Rotação Duplas'!$C$22:$C$31,MATCH(D393,'🔄 Rotação Duplas'!$D$22:$D$31,0))),"Semana 3",IFERROR(INDEX('🔄 Rotação Duplas'!$D$36:$D$45,MATCH(D393,'🔄 Rotação Duplas'!$C$36:$C$45,0)),INDEX('🔄 Rotação Duplas'!$C$36:$C$45,MATCH(D393,'🔄 Rotação Duplas'!$D$36:$D$45,0))),"Semana 4",IFERROR(INDEX('🔄 Rotação Duplas'!$D$50:$D$59,MATCH(D393,'🔄 Rotação Duplas'!$C$50:$C$59,0)),INDEX('🔄 Rotação Duplas'!$C$50:$C$59,MATCH(D393,'🔄 Rotação Duplas'!$D$50:$D$59,0))),"Semana 5",IFERROR(INDEX('🔄 Rotação Duplas'!$D$64:$D$73,MATCH(D393,'🔄 Rotação Duplas'!$C$64:$C$73,0)),INDEX('🔄 Rotação Duplas'!$C$64:$C$73,MATCH(D393,'🔄 Rotação Duplas'!$D$64:$D$73,0))),"Semana 6",IFERROR(INDEX('🔄 Rotação Duplas'!$D$78:$D$87,MATCH(D393,'🔄 Rotação Duplas'!$C$78:$C$87,0)),INDEX('🔄 Rotação Duplas'!$C$78:$C$87,MATCH(D393,'🔄 Rotação Duplas'!$D$78:$D$87,0))),"Semana 7",IFERROR(INDEX('🔄 Rotação Duplas'!$D$92:$D$101,MATCH(D393,'🔄 Rotação Duplas'!$C$92:$C$101,0)),INDEX('🔄 Rotação Duplas'!$C$92:$C$101,MATCH(D393,'🔄 Rotação Duplas'!$D$92:$D$101,0))),"Semana 8",IFERROR(INDEX('🔄 Rotação Duplas'!$D$106:$D$115,MATCH(D393,'🔄 Rotação Duplas'!$C$106:$C$115,0)),INDEX('🔄 Rotação Duplas'!$C$106:$C$115,MATCH(D393,'🔄 Rotação Duplas'!$D$106:$D$115,0)))),""))</f>
        <v/>
      </c>
      <c r="T393">
        <f t="shared" si="35"/>
        <v>0</v>
      </c>
    </row>
    <row r="394" spans="2:20" ht="18" customHeight="1" x14ac:dyDescent="0.2">
      <c r="B394" s="85" t="s">
        <v>99</v>
      </c>
      <c r="C394" s="86" t="str">
        <f t="shared" si="33"/>
        <v>Desafio 20</v>
      </c>
      <c r="D394" s="87" t="str">
        <f>'⚙️ Configuração'!C37</f>
        <v>Carla Barata</v>
      </c>
      <c r="E394" s="50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81">
        <f>(E394*'⚙️ Configuração'!$C$6+F394*'⚙️ Configuração'!$C$7+G394*'⚙️ Configuração'!$C$8+H394*'⚙️ Configuração'!$C$9+I394*'⚙️ Configuração'!$C$10+J394*'⚙️ Configuração'!$C$11)*IF(N394="S",2,1)</f>
        <v>0</v>
      </c>
      <c r="L394" s="90" t="s">
        <v>167</v>
      </c>
      <c r="M394" s="82">
        <f>IF(L394="AT1",'⚙️ Configuração'!$C$14,IF(L394="AT2",'⚙️ Configuração'!$C$15,IF(L394="FI",'⚙️ Configuração'!$C$16,IF(L394="FJ",'⚙️ Configuração'!$C$17,0))))</f>
        <v>0</v>
      </c>
      <c r="N394" s="91" t="s">
        <v>167</v>
      </c>
      <c r="O394" s="92"/>
      <c r="P394" s="83">
        <f>IF(O394="1",'⚙️ Configuração'!$C$21,IF(O394="2",'⚙️ Configuração'!$C$22,IF(O394="3",'⚙️ Configuração'!$C$23,IF(O394="Outro",'⚙️ Configuração'!$C$24,0))))</f>
        <v>0</v>
      </c>
      <c r="Q394" s="84">
        <f t="shared" si="34"/>
        <v>0</v>
      </c>
      <c r="R394" s="40" t="str">
        <f t="shared" si="22"/>
        <v>Semana 1 — ver 🔄</v>
      </c>
      <c r="S394" t="str" cm="1">
        <f t="array" ref="S394">IF(D394="","",IFERROR(_xlfn.SWITCH(B394,"Semana 1",IFERROR(INDEX('🔄 Rotação Duplas'!$D$8:$D$17,MATCH(D394,'🔄 Rotação Duplas'!$C$8:$C$17,0)),INDEX('🔄 Rotação Duplas'!$C$8:$C$17,MATCH(D394,'🔄 Rotação Duplas'!$D$8:$D$17,0))),"Semana 2",IFERROR(INDEX('🔄 Rotação Duplas'!$D$22:$D$31,MATCH(D394,'🔄 Rotação Duplas'!$C$22:$C$31,0)),INDEX('🔄 Rotação Duplas'!$C$22:$C$31,MATCH(D394,'🔄 Rotação Duplas'!$D$22:$D$31,0))),"Semana 3",IFERROR(INDEX('🔄 Rotação Duplas'!$D$36:$D$45,MATCH(D394,'🔄 Rotação Duplas'!$C$36:$C$45,0)),INDEX('🔄 Rotação Duplas'!$C$36:$C$45,MATCH(D394,'🔄 Rotação Duplas'!$D$36:$D$45,0))),"Semana 4",IFERROR(INDEX('🔄 Rotação Duplas'!$D$50:$D$59,MATCH(D394,'🔄 Rotação Duplas'!$C$50:$C$59,0)),INDEX('🔄 Rotação Duplas'!$C$50:$C$59,MATCH(D394,'🔄 Rotação Duplas'!$D$50:$D$59,0))),"Semana 5",IFERROR(INDEX('🔄 Rotação Duplas'!$D$64:$D$73,MATCH(D394,'🔄 Rotação Duplas'!$C$64:$C$73,0)),INDEX('🔄 Rotação Duplas'!$C$64:$C$73,MATCH(D394,'🔄 Rotação Duplas'!$D$64:$D$73,0))),"Semana 6",IFERROR(INDEX('🔄 Rotação Duplas'!$D$78:$D$87,MATCH(D394,'🔄 Rotação Duplas'!$C$78:$C$87,0)),INDEX('🔄 Rotação Duplas'!$C$78:$C$87,MATCH(D394,'🔄 Rotação Duplas'!$D$78:$D$87,0))),"Semana 7",IFERROR(INDEX('🔄 Rotação Duplas'!$D$92:$D$101,MATCH(D394,'🔄 Rotação Duplas'!$C$92:$C$101,0)),INDEX('🔄 Rotação Duplas'!$C$92:$C$101,MATCH(D394,'🔄 Rotação Duplas'!$D$92:$D$101,0))),"Semana 8",IFERROR(INDEX('🔄 Rotação Duplas'!$D$106:$D$115,MATCH(D394,'🔄 Rotação Duplas'!$C$106:$C$115,0)),INDEX('🔄 Rotação Duplas'!$C$106:$C$115,MATCH(D394,'🔄 Rotação Duplas'!$D$106:$D$115,0)))),""))</f>
        <v/>
      </c>
      <c r="T394">
        <f t="shared" si="35"/>
        <v>0</v>
      </c>
    </row>
    <row r="395" spans="2:20" ht="18" customHeight="1" x14ac:dyDescent="0.2">
      <c r="B395" s="78" t="s">
        <v>99</v>
      </c>
      <c r="C395" s="79" t="str">
        <f t="shared" si="33"/>
        <v>Desafio 20</v>
      </c>
      <c r="D395" s="80" t="str">
        <f>'⚙️ Configuração'!C38</f>
        <v>Denise Filipe</v>
      </c>
      <c r="E395" s="50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81">
        <f>(E395*'⚙️ Configuração'!$C$6+F395*'⚙️ Configuração'!$C$7+G395*'⚙️ Configuração'!$C$8+H395*'⚙️ Configuração'!$C$9+I395*'⚙️ Configuração'!$C$10+J395*'⚙️ Configuração'!$C$11)*IF(N395="S",2,1)</f>
        <v>0</v>
      </c>
      <c r="L395" s="90" t="s">
        <v>167</v>
      </c>
      <c r="M395" s="82">
        <f>IF(L395="AT1",'⚙️ Configuração'!$C$14,IF(L395="AT2",'⚙️ Configuração'!$C$15,IF(L395="FI",'⚙️ Configuração'!$C$16,IF(L395="FJ",'⚙️ Configuração'!$C$17,0))))</f>
        <v>0</v>
      </c>
      <c r="N395" s="91" t="s">
        <v>167</v>
      </c>
      <c r="O395" s="92"/>
      <c r="P395" s="83">
        <f>IF(O395="1",'⚙️ Configuração'!$C$21,IF(O395="2",'⚙️ Configuração'!$C$22,IF(O395="3",'⚙️ Configuração'!$C$23,IF(O395="Outro",'⚙️ Configuração'!$C$24,0))))</f>
        <v>0</v>
      </c>
      <c r="Q395" s="84">
        <f t="shared" si="34"/>
        <v>0</v>
      </c>
      <c r="R395" s="40" t="str">
        <f t="shared" si="22"/>
        <v>Semana 1 — ver 🔄</v>
      </c>
      <c r="S395" t="str" cm="1">
        <f t="array" ref="S395">IF(D395="","",IFERROR(_xlfn.SWITCH(B395,"Semana 1",IFERROR(INDEX('🔄 Rotação Duplas'!$D$8:$D$17,MATCH(D395,'🔄 Rotação Duplas'!$C$8:$C$17,0)),INDEX('🔄 Rotação Duplas'!$C$8:$C$17,MATCH(D395,'🔄 Rotação Duplas'!$D$8:$D$17,0))),"Semana 2",IFERROR(INDEX('🔄 Rotação Duplas'!$D$22:$D$31,MATCH(D395,'🔄 Rotação Duplas'!$C$22:$C$31,0)),INDEX('🔄 Rotação Duplas'!$C$22:$C$31,MATCH(D395,'🔄 Rotação Duplas'!$D$22:$D$31,0))),"Semana 3",IFERROR(INDEX('🔄 Rotação Duplas'!$D$36:$D$45,MATCH(D395,'🔄 Rotação Duplas'!$C$36:$C$45,0)),INDEX('🔄 Rotação Duplas'!$C$36:$C$45,MATCH(D395,'🔄 Rotação Duplas'!$D$36:$D$45,0))),"Semana 4",IFERROR(INDEX('🔄 Rotação Duplas'!$D$50:$D$59,MATCH(D395,'🔄 Rotação Duplas'!$C$50:$C$59,0)),INDEX('🔄 Rotação Duplas'!$C$50:$C$59,MATCH(D395,'🔄 Rotação Duplas'!$D$50:$D$59,0))),"Semana 5",IFERROR(INDEX('🔄 Rotação Duplas'!$D$64:$D$73,MATCH(D395,'🔄 Rotação Duplas'!$C$64:$C$73,0)),INDEX('🔄 Rotação Duplas'!$C$64:$C$73,MATCH(D395,'🔄 Rotação Duplas'!$D$64:$D$73,0))),"Semana 6",IFERROR(INDEX('🔄 Rotação Duplas'!$D$78:$D$87,MATCH(D395,'🔄 Rotação Duplas'!$C$78:$C$87,0)),INDEX('🔄 Rotação Duplas'!$C$78:$C$87,MATCH(D395,'🔄 Rotação Duplas'!$D$78:$D$87,0))),"Semana 7",IFERROR(INDEX('🔄 Rotação Duplas'!$D$92:$D$101,MATCH(D395,'🔄 Rotação Duplas'!$C$92:$C$101,0)),INDEX('🔄 Rotação Duplas'!$C$92:$C$101,MATCH(D395,'🔄 Rotação Duplas'!$D$92:$D$101,0))),"Semana 8",IFERROR(INDEX('🔄 Rotação Duplas'!$D$106:$D$115,MATCH(D395,'🔄 Rotação Duplas'!$C$106:$C$115,0)),INDEX('🔄 Rotação Duplas'!$C$106:$C$115,MATCH(D395,'🔄 Rotação Duplas'!$D$106:$D$115,0)))),""))</f>
        <v/>
      </c>
      <c r="T395">
        <f t="shared" si="35"/>
        <v>0</v>
      </c>
    </row>
    <row r="396" spans="2:20" ht="18" customHeight="1" x14ac:dyDescent="0.2">
      <c r="B396" s="85" t="s">
        <v>99</v>
      </c>
      <c r="C396" s="86" t="str">
        <f t="shared" si="33"/>
        <v>Desafio 20</v>
      </c>
      <c r="D396" s="87" t="str">
        <f>'⚙️ Configuração'!C39</f>
        <v>Fátima Rodriguez</v>
      </c>
      <c r="E396" s="50">
        <v>0</v>
      </c>
      <c r="F396" s="50">
        <v>0</v>
      </c>
      <c r="G396" s="50">
        <v>0</v>
      </c>
      <c r="H396" s="50">
        <v>0</v>
      </c>
      <c r="I396" s="50">
        <v>0</v>
      </c>
      <c r="J396" s="89">
        <v>0</v>
      </c>
      <c r="K396" s="81">
        <f>(E396*'⚙️ Configuração'!$C$6+F396*'⚙️ Configuração'!$C$7+G396*'⚙️ Configuração'!$C$8+H396*'⚙️ Configuração'!$C$9+I396*'⚙️ Configuração'!$C$10+J396*'⚙️ Configuração'!$C$11)*IF(N396="S",2,1)</f>
        <v>0</v>
      </c>
      <c r="L396" s="90" t="s">
        <v>167</v>
      </c>
      <c r="M396" s="82">
        <f>IF(L396="AT1",'⚙️ Configuração'!$C$14,IF(L396="AT2",'⚙️ Configuração'!$C$15,IF(L396="FI",'⚙️ Configuração'!$C$16,IF(L396="FJ",'⚙️ Configuração'!$C$17,0))))</f>
        <v>0</v>
      </c>
      <c r="N396" s="91" t="s">
        <v>167</v>
      </c>
      <c r="O396" s="92"/>
      <c r="P396" s="83">
        <f>IF(O396="1",'⚙️ Configuração'!$C$21,IF(O396="2",'⚙️ Configuração'!$C$22,IF(O396="3",'⚙️ Configuração'!$C$23,IF(O396="Outro",'⚙️ Configuração'!$C$24,0))))</f>
        <v>0</v>
      </c>
      <c r="Q396" s="84">
        <f t="shared" si="34"/>
        <v>0</v>
      </c>
      <c r="R396" s="40" t="str">
        <f t="shared" si="22"/>
        <v>Semana 1 — ver 🔄</v>
      </c>
      <c r="S396" t="str" cm="1">
        <f t="array" ref="S396">IF(D396="","",IFERROR(_xlfn.SWITCH(B396,"Semana 1",IFERROR(INDEX('🔄 Rotação Duplas'!$D$8:$D$17,MATCH(D396,'🔄 Rotação Duplas'!$C$8:$C$17,0)),INDEX('🔄 Rotação Duplas'!$C$8:$C$17,MATCH(D396,'🔄 Rotação Duplas'!$D$8:$D$17,0))),"Semana 2",IFERROR(INDEX('🔄 Rotação Duplas'!$D$22:$D$31,MATCH(D396,'🔄 Rotação Duplas'!$C$22:$C$31,0)),INDEX('🔄 Rotação Duplas'!$C$22:$C$31,MATCH(D396,'🔄 Rotação Duplas'!$D$22:$D$31,0))),"Semana 3",IFERROR(INDEX('🔄 Rotação Duplas'!$D$36:$D$45,MATCH(D396,'🔄 Rotação Duplas'!$C$36:$C$45,0)),INDEX('🔄 Rotação Duplas'!$C$36:$C$45,MATCH(D396,'🔄 Rotação Duplas'!$D$36:$D$45,0))),"Semana 4",IFERROR(INDEX('🔄 Rotação Duplas'!$D$50:$D$59,MATCH(D396,'🔄 Rotação Duplas'!$C$50:$C$59,0)),INDEX('🔄 Rotação Duplas'!$C$50:$C$59,MATCH(D396,'🔄 Rotação Duplas'!$D$50:$D$59,0))),"Semana 5",IFERROR(INDEX('🔄 Rotação Duplas'!$D$64:$D$73,MATCH(D396,'🔄 Rotação Duplas'!$C$64:$C$73,0)),INDEX('🔄 Rotação Duplas'!$C$64:$C$73,MATCH(D396,'🔄 Rotação Duplas'!$D$64:$D$73,0))),"Semana 6",IFERROR(INDEX('🔄 Rotação Duplas'!$D$78:$D$87,MATCH(D396,'🔄 Rotação Duplas'!$C$78:$C$87,0)),INDEX('🔄 Rotação Duplas'!$C$78:$C$87,MATCH(D396,'🔄 Rotação Duplas'!$D$78:$D$87,0))),"Semana 7",IFERROR(INDEX('🔄 Rotação Duplas'!$D$92:$D$101,MATCH(D396,'🔄 Rotação Duplas'!$C$92:$C$101,0)),INDEX('🔄 Rotação Duplas'!$C$92:$C$101,MATCH(D396,'🔄 Rotação Duplas'!$D$92:$D$101,0))),"Semana 8",IFERROR(INDEX('🔄 Rotação Duplas'!$D$106:$D$115,MATCH(D396,'🔄 Rotação Duplas'!$C$106:$C$115,0)),INDEX('🔄 Rotação Duplas'!$C$106:$C$115,MATCH(D396,'🔄 Rotação Duplas'!$D$106:$D$115,0)))),""))</f>
        <v/>
      </c>
      <c r="T396">
        <f t="shared" si="35"/>
        <v>0</v>
      </c>
    </row>
    <row r="397" spans="2:20" ht="18" customHeight="1" x14ac:dyDescent="0.2">
      <c r="B397" s="78" t="s">
        <v>99</v>
      </c>
      <c r="C397" s="79" t="str">
        <f t="shared" si="33"/>
        <v>Desafio 20</v>
      </c>
      <c r="D397" s="80" t="str">
        <f>'⚙️ Configuração'!C40</f>
        <v>Maria João Travassos</v>
      </c>
      <c r="E397" s="50">
        <v>0</v>
      </c>
      <c r="F397" s="50">
        <v>0</v>
      </c>
      <c r="G397" s="50">
        <v>0</v>
      </c>
      <c r="H397" s="50">
        <v>0</v>
      </c>
      <c r="I397" s="50">
        <v>0</v>
      </c>
      <c r="J397" s="89">
        <v>0</v>
      </c>
      <c r="K397" s="81">
        <f>(E397*'⚙️ Configuração'!$C$6+F397*'⚙️ Configuração'!$C$7+G397*'⚙️ Configuração'!$C$8+H397*'⚙️ Configuração'!$C$9+I397*'⚙️ Configuração'!$C$10+J397*'⚙️ Configuração'!$C$11)*IF(N397="S",2,1)</f>
        <v>0</v>
      </c>
      <c r="L397" s="90" t="s">
        <v>167</v>
      </c>
      <c r="M397" s="82">
        <f>IF(L397="AT1",'⚙️ Configuração'!$C$14,IF(L397="AT2",'⚙️ Configuração'!$C$15,IF(L397="FI",'⚙️ Configuração'!$C$16,IF(L397="FJ",'⚙️ Configuração'!$C$17,0))))</f>
        <v>0</v>
      </c>
      <c r="N397" s="91" t="s">
        <v>167</v>
      </c>
      <c r="O397" s="92"/>
      <c r="P397" s="83">
        <f>IF(O397="1",'⚙️ Configuração'!$C$21,IF(O397="2",'⚙️ Configuração'!$C$22,IF(O397="3",'⚙️ Configuração'!$C$23,IF(O397="Outro",'⚙️ Configuração'!$C$24,0))))</f>
        <v>0</v>
      </c>
      <c r="Q397" s="84">
        <f t="shared" si="34"/>
        <v>0</v>
      </c>
      <c r="R397" s="40" t="str">
        <f t="shared" si="22"/>
        <v>Semana 1 — ver 🔄</v>
      </c>
      <c r="S397" t="str" cm="1">
        <f t="array" ref="S397">IF(D397="","",IFERROR(_xlfn.SWITCH(B397,"Semana 1",IFERROR(INDEX('🔄 Rotação Duplas'!$D$8:$D$17,MATCH(D397,'🔄 Rotação Duplas'!$C$8:$C$17,0)),INDEX('🔄 Rotação Duplas'!$C$8:$C$17,MATCH(D397,'🔄 Rotação Duplas'!$D$8:$D$17,0))),"Semana 2",IFERROR(INDEX('🔄 Rotação Duplas'!$D$22:$D$31,MATCH(D397,'🔄 Rotação Duplas'!$C$22:$C$31,0)),INDEX('🔄 Rotação Duplas'!$C$22:$C$31,MATCH(D397,'🔄 Rotação Duplas'!$D$22:$D$31,0))),"Semana 3",IFERROR(INDEX('🔄 Rotação Duplas'!$D$36:$D$45,MATCH(D397,'🔄 Rotação Duplas'!$C$36:$C$45,0)),INDEX('🔄 Rotação Duplas'!$C$36:$C$45,MATCH(D397,'🔄 Rotação Duplas'!$D$36:$D$45,0))),"Semana 4",IFERROR(INDEX('🔄 Rotação Duplas'!$D$50:$D$59,MATCH(D397,'🔄 Rotação Duplas'!$C$50:$C$59,0)),INDEX('🔄 Rotação Duplas'!$C$50:$C$59,MATCH(D397,'🔄 Rotação Duplas'!$D$50:$D$59,0))),"Semana 5",IFERROR(INDEX('🔄 Rotação Duplas'!$D$64:$D$73,MATCH(D397,'🔄 Rotação Duplas'!$C$64:$C$73,0)),INDEX('🔄 Rotação Duplas'!$C$64:$C$73,MATCH(D397,'🔄 Rotação Duplas'!$D$64:$D$73,0))),"Semana 6",IFERROR(INDEX('🔄 Rotação Duplas'!$D$78:$D$87,MATCH(D397,'🔄 Rotação Duplas'!$C$78:$C$87,0)),INDEX('🔄 Rotação Duplas'!$C$78:$C$87,MATCH(D397,'🔄 Rotação Duplas'!$D$78:$D$87,0))),"Semana 7",IFERROR(INDEX('🔄 Rotação Duplas'!$D$92:$D$101,MATCH(D397,'🔄 Rotação Duplas'!$C$92:$C$101,0)),INDEX('🔄 Rotação Duplas'!$C$92:$C$101,MATCH(D397,'🔄 Rotação Duplas'!$D$92:$D$101,0))),"Semana 8",IFERROR(INDEX('🔄 Rotação Duplas'!$D$106:$D$115,MATCH(D397,'🔄 Rotação Duplas'!$C$106:$C$115,0)),INDEX('🔄 Rotação Duplas'!$C$106:$C$115,MATCH(D397,'🔄 Rotação Duplas'!$D$106:$D$115,0)))),""))</f>
        <v/>
      </c>
      <c r="T397">
        <f t="shared" si="35"/>
        <v>0</v>
      </c>
    </row>
    <row r="398" spans="2:20" ht="18" customHeight="1" x14ac:dyDescent="0.2">
      <c r="B398" s="85" t="s">
        <v>99</v>
      </c>
      <c r="C398" s="86" t="str">
        <f t="shared" si="33"/>
        <v>Desafio 20</v>
      </c>
      <c r="D398" s="87" t="str">
        <f>'⚙️ Configuração'!C41</f>
        <v>Marta Torres</v>
      </c>
      <c r="E398" s="50">
        <v>0</v>
      </c>
      <c r="F398" s="50">
        <v>0</v>
      </c>
      <c r="G398" s="50">
        <v>0</v>
      </c>
      <c r="H398" s="50">
        <v>0</v>
      </c>
      <c r="I398" s="50">
        <v>0</v>
      </c>
      <c r="J398" s="89">
        <v>0</v>
      </c>
      <c r="K398" s="81">
        <f>(E398*'⚙️ Configuração'!$C$6+F398*'⚙️ Configuração'!$C$7+G398*'⚙️ Configuração'!$C$8+H398*'⚙️ Configuração'!$C$9+I398*'⚙️ Configuração'!$C$10+J398*'⚙️ Configuração'!$C$11)*IF(N398="S",2,1)</f>
        <v>0</v>
      </c>
      <c r="L398" s="90" t="s">
        <v>167</v>
      </c>
      <c r="M398" s="82">
        <f>IF(L398="AT1",'⚙️ Configuração'!$C$14,IF(L398="AT2",'⚙️ Configuração'!$C$15,IF(L398="FI",'⚙️ Configuração'!$C$16,IF(L398="FJ",'⚙️ Configuração'!$C$17,0))))</f>
        <v>0</v>
      </c>
      <c r="N398" s="91" t="s">
        <v>167</v>
      </c>
      <c r="O398" s="92"/>
      <c r="P398" s="83">
        <f>IF(O398="1",'⚙️ Configuração'!$C$21,IF(O398="2",'⚙️ Configuração'!$C$22,IF(O398="3",'⚙️ Configuração'!$C$23,IF(O398="Outro",'⚙️ Configuração'!$C$24,0))))</f>
        <v>0</v>
      </c>
      <c r="Q398" s="84">
        <f t="shared" si="34"/>
        <v>0</v>
      </c>
      <c r="R398" s="40" t="str">
        <f t="shared" si="22"/>
        <v>Semana 1 — ver 🔄</v>
      </c>
      <c r="S398" t="str" cm="1">
        <f t="array" ref="S398">IF(D398="","",IFERROR(_xlfn.SWITCH(B398,"Semana 1",IFERROR(INDEX('🔄 Rotação Duplas'!$D$8:$D$17,MATCH(D398,'🔄 Rotação Duplas'!$C$8:$C$17,0)),INDEX('🔄 Rotação Duplas'!$C$8:$C$17,MATCH(D398,'🔄 Rotação Duplas'!$D$8:$D$17,0))),"Semana 2",IFERROR(INDEX('🔄 Rotação Duplas'!$D$22:$D$31,MATCH(D398,'🔄 Rotação Duplas'!$C$22:$C$31,0)),INDEX('🔄 Rotação Duplas'!$C$22:$C$31,MATCH(D398,'🔄 Rotação Duplas'!$D$22:$D$31,0))),"Semana 3",IFERROR(INDEX('🔄 Rotação Duplas'!$D$36:$D$45,MATCH(D398,'🔄 Rotação Duplas'!$C$36:$C$45,0)),INDEX('🔄 Rotação Duplas'!$C$36:$C$45,MATCH(D398,'🔄 Rotação Duplas'!$D$36:$D$45,0))),"Semana 4",IFERROR(INDEX('🔄 Rotação Duplas'!$D$50:$D$59,MATCH(D398,'🔄 Rotação Duplas'!$C$50:$C$59,0)),INDEX('🔄 Rotação Duplas'!$C$50:$C$59,MATCH(D398,'🔄 Rotação Duplas'!$D$50:$D$59,0))),"Semana 5",IFERROR(INDEX('🔄 Rotação Duplas'!$D$64:$D$73,MATCH(D398,'🔄 Rotação Duplas'!$C$64:$C$73,0)),INDEX('🔄 Rotação Duplas'!$C$64:$C$73,MATCH(D398,'🔄 Rotação Duplas'!$D$64:$D$73,0))),"Semana 6",IFERROR(INDEX('🔄 Rotação Duplas'!$D$78:$D$87,MATCH(D398,'🔄 Rotação Duplas'!$C$78:$C$87,0)),INDEX('🔄 Rotação Duplas'!$C$78:$C$87,MATCH(D398,'🔄 Rotação Duplas'!$D$78:$D$87,0))),"Semana 7",IFERROR(INDEX('🔄 Rotação Duplas'!$D$92:$D$101,MATCH(D398,'🔄 Rotação Duplas'!$C$92:$C$101,0)),INDEX('🔄 Rotação Duplas'!$C$92:$C$101,MATCH(D398,'🔄 Rotação Duplas'!$D$92:$D$101,0))),"Semana 8",IFERROR(INDEX('🔄 Rotação Duplas'!$D$106:$D$115,MATCH(D398,'🔄 Rotação Duplas'!$C$106:$C$115,0)),INDEX('🔄 Rotação Duplas'!$C$106:$C$115,MATCH(D398,'🔄 Rotação Duplas'!$D$106:$D$115,0)))),""))</f>
        <v/>
      </c>
      <c r="T398">
        <f t="shared" si="35"/>
        <v>0</v>
      </c>
    </row>
    <row r="399" spans="2:20" ht="18" customHeight="1" x14ac:dyDescent="0.2">
      <c r="B399" s="78" t="s">
        <v>99</v>
      </c>
      <c r="C399" s="79" t="str">
        <f t="shared" si="33"/>
        <v>Desafio 20</v>
      </c>
      <c r="D399" s="80" t="str">
        <f>'⚙️ Configuração'!C42</f>
        <v>Patricia Isabel Silva</v>
      </c>
      <c r="E399" s="50">
        <v>0</v>
      </c>
      <c r="F399" s="50">
        <v>0</v>
      </c>
      <c r="G399" s="50">
        <v>0</v>
      </c>
      <c r="H399" s="50">
        <v>0</v>
      </c>
      <c r="I399" s="50">
        <v>0</v>
      </c>
      <c r="J399" s="89">
        <v>0</v>
      </c>
      <c r="K399" s="81">
        <f>(E399*'⚙️ Configuração'!$C$6+F399*'⚙️ Configuração'!$C$7+G399*'⚙️ Configuração'!$C$8+H399*'⚙️ Configuração'!$C$9+I399*'⚙️ Configuração'!$C$10+J399*'⚙️ Configuração'!$C$11)*IF(N399="S",2,1)</f>
        <v>0</v>
      </c>
      <c r="L399" s="90" t="s">
        <v>167</v>
      </c>
      <c r="M399" s="82">
        <f>IF(L399="AT1",'⚙️ Configuração'!$C$14,IF(L399="AT2",'⚙️ Configuração'!$C$15,IF(L399="FI",'⚙️ Configuração'!$C$16,IF(L399="FJ",'⚙️ Configuração'!$C$17,0))))</f>
        <v>0</v>
      </c>
      <c r="N399" s="91" t="s">
        <v>167</v>
      </c>
      <c r="O399" s="92"/>
      <c r="P399" s="83">
        <f>IF(O399="1",'⚙️ Configuração'!$C$21,IF(O399="2",'⚙️ Configuração'!$C$22,IF(O399="3",'⚙️ Configuração'!$C$23,IF(O399="Outro",'⚙️ Configuração'!$C$24,0))))</f>
        <v>0</v>
      </c>
      <c r="Q399" s="84">
        <f t="shared" si="34"/>
        <v>0</v>
      </c>
      <c r="R399" s="40" t="str">
        <f t="shared" si="22"/>
        <v>Semana 1 — ver 🔄</v>
      </c>
      <c r="S399" t="str" cm="1">
        <f t="array" ref="S399">IF(D399="","",IFERROR(_xlfn.SWITCH(B399,"Semana 1",IFERROR(INDEX('🔄 Rotação Duplas'!$D$8:$D$17,MATCH(D399,'🔄 Rotação Duplas'!$C$8:$C$17,0)),INDEX('🔄 Rotação Duplas'!$C$8:$C$17,MATCH(D399,'🔄 Rotação Duplas'!$D$8:$D$17,0))),"Semana 2",IFERROR(INDEX('🔄 Rotação Duplas'!$D$22:$D$31,MATCH(D399,'🔄 Rotação Duplas'!$C$22:$C$31,0)),INDEX('🔄 Rotação Duplas'!$C$22:$C$31,MATCH(D399,'🔄 Rotação Duplas'!$D$22:$D$31,0))),"Semana 3",IFERROR(INDEX('🔄 Rotação Duplas'!$D$36:$D$45,MATCH(D399,'🔄 Rotação Duplas'!$C$36:$C$45,0)),INDEX('🔄 Rotação Duplas'!$C$36:$C$45,MATCH(D399,'🔄 Rotação Duplas'!$D$36:$D$45,0))),"Semana 4",IFERROR(INDEX('🔄 Rotação Duplas'!$D$50:$D$59,MATCH(D399,'🔄 Rotação Duplas'!$C$50:$C$59,0)),INDEX('🔄 Rotação Duplas'!$C$50:$C$59,MATCH(D399,'🔄 Rotação Duplas'!$D$50:$D$59,0))),"Semana 5",IFERROR(INDEX('🔄 Rotação Duplas'!$D$64:$D$73,MATCH(D399,'🔄 Rotação Duplas'!$C$64:$C$73,0)),INDEX('🔄 Rotação Duplas'!$C$64:$C$73,MATCH(D399,'🔄 Rotação Duplas'!$D$64:$D$73,0))),"Semana 6",IFERROR(INDEX('🔄 Rotação Duplas'!$D$78:$D$87,MATCH(D399,'🔄 Rotação Duplas'!$C$78:$C$87,0)),INDEX('🔄 Rotação Duplas'!$C$78:$C$87,MATCH(D399,'🔄 Rotação Duplas'!$D$78:$D$87,0))),"Semana 7",IFERROR(INDEX('🔄 Rotação Duplas'!$D$92:$D$101,MATCH(D399,'🔄 Rotação Duplas'!$C$92:$C$101,0)),INDEX('🔄 Rotação Duplas'!$C$92:$C$101,MATCH(D399,'🔄 Rotação Duplas'!$D$92:$D$101,0))),"Semana 8",IFERROR(INDEX('🔄 Rotação Duplas'!$D$106:$D$115,MATCH(D399,'🔄 Rotação Duplas'!$C$106:$C$115,0)),INDEX('🔄 Rotação Duplas'!$C$106:$C$115,MATCH(D399,'🔄 Rotação Duplas'!$D$106:$D$115,0)))),""))</f>
        <v/>
      </c>
      <c r="T399">
        <f t="shared" si="35"/>
        <v>0</v>
      </c>
    </row>
    <row r="400" spans="2:20" ht="18" customHeight="1" x14ac:dyDescent="0.2">
      <c r="B400" s="85" t="s">
        <v>99</v>
      </c>
      <c r="C400" s="86" t="str">
        <f t="shared" si="33"/>
        <v>Desafio 20</v>
      </c>
      <c r="D400" s="87" t="str">
        <f>'⚙️ Configuração'!C43</f>
        <v>Paula Martins</v>
      </c>
      <c r="E400" s="50">
        <v>0</v>
      </c>
      <c r="F400" s="50">
        <v>0</v>
      </c>
      <c r="G400" s="50">
        <v>0</v>
      </c>
      <c r="H400" s="50">
        <v>0</v>
      </c>
      <c r="I400" s="50">
        <v>0</v>
      </c>
      <c r="J400" s="89">
        <v>0</v>
      </c>
      <c r="K400" s="81">
        <f>(E400*'⚙️ Configuração'!$C$6+F400*'⚙️ Configuração'!$C$7+G400*'⚙️ Configuração'!$C$8+H400*'⚙️ Configuração'!$C$9+I400*'⚙️ Configuração'!$C$10+J400*'⚙️ Configuração'!$C$11)*IF(N400="S",2,1)</f>
        <v>0</v>
      </c>
      <c r="L400" s="90" t="s">
        <v>167</v>
      </c>
      <c r="M400" s="82">
        <f>IF(L400="AT1",'⚙️ Configuração'!$C$14,IF(L400="AT2",'⚙️ Configuração'!$C$15,IF(L400="FI",'⚙️ Configuração'!$C$16,IF(L400="FJ",'⚙️ Configuração'!$C$17,0))))</f>
        <v>0</v>
      </c>
      <c r="N400" s="91" t="s">
        <v>167</v>
      </c>
      <c r="O400" s="92"/>
      <c r="P400" s="83">
        <f>IF(O400="1",'⚙️ Configuração'!$C$21,IF(O400="2",'⚙️ Configuração'!$C$22,IF(O400="3",'⚙️ Configuração'!$C$23,IF(O400="Outro",'⚙️ Configuração'!$C$24,0))))</f>
        <v>0</v>
      </c>
      <c r="Q400" s="84">
        <f t="shared" si="34"/>
        <v>0</v>
      </c>
      <c r="R400" s="40" t="str">
        <f t="shared" si="22"/>
        <v>Semana 1 — ver 🔄</v>
      </c>
      <c r="S400" t="str" cm="1">
        <f t="array" ref="S400">IF(D400="","",IFERROR(_xlfn.SWITCH(B400,"Semana 1",IFERROR(INDEX('🔄 Rotação Duplas'!$D$8:$D$17,MATCH(D400,'🔄 Rotação Duplas'!$C$8:$C$17,0)),INDEX('🔄 Rotação Duplas'!$C$8:$C$17,MATCH(D400,'🔄 Rotação Duplas'!$D$8:$D$17,0))),"Semana 2",IFERROR(INDEX('🔄 Rotação Duplas'!$D$22:$D$31,MATCH(D400,'🔄 Rotação Duplas'!$C$22:$C$31,0)),INDEX('🔄 Rotação Duplas'!$C$22:$C$31,MATCH(D400,'🔄 Rotação Duplas'!$D$22:$D$31,0))),"Semana 3",IFERROR(INDEX('🔄 Rotação Duplas'!$D$36:$D$45,MATCH(D400,'🔄 Rotação Duplas'!$C$36:$C$45,0)),INDEX('🔄 Rotação Duplas'!$C$36:$C$45,MATCH(D400,'🔄 Rotação Duplas'!$D$36:$D$45,0))),"Semana 4",IFERROR(INDEX('🔄 Rotação Duplas'!$D$50:$D$59,MATCH(D400,'🔄 Rotação Duplas'!$C$50:$C$59,0)),INDEX('🔄 Rotação Duplas'!$C$50:$C$59,MATCH(D400,'🔄 Rotação Duplas'!$D$50:$D$59,0))),"Semana 5",IFERROR(INDEX('🔄 Rotação Duplas'!$D$64:$D$73,MATCH(D400,'🔄 Rotação Duplas'!$C$64:$C$73,0)),INDEX('🔄 Rotação Duplas'!$C$64:$C$73,MATCH(D400,'🔄 Rotação Duplas'!$D$64:$D$73,0))),"Semana 6",IFERROR(INDEX('🔄 Rotação Duplas'!$D$78:$D$87,MATCH(D400,'🔄 Rotação Duplas'!$C$78:$C$87,0)),INDEX('🔄 Rotação Duplas'!$C$78:$C$87,MATCH(D400,'🔄 Rotação Duplas'!$D$78:$D$87,0))),"Semana 7",IFERROR(INDEX('🔄 Rotação Duplas'!$D$92:$D$101,MATCH(D400,'🔄 Rotação Duplas'!$C$92:$C$101,0)),INDEX('🔄 Rotação Duplas'!$C$92:$C$101,MATCH(D400,'🔄 Rotação Duplas'!$D$92:$D$101,0))),"Semana 8",IFERROR(INDEX('🔄 Rotação Duplas'!$D$106:$D$115,MATCH(D400,'🔄 Rotação Duplas'!$C$106:$C$115,0)),INDEX('🔄 Rotação Duplas'!$C$106:$C$115,MATCH(D400,'🔄 Rotação Duplas'!$D$106:$D$115,0)))),""))</f>
        <v/>
      </c>
      <c r="T400">
        <f t="shared" si="35"/>
        <v>0</v>
      </c>
    </row>
    <row r="401" spans="2:20" ht="18" customHeight="1" x14ac:dyDescent="0.2">
      <c r="B401" s="78" t="s">
        <v>99</v>
      </c>
      <c r="C401" s="79" t="str">
        <f t="shared" si="33"/>
        <v>Desafio 20</v>
      </c>
      <c r="D401" s="80" t="str">
        <f>'⚙️ Configuração'!C44</f>
        <v>Paula Miabara</v>
      </c>
      <c r="E401" s="50">
        <v>0</v>
      </c>
      <c r="F401" s="50">
        <v>0</v>
      </c>
      <c r="G401" s="50">
        <v>0</v>
      </c>
      <c r="H401" s="50">
        <v>0</v>
      </c>
      <c r="I401" s="50">
        <v>0</v>
      </c>
      <c r="J401" s="89">
        <v>0</v>
      </c>
      <c r="K401" s="81">
        <f>(E401*'⚙️ Configuração'!$C$6+F401*'⚙️ Configuração'!$C$7+G401*'⚙️ Configuração'!$C$8+H401*'⚙️ Configuração'!$C$9+I401*'⚙️ Configuração'!$C$10+J401*'⚙️ Configuração'!$C$11)*IF(N401="S",2,1)</f>
        <v>0</v>
      </c>
      <c r="L401" s="90" t="s">
        <v>167</v>
      </c>
      <c r="M401" s="82">
        <f>IF(L401="AT1",'⚙️ Configuração'!$C$14,IF(L401="AT2",'⚙️ Configuração'!$C$15,IF(L401="FI",'⚙️ Configuração'!$C$16,IF(L401="FJ",'⚙️ Configuração'!$C$17,0))))</f>
        <v>0</v>
      </c>
      <c r="N401" s="91" t="s">
        <v>167</v>
      </c>
      <c r="O401" s="92"/>
      <c r="P401" s="83">
        <f>IF(O401="1",'⚙️ Configuração'!$C$21,IF(O401="2",'⚙️ Configuração'!$C$22,IF(O401="3",'⚙️ Configuração'!$C$23,IF(O401="Outro",'⚙️ Configuração'!$C$24,0))))</f>
        <v>0</v>
      </c>
      <c r="Q401" s="84">
        <f t="shared" si="34"/>
        <v>0</v>
      </c>
      <c r="R401" s="40" t="str">
        <f t="shared" si="22"/>
        <v>Semana 1 — ver 🔄</v>
      </c>
      <c r="S401" t="str" cm="1">
        <f t="array" ref="S401">IF(D401="","",IFERROR(_xlfn.SWITCH(B401,"Semana 1",IFERROR(INDEX('🔄 Rotação Duplas'!$D$8:$D$17,MATCH(D401,'🔄 Rotação Duplas'!$C$8:$C$17,0)),INDEX('🔄 Rotação Duplas'!$C$8:$C$17,MATCH(D401,'🔄 Rotação Duplas'!$D$8:$D$17,0))),"Semana 2",IFERROR(INDEX('🔄 Rotação Duplas'!$D$22:$D$31,MATCH(D401,'🔄 Rotação Duplas'!$C$22:$C$31,0)),INDEX('🔄 Rotação Duplas'!$C$22:$C$31,MATCH(D401,'🔄 Rotação Duplas'!$D$22:$D$31,0))),"Semana 3",IFERROR(INDEX('🔄 Rotação Duplas'!$D$36:$D$45,MATCH(D401,'🔄 Rotação Duplas'!$C$36:$C$45,0)),INDEX('🔄 Rotação Duplas'!$C$36:$C$45,MATCH(D401,'🔄 Rotação Duplas'!$D$36:$D$45,0))),"Semana 4",IFERROR(INDEX('🔄 Rotação Duplas'!$D$50:$D$59,MATCH(D401,'🔄 Rotação Duplas'!$C$50:$C$59,0)),INDEX('🔄 Rotação Duplas'!$C$50:$C$59,MATCH(D401,'🔄 Rotação Duplas'!$D$50:$D$59,0))),"Semana 5",IFERROR(INDEX('🔄 Rotação Duplas'!$D$64:$D$73,MATCH(D401,'🔄 Rotação Duplas'!$C$64:$C$73,0)),INDEX('🔄 Rotação Duplas'!$C$64:$C$73,MATCH(D401,'🔄 Rotação Duplas'!$D$64:$D$73,0))),"Semana 6",IFERROR(INDEX('🔄 Rotação Duplas'!$D$78:$D$87,MATCH(D401,'🔄 Rotação Duplas'!$C$78:$C$87,0)),INDEX('🔄 Rotação Duplas'!$C$78:$C$87,MATCH(D401,'🔄 Rotação Duplas'!$D$78:$D$87,0))),"Semana 7",IFERROR(INDEX('🔄 Rotação Duplas'!$D$92:$D$101,MATCH(D401,'🔄 Rotação Duplas'!$C$92:$C$101,0)),INDEX('🔄 Rotação Duplas'!$C$92:$C$101,MATCH(D401,'🔄 Rotação Duplas'!$D$92:$D$101,0))),"Semana 8",IFERROR(INDEX('🔄 Rotação Duplas'!$D$106:$D$115,MATCH(D401,'🔄 Rotação Duplas'!$C$106:$C$115,0)),INDEX('🔄 Rotação Duplas'!$C$106:$C$115,MATCH(D401,'🔄 Rotação Duplas'!$D$106:$D$115,0)))),""))</f>
        <v/>
      </c>
      <c r="T401">
        <f t="shared" si="35"/>
        <v>0</v>
      </c>
    </row>
    <row r="402" spans="2:20" ht="18" customHeight="1" x14ac:dyDescent="0.2">
      <c r="B402" s="85" t="s">
        <v>99</v>
      </c>
      <c r="C402" s="86" t="str">
        <f t="shared" si="33"/>
        <v>Desafio 20</v>
      </c>
      <c r="D402" s="87" t="str">
        <f>'⚙️ Configuração'!C45</f>
        <v>Rita Carmo</v>
      </c>
      <c r="E402" s="50">
        <v>0</v>
      </c>
      <c r="F402" s="50">
        <v>0</v>
      </c>
      <c r="G402" s="50">
        <v>0</v>
      </c>
      <c r="H402" s="50">
        <v>0</v>
      </c>
      <c r="I402" s="50">
        <v>0</v>
      </c>
      <c r="J402" s="89">
        <v>0</v>
      </c>
      <c r="K402" s="81">
        <f>(E402*'⚙️ Configuração'!$C$6+F402*'⚙️ Configuração'!$C$7+G402*'⚙️ Configuração'!$C$8+H402*'⚙️ Configuração'!$C$9+I402*'⚙️ Configuração'!$C$10+J402*'⚙️ Configuração'!$C$11)*IF(N402="S",2,1)</f>
        <v>0</v>
      </c>
      <c r="L402" s="90" t="s">
        <v>167</v>
      </c>
      <c r="M402" s="82">
        <f>IF(L402="AT1",'⚙️ Configuração'!$C$14,IF(L402="AT2",'⚙️ Configuração'!$C$15,IF(L402="FI",'⚙️ Configuração'!$C$16,IF(L402="FJ",'⚙️ Configuração'!$C$17,0))))</f>
        <v>0</v>
      </c>
      <c r="N402" s="91" t="s">
        <v>167</v>
      </c>
      <c r="O402" s="92"/>
      <c r="P402" s="83">
        <f>IF(O402="1",'⚙️ Configuração'!$C$21,IF(O402="2",'⚙️ Configuração'!$C$22,IF(O402="3",'⚙️ Configuração'!$C$23,IF(O402="Outro",'⚙️ Configuração'!$C$24,0))))</f>
        <v>0</v>
      </c>
      <c r="Q402" s="84">
        <f t="shared" si="34"/>
        <v>0</v>
      </c>
      <c r="R402" s="40" t="str">
        <f t="shared" si="22"/>
        <v>Semana 1 — ver 🔄</v>
      </c>
      <c r="S402" t="str" cm="1">
        <f t="array" ref="S402">IF(D402="","",IFERROR(_xlfn.SWITCH(B402,"Semana 1",IFERROR(INDEX('🔄 Rotação Duplas'!$D$8:$D$17,MATCH(D402,'🔄 Rotação Duplas'!$C$8:$C$17,0)),INDEX('🔄 Rotação Duplas'!$C$8:$C$17,MATCH(D402,'🔄 Rotação Duplas'!$D$8:$D$17,0))),"Semana 2",IFERROR(INDEX('🔄 Rotação Duplas'!$D$22:$D$31,MATCH(D402,'🔄 Rotação Duplas'!$C$22:$C$31,0)),INDEX('🔄 Rotação Duplas'!$C$22:$C$31,MATCH(D402,'🔄 Rotação Duplas'!$D$22:$D$31,0))),"Semana 3",IFERROR(INDEX('🔄 Rotação Duplas'!$D$36:$D$45,MATCH(D402,'🔄 Rotação Duplas'!$C$36:$C$45,0)),INDEX('🔄 Rotação Duplas'!$C$36:$C$45,MATCH(D402,'🔄 Rotação Duplas'!$D$36:$D$45,0))),"Semana 4",IFERROR(INDEX('🔄 Rotação Duplas'!$D$50:$D$59,MATCH(D402,'🔄 Rotação Duplas'!$C$50:$C$59,0)),INDEX('🔄 Rotação Duplas'!$C$50:$C$59,MATCH(D402,'🔄 Rotação Duplas'!$D$50:$D$59,0))),"Semana 5",IFERROR(INDEX('🔄 Rotação Duplas'!$D$64:$D$73,MATCH(D402,'🔄 Rotação Duplas'!$C$64:$C$73,0)),INDEX('🔄 Rotação Duplas'!$C$64:$C$73,MATCH(D402,'🔄 Rotação Duplas'!$D$64:$D$73,0))),"Semana 6",IFERROR(INDEX('🔄 Rotação Duplas'!$D$78:$D$87,MATCH(D402,'🔄 Rotação Duplas'!$C$78:$C$87,0)),INDEX('🔄 Rotação Duplas'!$C$78:$C$87,MATCH(D402,'🔄 Rotação Duplas'!$D$78:$D$87,0))),"Semana 7",IFERROR(INDEX('🔄 Rotação Duplas'!$D$92:$D$101,MATCH(D402,'🔄 Rotação Duplas'!$C$92:$C$101,0)),INDEX('🔄 Rotação Duplas'!$C$92:$C$101,MATCH(D402,'🔄 Rotação Duplas'!$D$92:$D$101,0))),"Semana 8",IFERROR(INDEX('🔄 Rotação Duplas'!$D$106:$D$115,MATCH(D402,'🔄 Rotação Duplas'!$C$106:$C$115,0)),INDEX('🔄 Rotação Duplas'!$C$106:$C$115,MATCH(D402,'🔄 Rotação Duplas'!$D$106:$D$115,0)))),""))</f>
        <v/>
      </c>
      <c r="T402">
        <f t="shared" si="35"/>
        <v>0</v>
      </c>
    </row>
    <row r="403" spans="2:20" ht="18" customHeight="1" x14ac:dyDescent="0.2">
      <c r="B403" s="78" t="s">
        <v>99</v>
      </c>
      <c r="C403" s="79" t="str">
        <f t="shared" si="33"/>
        <v>Desafio 20</v>
      </c>
      <c r="D403" s="80" t="str">
        <f>'⚙️ Configuração'!C46</f>
        <v>William Fernandes</v>
      </c>
      <c r="E403" s="50">
        <v>0</v>
      </c>
      <c r="F403" s="50">
        <v>0</v>
      </c>
      <c r="G403" s="50">
        <v>0</v>
      </c>
      <c r="H403" s="50">
        <v>0</v>
      </c>
      <c r="I403" s="50">
        <v>0</v>
      </c>
      <c r="J403" s="89">
        <v>0</v>
      </c>
      <c r="K403" s="81">
        <f>(E403*'⚙️ Configuração'!$C$6+F403*'⚙️ Configuração'!$C$7+G403*'⚙️ Configuração'!$C$8+H403*'⚙️ Configuração'!$C$9+I403*'⚙️ Configuração'!$C$10+J403*'⚙️ Configuração'!$C$11)*IF(N403="S",2,1)</f>
        <v>0</v>
      </c>
      <c r="L403" s="90" t="s">
        <v>167</v>
      </c>
      <c r="M403" s="82">
        <f>IF(L403="AT1",'⚙️ Configuração'!$C$14,IF(L403="AT2",'⚙️ Configuração'!$C$15,IF(L403="FI",'⚙️ Configuração'!$C$16,IF(L403="FJ",'⚙️ Configuração'!$C$17,0))))</f>
        <v>0</v>
      </c>
      <c r="N403" s="91" t="s">
        <v>167</v>
      </c>
      <c r="O403" s="92"/>
      <c r="P403" s="83">
        <f>IF(O403="1",'⚙️ Configuração'!$C$21,IF(O403="2",'⚙️ Configuração'!$C$22,IF(O403="3",'⚙️ Configuração'!$C$23,IF(O403="Outro",'⚙️ Configuração'!$C$24,0))))</f>
        <v>0</v>
      </c>
      <c r="Q403" s="84">
        <f t="shared" si="34"/>
        <v>0</v>
      </c>
      <c r="R403" s="40" t="str">
        <f t="shared" si="22"/>
        <v>Semana 1 — ver 🔄</v>
      </c>
      <c r="S403" t="str" cm="1">
        <f t="array" ref="S403">IF(D403="","",IFERROR(_xlfn.SWITCH(B403,"Semana 1",IFERROR(INDEX('🔄 Rotação Duplas'!$D$8:$D$17,MATCH(D403,'🔄 Rotação Duplas'!$C$8:$C$17,0)),INDEX('🔄 Rotação Duplas'!$C$8:$C$17,MATCH(D403,'🔄 Rotação Duplas'!$D$8:$D$17,0))),"Semana 2",IFERROR(INDEX('🔄 Rotação Duplas'!$D$22:$D$31,MATCH(D403,'🔄 Rotação Duplas'!$C$22:$C$31,0)),INDEX('🔄 Rotação Duplas'!$C$22:$C$31,MATCH(D403,'🔄 Rotação Duplas'!$D$22:$D$31,0))),"Semana 3",IFERROR(INDEX('🔄 Rotação Duplas'!$D$36:$D$45,MATCH(D403,'🔄 Rotação Duplas'!$C$36:$C$45,0)),INDEX('🔄 Rotação Duplas'!$C$36:$C$45,MATCH(D403,'🔄 Rotação Duplas'!$D$36:$D$45,0))),"Semana 4",IFERROR(INDEX('🔄 Rotação Duplas'!$D$50:$D$59,MATCH(D403,'🔄 Rotação Duplas'!$C$50:$C$59,0)),INDEX('🔄 Rotação Duplas'!$C$50:$C$59,MATCH(D403,'🔄 Rotação Duplas'!$D$50:$D$59,0))),"Semana 5",IFERROR(INDEX('🔄 Rotação Duplas'!$D$64:$D$73,MATCH(D403,'🔄 Rotação Duplas'!$C$64:$C$73,0)),INDEX('🔄 Rotação Duplas'!$C$64:$C$73,MATCH(D403,'🔄 Rotação Duplas'!$D$64:$D$73,0))),"Semana 6",IFERROR(INDEX('🔄 Rotação Duplas'!$D$78:$D$87,MATCH(D403,'🔄 Rotação Duplas'!$C$78:$C$87,0)),INDEX('🔄 Rotação Duplas'!$C$78:$C$87,MATCH(D403,'🔄 Rotação Duplas'!$D$78:$D$87,0))),"Semana 7",IFERROR(INDEX('🔄 Rotação Duplas'!$D$92:$D$101,MATCH(D403,'🔄 Rotação Duplas'!$C$92:$C$101,0)),INDEX('🔄 Rotação Duplas'!$C$92:$C$101,MATCH(D403,'🔄 Rotação Duplas'!$D$92:$D$101,0))),"Semana 8",IFERROR(INDEX('🔄 Rotação Duplas'!$D$106:$D$115,MATCH(D403,'🔄 Rotação Duplas'!$C$106:$C$115,0)),INDEX('🔄 Rotação Duplas'!$C$106:$C$115,MATCH(D403,'🔄 Rotação Duplas'!$D$106:$D$115,0)))),""))</f>
        <v/>
      </c>
      <c r="T403">
        <f t="shared" si="35"/>
        <v>0</v>
      </c>
    </row>
    <row r="404" spans="2:20" ht="18" customHeight="1" x14ac:dyDescent="0.2">
      <c r="B404" s="85" t="s">
        <v>99</v>
      </c>
      <c r="C404" s="86" t="str">
        <f t="shared" si="33"/>
        <v>Desafio 20</v>
      </c>
      <c r="D404" s="87" t="str">
        <f>'⚙️ Configuração'!C47</f>
        <v>-</v>
      </c>
      <c r="E404" s="50">
        <v>0</v>
      </c>
      <c r="F404" s="50">
        <v>0</v>
      </c>
      <c r="G404" s="50">
        <v>0</v>
      </c>
      <c r="H404" s="50">
        <v>0</v>
      </c>
      <c r="I404" s="50">
        <v>0</v>
      </c>
      <c r="J404" s="89">
        <v>0</v>
      </c>
      <c r="K404" s="81">
        <f>(E404*'⚙️ Configuração'!$C$6+F404*'⚙️ Configuração'!$C$7+G404*'⚙️ Configuração'!$C$8+H404*'⚙️ Configuração'!$C$9+I404*'⚙️ Configuração'!$C$10+J404*'⚙️ Configuração'!$C$11)*IF(N404="S",2,1)</f>
        <v>0</v>
      </c>
      <c r="L404" s="90" t="s">
        <v>167</v>
      </c>
      <c r="M404" s="82">
        <f>IF(L404="AT1",'⚙️ Configuração'!$C$14,IF(L404="AT2",'⚙️ Configuração'!$C$15,IF(L404="FI",'⚙️ Configuração'!$C$16,IF(L404="FJ",'⚙️ Configuração'!$C$17,0))))</f>
        <v>0</v>
      </c>
      <c r="N404" s="91" t="s">
        <v>167</v>
      </c>
      <c r="O404" s="92"/>
      <c r="P404" s="83">
        <f>IF(O404="1",'⚙️ Configuração'!$C$21,IF(O404="2",'⚙️ Configuração'!$C$22,IF(O404="3",'⚙️ Configuração'!$C$23,IF(O404="Outro",'⚙️ Configuração'!$C$24,0))))</f>
        <v>0</v>
      </c>
      <c r="Q404" s="84">
        <f t="shared" si="34"/>
        <v>0</v>
      </c>
      <c r="R404" s="40" t="str">
        <f t="shared" si="22"/>
        <v>Semana 1 — ver 🔄</v>
      </c>
      <c r="S404" t="str" cm="1">
        <f t="array" ref="S404">IF(D404="","",IFERROR(_xlfn.SWITCH(B404,"Semana 1",IFERROR(INDEX('🔄 Rotação Duplas'!$D$8:$D$17,MATCH(D404,'🔄 Rotação Duplas'!$C$8:$C$17,0)),INDEX('🔄 Rotação Duplas'!$C$8:$C$17,MATCH(D404,'🔄 Rotação Duplas'!$D$8:$D$17,0))),"Semana 2",IFERROR(INDEX('🔄 Rotação Duplas'!$D$22:$D$31,MATCH(D404,'🔄 Rotação Duplas'!$C$22:$C$31,0)),INDEX('🔄 Rotação Duplas'!$C$22:$C$31,MATCH(D404,'🔄 Rotação Duplas'!$D$22:$D$31,0))),"Semana 3",IFERROR(INDEX('🔄 Rotação Duplas'!$D$36:$D$45,MATCH(D404,'🔄 Rotação Duplas'!$C$36:$C$45,0)),INDEX('🔄 Rotação Duplas'!$C$36:$C$45,MATCH(D404,'🔄 Rotação Duplas'!$D$36:$D$45,0))),"Semana 4",IFERROR(INDEX('🔄 Rotação Duplas'!$D$50:$D$59,MATCH(D404,'🔄 Rotação Duplas'!$C$50:$C$59,0)),INDEX('🔄 Rotação Duplas'!$C$50:$C$59,MATCH(D404,'🔄 Rotação Duplas'!$D$50:$D$59,0))),"Semana 5",IFERROR(INDEX('🔄 Rotação Duplas'!$D$64:$D$73,MATCH(D404,'🔄 Rotação Duplas'!$C$64:$C$73,0)),INDEX('🔄 Rotação Duplas'!$C$64:$C$73,MATCH(D404,'🔄 Rotação Duplas'!$D$64:$D$73,0))),"Semana 6",IFERROR(INDEX('🔄 Rotação Duplas'!$D$78:$D$87,MATCH(D404,'🔄 Rotação Duplas'!$C$78:$C$87,0)),INDEX('🔄 Rotação Duplas'!$C$78:$C$87,MATCH(D404,'🔄 Rotação Duplas'!$D$78:$D$87,0))),"Semana 7",IFERROR(INDEX('🔄 Rotação Duplas'!$D$92:$D$101,MATCH(D404,'🔄 Rotação Duplas'!$C$92:$C$101,0)),INDEX('🔄 Rotação Duplas'!$C$92:$C$101,MATCH(D404,'🔄 Rotação Duplas'!$D$92:$D$101,0))),"Semana 8",IFERROR(INDEX('🔄 Rotação Duplas'!$D$106:$D$115,MATCH(D404,'🔄 Rotação Duplas'!$C$106:$C$115,0)),INDEX('🔄 Rotação Duplas'!$C$106:$C$115,MATCH(D404,'🔄 Rotação Duplas'!$D$106:$D$115,0)))),""))</f>
        <v/>
      </c>
      <c r="T404">
        <f t="shared" si="35"/>
        <v>0</v>
      </c>
    </row>
    <row r="405" spans="2:20" ht="18" customHeight="1" x14ac:dyDescent="0.2">
      <c r="B405" s="78" t="s">
        <v>99</v>
      </c>
      <c r="C405" s="79" t="str">
        <f t="shared" si="33"/>
        <v>Desafio 20</v>
      </c>
      <c r="D405" s="80" t="str">
        <f>'⚙️ Configuração'!C48</f>
        <v>-</v>
      </c>
      <c r="E405" s="50">
        <v>0</v>
      </c>
      <c r="F405" s="50">
        <v>0</v>
      </c>
      <c r="G405" s="50">
        <v>0</v>
      </c>
      <c r="H405" s="50">
        <v>0</v>
      </c>
      <c r="I405" s="50">
        <v>0</v>
      </c>
      <c r="J405" s="89">
        <v>0</v>
      </c>
      <c r="K405" s="81">
        <f>(E405*'⚙️ Configuração'!$C$6+F405*'⚙️ Configuração'!$C$7+G405*'⚙️ Configuração'!$C$8+H405*'⚙️ Configuração'!$C$9+I405*'⚙️ Configuração'!$C$10+J405*'⚙️ Configuração'!$C$11)*IF(N405="S",2,1)</f>
        <v>0</v>
      </c>
      <c r="L405" s="90" t="s">
        <v>167</v>
      </c>
      <c r="M405" s="82">
        <f>IF(L405="AT1",'⚙️ Configuração'!$C$14,IF(L405="AT2",'⚙️ Configuração'!$C$15,IF(L405="FI",'⚙️ Configuração'!$C$16,IF(L405="FJ",'⚙️ Configuração'!$C$17,0))))</f>
        <v>0</v>
      </c>
      <c r="N405" s="91" t="s">
        <v>167</v>
      </c>
      <c r="O405" s="92"/>
      <c r="P405" s="83">
        <f>IF(O405="1",'⚙️ Configuração'!$C$21,IF(O405="2",'⚙️ Configuração'!$C$22,IF(O405="3",'⚙️ Configuração'!$C$23,IF(O405="Outro",'⚙️ Configuração'!$C$24,0))))</f>
        <v>0</v>
      </c>
      <c r="Q405" s="84">
        <f t="shared" si="34"/>
        <v>0</v>
      </c>
      <c r="R405" s="40" t="str">
        <f t="shared" si="22"/>
        <v>Semana 1 — ver 🔄</v>
      </c>
      <c r="S405" t="str" cm="1">
        <f t="array" ref="S405">IF(D405="","",IFERROR(_xlfn.SWITCH(B405,"Semana 1",IFERROR(INDEX('🔄 Rotação Duplas'!$D$8:$D$17,MATCH(D405,'🔄 Rotação Duplas'!$C$8:$C$17,0)),INDEX('🔄 Rotação Duplas'!$C$8:$C$17,MATCH(D405,'🔄 Rotação Duplas'!$D$8:$D$17,0))),"Semana 2",IFERROR(INDEX('🔄 Rotação Duplas'!$D$22:$D$31,MATCH(D405,'🔄 Rotação Duplas'!$C$22:$C$31,0)),INDEX('🔄 Rotação Duplas'!$C$22:$C$31,MATCH(D405,'🔄 Rotação Duplas'!$D$22:$D$31,0))),"Semana 3",IFERROR(INDEX('🔄 Rotação Duplas'!$D$36:$D$45,MATCH(D405,'🔄 Rotação Duplas'!$C$36:$C$45,0)),INDEX('🔄 Rotação Duplas'!$C$36:$C$45,MATCH(D405,'🔄 Rotação Duplas'!$D$36:$D$45,0))),"Semana 4",IFERROR(INDEX('🔄 Rotação Duplas'!$D$50:$D$59,MATCH(D405,'🔄 Rotação Duplas'!$C$50:$C$59,0)),INDEX('🔄 Rotação Duplas'!$C$50:$C$59,MATCH(D405,'🔄 Rotação Duplas'!$D$50:$D$59,0))),"Semana 5",IFERROR(INDEX('🔄 Rotação Duplas'!$D$64:$D$73,MATCH(D405,'🔄 Rotação Duplas'!$C$64:$C$73,0)),INDEX('🔄 Rotação Duplas'!$C$64:$C$73,MATCH(D405,'🔄 Rotação Duplas'!$D$64:$D$73,0))),"Semana 6",IFERROR(INDEX('🔄 Rotação Duplas'!$D$78:$D$87,MATCH(D405,'🔄 Rotação Duplas'!$C$78:$C$87,0)),INDEX('🔄 Rotação Duplas'!$C$78:$C$87,MATCH(D405,'🔄 Rotação Duplas'!$D$78:$D$87,0))),"Semana 7",IFERROR(INDEX('🔄 Rotação Duplas'!$D$92:$D$101,MATCH(D405,'🔄 Rotação Duplas'!$C$92:$C$101,0)),INDEX('🔄 Rotação Duplas'!$C$92:$C$101,MATCH(D405,'🔄 Rotação Duplas'!$D$92:$D$101,0))),"Semana 8",IFERROR(INDEX('🔄 Rotação Duplas'!$D$106:$D$115,MATCH(D405,'🔄 Rotação Duplas'!$C$106:$C$115,0)),INDEX('🔄 Rotação Duplas'!$C$106:$C$115,MATCH(D405,'🔄 Rotação Duplas'!$D$106:$D$115,0)))),""))</f>
        <v/>
      </c>
      <c r="T405">
        <f t="shared" si="35"/>
        <v>0</v>
      </c>
    </row>
    <row r="406" spans="2:20" ht="18" customHeight="1" x14ac:dyDescent="0.2">
      <c r="B406" s="85" t="s">
        <v>99</v>
      </c>
      <c r="C406" s="86" t="str">
        <f t="shared" si="33"/>
        <v>Desafio 20</v>
      </c>
      <c r="D406" s="87" t="str">
        <f>'⚙️ Configuração'!C49</f>
        <v>-</v>
      </c>
      <c r="E406" s="50">
        <v>0</v>
      </c>
      <c r="F406" s="50">
        <v>0</v>
      </c>
      <c r="G406" s="50">
        <v>0</v>
      </c>
      <c r="H406" s="50">
        <v>0</v>
      </c>
      <c r="I406" s="50">
        <v>0</v>
      </c>
      <c r="J406" s="89">
        <v>0</v>
      </c>
      <c r="K406" s="81">
        <f>(E406*'⚙️ Configuração'!$C$6+F406*'⚙️ Configuração'!$C$7+G406*'⚙️ Configuração'!$C$8+H406*'⚙️ Configuração'!$C$9+I406*'⚙️ Configuração'!$C$10+J406*'⚙️ Configuração'!$C$11)*IF(N406="S",2,1)</f>
        <v>0</v>
      </c>
      <c r="L406" s="90" t="s">
        <v>167</v>
      </c>
      <c r="M406" s="82">
        <f>IF(L406="AT1",'⚙️ Configuração'!$C$14,IF(L406="AT2",'⚙️ Configuração'!$C$15,IF(L406="FI",'⚙️ Configuração'!$C$16,IF(L406="FJ",'⚙️ Configuração'!$C$17,0))))</f>
        <v>0</v>
      </c>
      <c r="N406" s="91" t="s">
        <v>167</v>
      </c>
      <c r="O406" s="92"/>
      <c r="P406" s="83">
        <f>IF(O406="1",'⚙️ Configuração'!$C$21,IF(O406="2",'⚙️ Configuração'!$C$22,IF(O406="3",'⚙️ Configuração'!$C$23,IF(O406="Outro",'⚙️ Configuração'!$C$24,0))))</f>
        <v>0</v>
      </c>
      <c r="Q406" s="84">
        <f t="shared" si="34"/>
        <v>0</v>
      </c>
      <c r="R406" s="40" t="str">
        <f t="shared" si="22"/>
        <v>Semana 1 — ver 🔄</v>
      </c>
      <c r="S406" t="str" cm="1">
        <f t="array" ref="S406">IF(D406="","",IFERROR(_xlfn.SWITCH(B406,"Semana 1",IFERROR(INDEX('🔄 Rotação Duplas'!$D$8:$D$17,MATCH(D406,'🔄 Rotação Duplas'!$C$8:$C$17,0)),INDEX('🔄 Rotação Duplas'!$C$8:$C$17,MATCH(D406,'🔄 Rotação Duplas'!$D$8:$D$17,0))),"Semana 2",IFERROR(INDEX('🔄 Rotação Duplas'!$D$22:$D$31,MATCH(D406,'🔄 Rotação Duplas'!$C$22:$C$31,0)),INDEX('🔄 Rotação Duplas'!$C$22:$C$31,MATCH(D406,'🔄 Rotação Duplas'!$D$22:$D$31,0))),"Semana 3",IFERROR(INDEX('🔄 Rotação Duplas'!$D$36:$D$45,MATCH(D406,'🔄 Rotação Duplas'!$C$36:$C$45,0)),INDEX('🔄 Rotação Duplas'!$C$36:$C$45,MATCH(D406,'🔄 Rotação Duplas'!$D$36:$D$45,0))),"Semana 4",IFERROR(INDEX('🔄 Rotação Duplas'!$D$50:$D$59,MATCH(D406,'🔄 Rotação Duplas'!$C$50:$C$59,0)),INDEX('🔄 Rotação Duplas'!$C$50:$C$59,MATCH(D406,'🔄 Rotação Duplas'!$D$50:$D$59,0))),"Semana 5",IFERROR(INDEX('🔄 Rotação Duplas'!$D$64:$D$73,MATCH(D406,'🔄 Rotação Duplas'!$C$64:$C$73,0)),INDEX('🔄 Rotação Duplas'!$C$64:$C$73,MATCH(D406,'🔄 Rotação Duplas'!$D$64:$D$73,0))),"Semana 6",IFERROR(INDEX('🔄 Rotação Duplas'!$D$78:$D$87,MATCH(D406,'🔄 Rotação Duplas'!$C$78:$C$87,0)),INDEX('🔄 Rotação Duplas'!$C$78:$C$87,MATCH(D406,'🔄 Rotação Duplas'!$D$78:$D$87,0))),"Semana 7",IFERROR(INDEX('🔄 Rotação Duplas'!$D$92:$D$101,MATCH(D406,'🔄 Rotação Duplas'!$C$92:$C$101,0)),INDEX('🔄 Rotação Duplas'!$C$92:$C$101,MATCH(D406,'🔄 Rotação Duplas'!$D$92:$D$101,0))),"Semana 8",IFERROR(INDEX('🔄 Rotação Duplas'!$D$106:$D$115,MATCH(D406,'🔄 Rotação Duplas'!$C$106:$C$115,0)),INDEX('🔄 Rotação Duplas'!$C$106:$C$115,MATCH(D406,'🔄 Rotação Duplas'!$D$106:$D$115,0)))),""))</f>
        <v/>
      </c>
      <c r="T406">
        <f t="shared" si="35"/>
        <v>0</v>
      </c>
    </row>
    <row r="407" spans="2:20" ht="18" customHeight="1" x14ac:dyDescent="0.2">
      <c r="B407" s="78" t="s">
        <v>109</v>
      </c>
      <c r="C407" s="79" t="str">
        <f t="shared" ref="C407:C426" si="36">"Desafio 21"</f>
        <v>Desafio 21</v>
      </c>
      <c r="D407" s="80" t="str">
        <f>'⚙️ Configuração'!C30</f>
        <v>Carla Cantante</v>
      </c>
      <c r="E407" s="50">
        <v>0</v>
      </c>
      <c r="F407" s="50">
        <v>0</v>
      </c>
      <c r="G407" s="50">
        <v>0</v>
      </c>
      <c r="H407" s="50">
        <v>0</v>
      </c>
      <c r="I407" s="50">
        <v>0</v>
      </c>
      <c r="J407" s="89">
        <v>0</v>
      </c>
      <c r="K407" s="81">
        <f>(E407*'⚙️ Configuração'!$C$6+F407*'⚙️ Configuração'!$C$7+G407*'⚙️ Configuração'!$C$8+H407*'⚙️ Configuração'!$C$9+I407*'⚙️ Configuração'!$C$10+J407*'⚙️ Configuração'!$C$11)*IF(N407="S",2,1)</f>
        <v>0</v>
      </c>
      <c r="L407" s="90" t="s">
        <v>167</v>
      </c>
      <c r="M407" s="82">
        <f>IF(L407="AT1",'⚙️ Configuração'!$C$14,IF(L407="AT2",'⚙️ Configuração'!$C$15,IF(L407="FI",'⚙️ Configuração'!$C$16,IF(L407="FJ",'⚙️ Configuração'!$C$17,0))))</f>
        <v>0</v>
      </c>
      <c r="N407" s="91" t="s">
        <v>167</v>
      </c>
      <c r="O407" s="92"/>
      <c r="P407" s="83">
        <f>IF(O407="1",'⚙️ Configuração'!$C$21,IF(O407="2",'⚙️ Configuração'!$C$22,IF(O407="3",'⚙️ Configuração'!$C$23,IF(O407="Outro",'⚙️ Configuração'!$C$24,0))))</f>
        <v>0</v>
      </c>
      <c r="Q407" s="84">
        <f t="shared" si="34"/>
        <v>0</v>
      </c>
      <c r="R407" s="40" t="str">
        <f t="shared" si="22"/>
        <v>Semana 1 — ver 🔄</v>
      </c>
      <c r="S407" t="str" cm="1">
        <f t="array" ref="S407">IF(D407="","",IFERROR(_xlfn.SWITCH(B407,"Semana 1",IFERROR(INDEX('🔄 Rotação Duplas'!$D$8:$D$17,MATCH(D407,'🔄 Rotação Duplas'!$C$8:$C$17,0)),INDEX('🔄 Rotação Duplas'!$C$8:$C$17,MATCH(D407,'🔄 Rotação Duplas'!$D$8:$D$17,0))),"Semana 2",IFERROR(INDEX('🔄 Rotação Duplas'!$D$22:$D$31,MATCH(D407,'🔄 Rotação Duplas'!$C$22:$C$31,0)),INDEX('🔄 Rotação Duplas'!$C$22:$C$31,MATCH(D407,'🔄 Rotação Duplas'!$D$22:$D$31,0))),"Semana 3",IFERROR(INDEX('🔄 Rotação Duplas'!$D$36:$D$45,MATCH(D407,'🔄 Rotação Duplas'!$C$36:$C$45,0)),INDEX('🔄 Rotação Duplas'!$C$36:$C$45,MATCH(D407,'🔄 Rotação Duplas'!$D$36:$D$45,0))),"Semana 4",IFERROR(INDEX('🔄 Rotação Duplas'!$D$50:$D$59,MATCH(D407,'🔄 Rotação Duplas'!$C$50:$C$59,0)),INDEX('🔄 Rotação Duplas'!$C$50:$C$59,MATCH(D407,'🔄 Rotação Duplas'!$D$50:$D$59,0))),"Semana 5",IFERROR(INDEX('🔄 Rotação Duplas'!$D$64:$D$73,MATCH(D407,'🔄 Rotação Duplas'!$C$64:$C$73,0)),INDEX('🔄 Rotação Duplas'!$C$64:$C$73,MATCH(D407,'🔄 Rotação Duplas'!$D$64:$D$73,0))),"Semana 6",IFERROR(INDEX('🔄 Rotação Duplas'!$D$78:$D$87,MATCH(D407,'🔄 Rotação Duplas'!$C$78:$C$87,0)),INDEX('🔄 Rotação Duplas'!$C$78:$C$87,MATCH(D407,'🔄 Rotação Duplas'!$D$78:$D$87,0))),"Semana 7",IFERROR(INDEX('🔄 Rotação Duplas'!$D$92:$D$101,MATCH(D407,'🔄 Rotação Duplas'!$C$92:$C$101,0)),INDEX('🔄 Rotação Duplas'!$C$92:$C$101,MATCH(D407,'🔄 Rotação Duplas'!$D$92:$D$101,0))),"Semana 8",IFERROR(INDEX('🔄 Rotação Duplas'!$D$106:$D$115,MATCH(D407,'🔄 Rotação Duplas'!$C$106:$C$115,0)),INDEX('🔄 Rotação Duplas'!$C$106:$C$115,MATCH(D407,'🔄 Rotação Duplas'!$D$106:$D$115,0)))),""))</f>
        <v/>
      </c>
      <c r="T407">
        <f t="shared" si="35"/>
        <v>0</v>
      </c>
    </row>
    <row r="408" spans="2:20" ht="18" customHeight="1" x14ac:dyDescent="0.2">
      <c r="B408" s="85" t="s">
        <v>109</v>
      </c>
      <c r="C408" s="86" t="str">
        <f t="shared" si="36"/>
        <v>Desafio 21</v>
      </c>
      <c r="D408" s="87" t="str">
        <f>'⚙️ Configuração'!C31</f>
        <v>Elisabete Mendes</v>
      </c>
      <c r="E408" s="50">
        <v>0</v>
      </c>
      <c r="F408" s="50">
        <v>0</v>
      </c>
      <c r="G408" s="50">
        <v>0</v>
      </c>
      <c r="H408" s="50">
        <v>0</v>
      </c>
      <c r="I408" s="50">
        <v>0</v>
      </c>
      <c r="J408" s="89">
        <v>0</v>
      </c>
      <c r="K408" s="81">
        <f>(E408*'⚙️ Configuração'!$C$6+F408*'⚙️ Configuração'!$C$7+G408*'⚙️ Configuração'!$C$8+H408*'⚙️ Configuração'!$C$9+I408*'⚙️ Configuração'!$C$10+J408*'⚙️ Configuração'!$C$11)*IF(N408="S",2,1)</f>
        <v>0</v>
      </c>
      <c r="L408" s="90" t="s">
        <v>167</v>
      </c>
      <c r="M408" s="82">
        <f>IF(L408="AT1",'⚙️ Configuração'!$C$14,IF(L408="AT2",'⚙️ Configuração'!$C$15,IF(L408="FI",'⚙️ Configuração'!$C$16,IF(L408="FJ",'⚙️ Configuração'!$C$17,0))))</f>
        <v>0</v>
      </c>
      <c r="N408" s="91" t="s">
        <v>167</v>
      </c>
      <c r="O408" s="92"/>
      <c r="P408" s="83">
        <f>IF(O408="1",'⚙️ Configuração'!$C$21,IF(O408="2",'⚙️ Configuração'!$C$22,IF(O408="3",'⚙️ Configuração'!$C$23,IF(O408="Outro",'⚙️ Configuração'!$C$24,0))))</f>
        <v>0</v>
      </c>
      <c r="Q408" s="84">
        <f t="shared" si="34"/>
        <v>0</v>
      </c>
      <c r="R408" s="40" t="str">
        <f t="shared" si="22"/>
        <v>Semana 1 — ver 🔄</v>
      </c>
      <c r="S408" t="str" cm="1">
        <f t="array" ref="S408">IF(D408="","",IFERROR(_xlfn.SWITCH(B408,"Semana 1",IFERROR(INDEX('🔄 Rotação Duplas'!$D$8:$D$17,MATCH(D408,'🔄 Rotação Duplas'!$C$8:$C$17,0)),INDEX('🔄 Rotação Duplas'!$C$8:$C$17,MATCH(D408,'🔄 Rotação Duplas'!$D$8:$D$17,0))),"Semana 2",IFERROR(INDEX('🔄 Rotação Duplas'!$D$22:$D$31,MATCH(D408,'🔄 Rotação Duplas'!$C$22:$C$31,0)),INDEX('🔄 Rotação Duplas'!$C$22:$C$31,MATCH(D408,'🔄 Rotação Duplas'!$D$22:$D$31,0))),"Semana 3",IFERROR(INDEX('🔄 Rotação Duplas'!$D$36:$D$45,MATCH(D408,'🔄 Rotação Duplas'!$C$36:$C$45,0)),INDEX('🔄 Rotação Duplas'!$C$36:$C$45,MATCH(D408,'🔄 Rotação Duplas'!$D$36:$D$45,0))),"Semana 4",IFERROR(INDEX('🔄 Rotação Duplas'!$D$50:$D$59,MATCH(D408,'🔄 Rotação Duplas'!$C$50:$C$59,0)),INDEX('🔄 Rotação Duplas'!$C$50:$C$59,MATCH(D408,'🔄 Rotação Duplas'!$D$50:$D$59,0))),"Semana 5",IFERROR(INDEX('🔄 Rotação Duplas'!$D$64:$D$73,MATCH(D408,'🔄 Rotação Duplas'!$C$64:$C$73,0)),INDEX('🔄 Rotação Duplas'!$C$64:$C$73,MATCH(D408,'🔄 Rotação Duplas'!$D$64:$D$73,0))),"Semana 6",IFERROR(INDEX('🔄 Rotação Duplas'!$D$78:$D$87,MATCH(D408,'🔄 Rotação Duplas'!$C$78:$C$87,0)),INDEX('🔄 Rotação Duplas'!$C$78:$C$87,MATCH(D408,'🔄 Rotação Duplas'!$D$78:$D$87,0))),"Semana 7",IFERROR(INDEX('🔄 Rotação Duplas'!$D$92:$D$101,MATCH(D408,'🔄 Rotação Duplas'!$C$92:$C$101,0)),INDEX('🔄 Rotação Duplas'!$C$92:$C$101,MATCH(D408,'🔄 Rotação Duplas'!$D$92:$D$101,0))),"Semana 8",IFERROR(INDEX('🔄 Rotação Duplas'!$D$106:$D$115,MATCH(D408,'🔄 Rotação Duplas'!$C$106:$C$115,0)),INDEX('🔄 Rotação Duplas'!$C$106:$C$115,MATCH(D408,'🔄 Rotação Duplas'!$D$106:$D$115,0)))),""))</f>
        <v/>
      </c>
      <c r="T408">
        <f t="shared" si="35"/>
        <v>0</v>
      </c>
    </row>
    <row r="409" spans="2:20" ht="18" customHeight="1" x14ac:dyDescent="0.2">
      <c r="B409" s="78" t="s">
        <v>109</v>
      </c>
      <c r="C409" s="79" t="str">
        <f t="shared" si="36"/>
        <v>Desafio 21</v>
      </c>
      <c r="D409" s="80" t="str">
        <f>'⚙️ Configuração'!C32</f>
        <v>Filipa Cunha</v>
      </c>
      <c r="E409" s="50">
        <v>0</v>
      </c>
      <c r="F409" s="50">
        <v>0</v>
      </c>
      <c r="G409" s="50">
        <v>0</v>
      </c>
      <c r="H409" s="50">
        <v>0</v>
      </c>
      <c r="I409" s="50">
        <v>0</v>
      </c>
      <c r="J409" s="89">
        <v>0</v>
      </c>
      <c r="K409" s="81">
        <f>(E409*'⚙️ Configuração'!$C$6+F409*'⚙️ Configuração'!$C$7+G409*'⚙️ Configuração'!$C$8+H409*'⚙️ Configuração'!$C$9+I409*'⚙️ Configuração'!$C$10+J409*'⚙️ Configuração'!$C$11)*IF(N409="S",2,1)</f>
        <v>0</v>
      </c>
      <c r="L409" s="90" t="s">
        <v>167</v>
      </c>
      <c r="M409" s="82">
        <f>IF(L409="AT1",'⚙️ Configuração'!$C$14,IF(L409="AT2",'⚙️ Configuração'!$C$15,IF(L409="FI",'⚙️ Configuração'!$C$16,IF(L409="FJ",'⚙️ Configuração'!$C$17,0))))</f>
        <v>0</v>
      </c>
      <c r="N409" s="91" t="s">
        <v>167</v>
      </c>
      <c r="O409" s="92"/>
      <c r="P409" s="83">
        <f>IF(O409="1",'⚙️ Configuração'!$C$21,IF(O409="2",'⚙️ Configuração'!$C$22,IF(O409="3",'⚙️ Configuração'!$C$23,IF(O409="Outro",'⚙️ Configuração'!$C$24,0))))</f>
        <v>0</v>
      </c>
      <c r="Q409" s="84">
        <f t="shared" si="34"/>
        <v>0</v>
      </c>
      <c r="R409" s="40" t="str">
        <f t="shared" si="22"/>
        <v>Semana 1 — ver 🔄</v>
      </c>
      <c r="S409" t="str" cm="1">
        <f t="array" ref="S409">IF(D409="","",IFERROR(_xlfn.SWITCH(B409,"Semana 1",IFERROR(INDEX('🔄 Rotação Duplas'!$D$8:$D$17,MATCH(D409,'🔄 Rotação Duplas'!$C$8:$C$17,0)),INDEX('🔄 Rotação Duplas'!$C$8:$C$17,MATCH(D409,'🔄 Rotação Duplas'!$D$8:$D$17,0))),"Semana 2",IFERROR(INDEX('🔄 Rotação Duplas'!$D$22:$D$31,MATCH(D409,'🔄 Rotação Duplas'!$C$22:$C$31,0)),INDEX('🔄 Rotação Duplas'!$C$22:$C$31,MATCH(D409,'🔄 Rotação Duplas'!$D$22:$D$31,0))),"Semana 3",IFERROR(INDEX('🔄 Rotação Duplas'!$D$36:$D$45,MATCH(D409,'🔄 Rotação Duplas'!$C$36:$C$45,0)),INDEX('🔄 Rotação Duplas'!$C$36:$C$45,MATCH(D409,'🔄 Rotação Duplas'!$D$36:$D$45,0))),"Semana 4",IFERROR(INDEX('🔄 Rotação Duplas'!$D$50:$D$59,MATCH(D409,'🔄 Rotação Duplas'!$C$50:$C$59,0)),INDEX('🔄 Rotação Duplas'!$C$50:$C$59,MATCH(D409,'🔄 Rotação Duplas'!$D$50:$D$59,0))),"Semana 5",IFERROR(INDEX('🔄 Rotação Duplas'!$D$64:$D$73,MATCH(D409,'🔄 Rotação Duplas'!$C$64:$C$73,0)),INDEX('🔄 Rotação Duplas'!$C$64:$C$73,MATCH(D409,'🔄 Rotação Duplas'!$D$64:$D$73,0))),"Semana 6",IFERROR(INDEX('🔄 Rotação Duplas'!$D$78:$D$87,MATCH(D409,'🔄 Rotação Duplas'!$C$78:$C$87,0)),INDEX('🔄 Rotação Duplas'!$C$78:$C$87,MATCH(D409,'🔄 Rotação Duplas'!$D$78:$D$87,0))),"Semana 7",IFERROR(INDEX('🔄 Rotação Duplas'!$D$92:$D$101,MATCH(D409,'🔄 Rotação Duplas'!$C$92:$C$101,0)),INDEX('🔄 Rotação Duplas'!$C$92:$C$101,MATCH(D409,'🔄 Rotação Duplas'!$D$92:$D$101,0))),"Semana 8",IFERROR(INDEX('🔄 Rotação Duplas'!$D$106:$D$115,MATCH(D409,'🔄 Rotação Duplas'!$C$106:$C$115,0)),INDEX('🔄 Rotação Duplas'!$C$106:$C$115,MATCH(D409,'🔄 Rotação Duplas'!$D$106:$D$115,0)))),""))</f>
        <v/>
      </c>
      <c r="T409">
        <f t="shared" si="35"/>
        <v>0</v>
      </c>
    </row>
    <row r="410" spans="2:20" ht="18" customHeight="1" x14ac:dyDescent="0.2">
      <c r="B410" s="85" t="s">
        <v>109</v>
      </c>
      <c r="C410" s="86" t="str">
        <f t="shared" si="36"/>
        <v>Desafio 21</v>
      </c>
      <c r="D410" s="87" t="str">
        <f>'⚙️ Configuração'!C33</f>
        <v>Helena Rocha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89">
        <v>0</v>
      </c>
      <c r="K410" s="81">
        <f>(E410*'⚙️ Configuração'!$C$6+F410*'⚙️ Configuração'!$C$7+G410*'⚙️ Configuração'!$C$8+H410*'⚙️ Configuração'!$C$9+I410*'⚙️ Configuração'!$C$10+J410*'⚙️ Configuração'!$C$11)*IF(N410="S",2,1)</f>
        <v>0</v>
      </c>
      <c r="L410" s="90" t="s">
        <v>167</v>
      </c>
      <c r="M410" s="82">
        <f>IF(L410="AT1",'⚙️ Configuração'!$C$14,IF(L410="AT2",'⚙️ Configuração'!$C$15,IF(L410="FI",'⚙️ Configuração'!$C$16,IF(L410="FJ",'⚙️ Configuração'!$C$17,0))))</f>
        <v>0</v>
      </c>
      <c r="N410" s="91" t="s">
        <v>167</v>
      </c>
      <c r="O410" s="92"/>
      <c r="P410" s="83">
        <f>IF(O410="1",'⚙️ Configuração'!$C$21,IF(O410="2",'⚙️ Configuração'!$C$22,IF(O410="3",'⚙️ Configuração'!$C$23,IF(O410="Outro",'⚙️ Configuração'!$C$24,0))))</f>
        <v>0</v>
      </c>
      <c r="Q410" s="84">
        <f t="shared" si="34"/>
        <v>0</v>
      </c>
      <c r="R410" s="40" t="str">
        <f t="shared" si="22"/>
        <v>Semana 1 — ver 🔄</v>
      </c>
      <c r="S410" t="str" cm="1">
        <f t="array" ref="S410">IF(D410="","",IFERROR(_xlfn.SWITCH(B410,"Semana 1",IFERROR(INDEX('🔄 Rotação Duplas'!$D$8:$D$17,MATCH(D410,'🔄 Rotação Duplas'!$C$8:$C$17,0)),INDEX('🔄 Rotação Duplas'!$C$8:$C$17,MATCH(D410,'🔄 Rotação Duplas'!$D$8:$D$17,0))),"Semana 2",IFERROR(INDEX('🔄 Rotação Duplas'!$D$22:$D$31,MATCH(D410,'🔄 Rotação Duplas'!$C$22:$C$31,0)),INDEX('🔄 Rotação Duplas'!$C$22:$C$31,MATCH(D410,'🔄 Rotação Duplas'!$D$22:$D$31,0))),"Semana 3",IFERROR(INDEX('🔄 Rotação Duplas'!$D$36:$D$45,MATCH(D410,'🔄 Rotação Duplas'!$C$36:$C$45,0)),INDEX('🔄 Rotação Duplas'!$C$36:$C$45,MATCH(D410,'🔄 Rotação Duplas'!$D$36:$D$45,0))),"Semana 4",IFERROR(INDEX('🔄 Rotação Duplas'!$D$50:$D$59,MATCH(D410,'🔄 Rotação Duplas'!$C$50:$C$59,0)),INDEX('🔄 Rotação Duplas'!$C$50:$C$59,MATCH(D410,'🔄 Rotação Duplas'!$D$50:$D$59,0))),"Semana 5",IFERROR(INDEX('🔄 Rotação Duplas'!$D$64:$D$73,MATCH(D410,'🔄 Rotação Duplas'!$C$64:$C$73,0)),INDEX('🔄 Rotação Duplas'!$C$64:$C$73,MATCH(D410,'🔄 Rotação Duplas'!$D$64:$D$73,0))),"Semana 6",IFERROR(INDEX('🔄 Rotação Duplas'!$D$78:$D$87,MATCH(D410,'🔄 Rotação Duplas'!$C$78:$C$87,0)),INDEX('🔄 Rotação Duplas'!$C$78:$C$87,MATCH(D410,'🔄 Rotação Duplas'!$D$78:$D$87,0))),"Semana 7",IFERROR(INDEX('🔄 Rotação Duplas'!$D$92:$D$101,MATCH(D410,'🔄 Rotação Duplas'!$C$92:$C$101,0)),INDEX('🔄 Rotação Duplas'!$C$92:$C$101,MATCH(D410,'🔄 Rotação Duplas'!$D$92:$D$101,0))),"Semana 8",IFERROR(INDEX('🔄 Rotação Duplas'!$D$106:$D$115,MATCH(D410,'🔄 Rotação Duplas'!$C$106:$C$115,0)),INDEX('🔄 Rotação Duplas'!$C$106:$C$115,MATCH(D410,'🔄 Rotação Duplas'!$D$106:$D$115,0)))),""))</f>
        <v/>
      </c>
      <c r="T410">
        <f t="shared" si="35"/>
        <v>0</v>
      </c>
    </row>
    <row r="411" spans="2:20" ht="18" customHeight="1" x14ac:dyDescent="0.2">
      <c r="B411" s="78" t="s">
        <v>109</v>
      </c>
      <c r="C411" s="79" t="str">
        <f t="shared" si="36"/>
        <v>Desafio 21</v>
      </c>
      <c r="D411" s="80" t="str">
        <f>'⚙️ Configuração'!C34</f>
        <v>João Xavier</v>
      </c>
      <c r="E411" s="50">
        <v>0</v>
      </c>
      <c r="F411" s="50">
        <v>0</v>
      </c>
      <c r="G411" s="50">
        <v>0</v>
      </c>
      <c r="H411" s="50">
        <v>0</v>
      </c>
      <c r="I411" s="50">
        <v>0</v>
      </c>
      <c r="J411" s="89">
        <v>0</v>
      </c>
      <c r="K411" s="81">
        <f>(E411*'⚙️ Configuração'!$C$6+F411*'⚙️ Configuração'!$C$7+G411*'⚙️ Configuração'!$C$8+H411*'⚙️ Configuração'!$C$9+I411*'⚙️ Configuração'!$C$10+J411*'⚙️ Configuração'!$C$11)*IF(N411="S",2,1)</f>
        <v>0</v>
      </c>
      <c r="L411" s="90" t="s">
        <v>167</v>
      </c>
      <c r="M411" s="82">
        <f>IF(L411="AT1",'⚙️ Configuração'!$C$14,IF(L411="AT2",'⚙️ Configuração'!$C$15,IF(L411="FI",'⚙️ Configuração'!$C$16,IF(L411="FJ",'⚙️ Configuração'!$C$17,0))))</f>
        <v>0</v>
      </c>
      <c r="N411" s="91" t="s">
        <v>167</v>
      </c>
      <c r="O411" s="92"/>
      <c r="P411" s="83">
        <f>IF(O411="1",'⚙️ Configuração'!$C$21,IF(O411="2",'⚙️ Configuração'!$C$22,IF(O411="3",'⚙️ Configuração'!$C$23,IF(O411="Outro",'⚙️ Configuração'!$C$24,0))))</f>
        <v>0</v>
      </c>
      <c r="Q411" s="84">
        <f t="shared" si="34"/>
        <v>0</v>
      </c>
      <c r="R411" s="40" t="str">
        <f t="shared" si="22"/>
        <v>Semana 1 — ver 🔄</v>
      </c>
      <c r="S411" t="str" cm="1">
        <f t="array" ref="S411">IF(D411="","",IFERROR(_xlfn.SWITCH(B411,"Semana 1",IFERROR(INDEX('🔄 Rotação Duplas'!$D$8:$D$17,MATCH(D411,'🔄 Rotação Duplas'!$C$8:$C$17,0)),INDEX('🔄 Rotação Duplas'!$C$8:$C$17,MATCH(D411,'🔄 Rotação Duplas'!$D$8:$D$17,0))),"Semana 2",IFERROR(INDEX('🔄 Rotação Duplas'!$D$22:$D$31,MATCH(D411,'🔄 Rotação Duplas'!$C$22:$C$31,0)),INDEX('🔄 Rotação Duplas'!$C$22:$C$31,MATCH(D411,'🔄 Rotação Duplas'!$D$22:$D$31,0))),"Semana 3",IFERROR(INDEX('🔄 Rotação Duplas'!$D$36:$D$45,MATCH(D411,'🔄 Rotação Duplas'!$C$36:$C$45,0)),INDEX('🔄 Rotação Duplas'!$C$36:$C$45,MATCH(D411,'🔄 Rotação Duplas'!$D$36:$D$45,0))),"Semana 4",IFERROR(INDEX('🔄 Rotação Duplas'!$D$50:$D$59,MATCH(D411,'🔄 Rotação Duplas'!$C$50:$C$59,0)),INDEX('🔄 Rotação Duplas'!$C$50:$C$59,MATCH(D411,'🔄 Rotação Duplas'!$D$50:$D$59,0))),"Semana 5",IFERROR(INDEX('🔄 Rotação Duplas'!$D$64:$D$73,MATCH(D411,'🔄 Rotação Duplas'!$C$64:$C$73,0)),INDEX('🔄 Rotação Duplas'!$C$64:$C$73,MATCH(D411,'🔄 Rotação Duplas'!$D$64:$D$73,0))),"Semana 6",IFERROR(INDEX('🔄 Rotação Duplas'!$D$78:$D$87,MATCH(D411,'🔄 Rotação Duplas'!$C$78:$C$87,0)),INDEX('🔄 Rotação Duplas'!$C$78:$C$87,MATCH(D411,'🔄 Rotação Duplas'!$D$78:$D$87,0))),"Semana 7",IFERROR(INDEX('🔄 Rotação Duplas'!$D$92:$D$101,MATCH(D411,'🔄 Rotação Duplas'!$C$92:$C$101,0)),INDEX('🔄 Rotação Duplas'!$C$92:$C$101,MATCH(D411,'🔄 Rotação Duplas'!$D$92:$D$101,0))),"Semana 8",IFERROR(INDEX('🔄 Rotação Duplas'!$D$106:$D$115,MATCH(D411,'🔄 Rotação Duplas'!$C$106:$C$115,0)),INDEX('🔄 Rotação Duplas'!$C$106:$C$115,MATCH(D411,'🔄 Rotação Duplas'!$D$106:$D$115,0)))),""))</f>
        <v/>
      </c>
      <c r="T411">
        <f t="shared" si="35"/>
        <v>0</v>
      </c>
    </row>
    <row r="412" spans="2:20" ht="18" customHeight="1" x14ac:dyDescent="0.2">
      <c r="B412" s="85" t="s">
        <v>109</v>
      </c>
      <c r="C412" s="86" t="str">
        <f t="shared" si="36"/>
        <v>Desafio 21</v>
      </c>
      <c r="D412" s="87" t="str">
        <f>'⚙️ Configuração'!C35</f>
        <v>Tomás Carlos</v>
      </c>
      <c r="E412" s="50">
        <v>0</v>
      </c>
      <c r="F412" s="50">
        <v>0</v>
      </c>
      <c r="G412" s="50">
        <v>0</v>
      </c>
      <c r="H412" s="50">
        <v>0</v>
      </c>
      <c r="I412" s="50">
        <v>0</v>
      </c>
      <c r="J412" s="89">
        <v>0</v>
      </c>
      <c r="K412" s="81">
        <f>(E412*'⚙️ Configuração'!$C$6+F412*'⚙️ Configuração'!$C$7+G412*'⚙️ Configuração'!$C$8+H412*'⚙️ Configuração'!$C$9+I412*'⚙️ Configuração'!$C$10+J412*'⚙️ Configuração'!$C$11)*IF(N412="S",2,1)</f>
        <v>0</v>
      </c>
      <c r="L412" s="90" t="s">
        <v>167</v>
      </c>
      <c r="M412" s="82">
        <f>IF(L412="AT1",'⚙️ Configuração'!$C$14,IF(L412="AT2",'⚙️ Configuração'!$C$15,IF(L412="FI",'⚙️ Configuração'!$C$16,IF(L412="FJ",'⚙️ Configuração'!$C$17,0))))</f>
        <v>0</v>
      </c>
      <c r="N412" s="91" t="s">
        <v>167</v>
      </c>
      <c r="O412" s="92"/>
      <c r="P412" s="83">
        <f>IF(O412="1",'⚙️ Configuração'!$C$21,IF(O412="2",'⚙️ Configuração'!$C$22,IF(O412="3",'⚙️ Configuração'!$C$23,IF(O412="Outro",'⚙️ Configuração'!$C$24,0))))</f>
        <v>0</v>
      </c>
      <c r="Q412" s="84">
        <f t="shared" si="34"/>
        <v>0</v>
      </c>
      <c r="R412" s="40" t="str">
        <f t="shared" si="22"/>
        <v>Semana 1 — ver 🔄</v>
      </c>
      <c r="S412" t="str" cm="1">
        <f t="array" ref="S412">IF(D412="","",IFERROR(_xlfn.SWITCH(B412,"Semana 1",IFERROR(INDEX('🔄 Rotação Duplas'!$D$8:$D$17,MATCH(D412,'🔄 Rotação Duplas'!$C$8:$C$17,0)),INDEX('🔄 Rotação Duplas'!$C$8:$C$17,MATCH(D412,'🔄 Rotação Duplas'!$D$8:$D$17,0))),"Semana 2",IFERROR(INDEX('🔄 Rotação Duplas'!$D$22:$D$31,MATCH(D412,'🔄 Rotação Duplas'!$C$22:$C$31,0)),INDEX('🔄 Rotação Duplas'!$C$22:$C$31,MATCH(D412,'🔄 Rotação Duplas'!$D$22:$D$31,0))),"Semana 3",IFERROR(INDEX('🔄 Rotação Duplas'!$D$36:$D$45,MATCH(D412,'🔄 Rotação Duplas'!$C$36:$C$45,0)),INDEX('🔄 Rotação Duplas'!$C$36:$C$45,MATCH(D412,'🔄 Rotação Duplas'!$D$36:$D$45,0))),"Semana 4",IFERROR(INDEX('🔄 Rotação Duplas'!$D$50:$D$59,MATCH(D412,'🔄 Rotação Duplas'!$C$50:$C$59,0)),INDEX('🔄 Rotação Duplas'!$C$50:$C$59,MATCH(D412,'🔄 Rotação Duplas'!$D$50:$D$59,0))),"Semana 5",IFERROR(INDEX('🔄 Rotação Duplas'!$D$64:$D$73,MATCH(D412,'🔄 Rotação Duplas'!$C$64:$C$73,0)),INDEX('🔄 Rotação Duplas'!$C$64:$C$73,MATCH(D412,'🔄 Rotação Duplas'!$D$64:$D$73,0))),"Semana 6",IFERROR(INDEX('🔄 Rotação Duplas'!$D$78:$D$87,MATCH(D412,'🔄 Rotação Duplas'!$C$78:$C$87,0)),INDEX('🔄 Rotação Duplas'!$C$78:$C$87,MATCH(D412,'🔄 Rotação Duplas'!$D$78:$D$87,0))),"Semana 7",IFERROR(INDEX('🔄 Rotação Duplas'!$D$92:$D$101,MATCH(D412,'🔄 Rotação Duplas'!$C$92:$C$101,0)),INDEX('🔄 Rotação Duplas'!$C$92:$C$101,MATCH(D412,'🔄 Rotação Duplas'!$D$92:$D$101,0))),"Semana 8",IFERROR(INDEX('🔄 Rotação Duplas'!$D$106:$D$115,MATCH(D412,'🔄 Rotação Duplas'!$C$106:$C$115,0)),INDEX('🔄 Rotação Duplas'!$C$106:$C$115,MATCH(D412,'🔄 Rotação Duplas'!$D$106:$D$115,0)))),""))</f>
        <v/>
      </c>
      <c r="T412">
        <f t="shared" si="35"/>
        <v>0</v>
      </c>
    </row>
    <row r="413" spans="2:20" ht="18" customHeight="1" x14ac:dyDescent="0.2">
      <c r="B413" s="78" t="s">
        <v>109</v>
      </c>
      <c r="C413" s="79" t="str">
        <f t="shared" si="36"/>
        <v>Desafio 21</v>
      </c>
      <c r="D413" s="80" t="str">
        <f>'⚙️ Configuração'!C36</f>
        <v>Alexandra Correia</v>
      </c>
      <c r="E413" s="50">
        <v>0</v>
      </c>
      <c r="F413" s="50">
        <v>0</v>
      </c>
      <c r="G413" s="50">
        <v>0</v>
      </c>
      <c r="H413" s="50">
        <v>0</v>
      </c>
      <c r="I413" s="50">
        <v>0</v>
      </c>
      <c r="J413" s="89">
        <v>0</v>
      </c>
      <c r="K413" s="81">
        <f>(E413*'⚙️ Configuração'!$C$6+F413*'⚙️ Configuração'!$C$7+G413*'⚙️ Configuração'!$C$8+H413*'⚙️ Configuração'!$C$9+I413*'⚙️ Configuração'!$C$10+J413*'⚙️ Configuração'!$C$11)*IF(N413="S",2,1)</f>
        <v>0</v>
      </c>
      <c r="L413" s="90" t="s">
        <v>167</v>
      </c>
      <c r="M413" s="82">
        <f>IF(L413="AT1",'⚙️ Configuração'!$C$14,IF(L413="AT2",'⚙️ Configuração'!$C$15,IF(L413="FI",'⚙️ Configuração'!$C$16,IF(L413="FJ",'⚙️ Configuração'!$C$17,0))))</f>
        <v>0</v>
      </c>
      <c r="N413" s="91" t="s">
        <v>167</v>
      </c>
      <c r="O413" s="92"/>
      <c r="P413" s="83">
        <f>IF(O413="1",'⚙️ Configuração'!$C$21,IF(O413="2",'⚙️ Configuração'!$C$22,IF(O413="3",'⚙️ Configuração'!$C$23,IF(O413="Outro",'⚙️ Configuração'!$C$24,0))))</f>
        <v>0</v>
      </c>
      <c r="Q413" s="84">
        <f t="shared" si="34"/>
        <v>0</v>
      </c>
      <c r="R413" s="40" t="str">
        <f t="shared" si="22"/>
        <v>Semana 1 — ver 🔄</v>
      </c>
      <c r="S413" t="str" cm="1">
        <f t="array" ref="S413">IF(D413="","",IFERROR(_xlfn.SWITCH(B413,"Semana 1",IFERROR(INDEX('🔄 Rotação Duplas'!$D$8:$D$17,MATCH(D413,'🔄 Rotação Duplas'!$C$8:$C$17,0)),INDEX('🔄 Rotação Duplas'!$C$8:$C$17,MATCH(D413,'🔄 Rotação Duplas'!$D$8:$D$17,0))),"Semana 2",IFERROR(INDEX('🔄 Rotação Duplas'!$D$22:$D$31,MATCH(D413,'🔄 Rotação Duplas'!$C$22:$C$31,0)),INDEX('🔄 Rotação Duplas'!$C$22:$C$31,MATCH(D413,'🔄 Rotação Duplas'!$D$22:$D$31,0))),"Semana 3",IFERROR(INDEX('🔄 Rotação Duplas'!$D$36:$D$45,MATCH(D413,'🔄 Rotação Duplas'!$C$36:$C$45,0)),INDEX('🔄 Rotação Duplas'!$C$36:$C$45,MATCH(D413,'🔄 Rotação Duplas'!$D$36:$D$45,0))),"Semana 4",IFERROR(INDEX('🔄 Rotação Duplas'!$D$50:$D$59,MATCH(D413,'🔄 Rotação Duplas'!$C$50:$C$59,0)),INDEX('🔄 Rotação Duplas'!$C$50:$C$59,MATCH(D413,'🔄 Rotação Duplas'!$D$50:$D$59,0))),"Semana 5",IFERROR(INDEX('🔄 Rotação Duplas'!$D$64:$D$73,MATCH(D413,'🔄 Rotação Duplas'!$C$64:$C$73,0)),INDEX('🔄 Rotação Duplas'!$C$64:$C$73,MATCH(D413,'🔄 Rotação Duplas'!$D$64:$D$73,0))),"Semana 6",IFERROR(INDEX('🔄 Rotação Duplas'!$D$78:$D$87,MATCH(D413,'🔄 Rotação Duplas'!$C$78:$C$87,0)),INDEX('🔄 Rotação Duplas'!$C$78:$C$87,MATCH(D413,'🔄 Rotação Duplas'!$D$78:$D$87,0))),"Semana 7",IFERROR(INDEX('🔄 Rotação Duplas'!$D$92:$D$101,MATCH(D413,'🔄 Rotação Duplas'!$C$92:$C$101,0)),INDEX('🔄 Rotação Duplas'!$C$92:$C$101,MATCH(D413,'🔄 Rotação Duplas'!$D$92:$D$101,0))),"Semana 8",IFERROR(INDEX('🔄 Rotação Duplas'!$D$106:$D$115,MATCH(D413,'🔄 Rotação Duplas'!$C$106:$C$115,0)),INDEX('🔄 Rotação Duplas'!$C$106:$C$115,MATCH(D413,'🔄 Rotação Duplas'!$D$106:$D$115,0)))),""))</f>
        <v/>
      </c>
      <c r="T413">
        <f t="shared" si="35"/>
        <v>0</v>
      </c>
    </row>
    <row r="414" spans="2:20" ht="18" customHeight="1" x14ac:dyDescent="0.2">
      <c r="B414" s="85" t="s">
        <v>109</v>
      </c>
      <c r="C414" s="86" t="str">
        <f t="shared" si="36"/>
        <v>Desafio 21</v>
      </c>
      <c r="D414" s="87" t="str">
        <f>'⚙️ Configuração'!C37</f>
        <v>Carla Barata</v>
      </c>
      <c r="E414" s="50">
        <v>0</v>
      </c>
      <c r="F414" s="50">
        <v>0</v>
      </c>
      <c r="G414" s="50">
        <v>0</v>
      </c>
      <c r="H414" s="50">
        <v>0</v>
      </c>
      <c r="I414" s="50">
        <v>0</v>
      </c>
      <c r="J414" s="89">
        <v>0</v>
      </c>
      <c r="K414" s="81">
        <f>(E414*'⚙️ Configuração'!$C$6+F414*'⚙️ Configuração'!$C$7+G414*'⚙️ Configuração'!$C$8+H414*'⚙️ Configuração'!$C$9+I414*'⚙️ Configuração'!$C$10+J414*'⚙️ Configuração'!$C$11)*IF(N414="S",2,1)</f>
        <v>0</v>
      </c>
      <c r="L414" s="90" t="s">
        <v>167</v>
      </c>
      <c r="M414" s="82">
        <f>IF(L414="AT1",'⚙️ Configuração'!$C$14,IF(L414="AT2",'⚙️ Configuração'!$C$15,IF(L414="FI",'⚙️ Configuração'!$C$16,IF(L414="FJ",'⚙️ Configuração'!$C$17,0))))</f>
        <v>0</v>
      </c>
      <c r="N414" s="91" t="s">
        <v>167</v>
      </c>
      <c r="O414" s="92"/>
      <c r="P414" s="83">
        <f>IF(O414="1",'⚙️ Configuração'!$C$21,IF(O414="2",'⚙️ Configuração'!$C$22,IF(O414="3",'⚙️ Configuração'!$C$23,IF(O414="Outro",'⚙️ Configuração'!$C$24,0))))</f>
        <v>0</v>
      </c>
      <c r="Q414" s="84">
        <f t="shared" si="34"/>
        <v>0</v>
      </c>
      <c r="R414" s="40" t="str">
        <f t="shared" si="22"/>
        <v>Semana 1 — ver 🔄</v>
      </c>
      <c r="S414" t="str" cm="1">
        <f t="array" ref="S414">IF(D414="","",IFERROR(_xlfn.SWITCH(B414,"Semana 1",IFERROR(INDEX('🔄 Rotação Duplas'!$D$8:$D$17,MATCH(D414,'🔄 Rotação Duplas'!$C$8:$C$17,0)),INDEX('🔄 Rotação Duplas'!$C$8:$C$17,MATCH(D414,'🔄 Rotação Duplas'!$D$8:$D$17,0))),"Semana 2",IFERROR(INDEX('🔄 Rotação Duplas'!$D$22:$D$31,MATCH(D414,'🔄 Rotação Duplas'!$C$22:$C$31,0)),INDEX('🔄 Rotação Duplas'!$C$22:$C$31,MATCH(D414,'🔄 Rotação Duplas'!$D$22:$D$31,0))),"Semana 3",IFERROR(INDEX('🔄 Rotação Duplas'!$D$36:$D$45,MATCH(D414,'🔄 Rotação Duplas'!$C$36:$C$45,0)),INDEX('🔄 Rotação Duplas'!$C$36:$C$45,MATCH(D414,'🔄 Rotação Duplas'!$D$36:$D$45,0))),"Semana 4",IFERROR(INDEX('🔄 Rotação Duplas'!$D$50:$D$59,MATCH(D414,'🔄 Rotação Duplas'!$C$50:$C$59,0)),INDEX('🔄 Rotação Duplas'!$C$50:$C$59,MATCH(D414,'🔄 Rotação Duplas'!$D$50:$D$59,0))),"Semana 5",IFERROR(INDEX('🔄 Rotação Duplas'!$D$64:$D$73,MATCH(D414,'🔄 Rotação Duplas'!$C$64:$C$73,0)),INDEX('🔄 Rotação Duplas'!$C$64:$C$73,MATCH(D414,'🔄 Rotação Duplas'!$D$64:$D$73,0))),"Semana 6",IFERROR(INDEX('🔄 Rotação Duplas'!$D$78:$D$87,MATCH(D414,'🔄 Rotação Duplas'!$C$78:$C$87,0)),INDEX('🔄 Rotação Duplas'!$C$78:$C$87,MATCH(D414,'🔄 Rotação Duplas'!$D$78:$D$87,0))),"Semana 7",IFERROR(INDEX('🔄 Rotação Duplas'!$D$92:$D$101,MATCH(D414,'🔄 Rotação Duplas'!$C$92:$C$101,0)),INDEX('🔄 Rotação Duplas'!$C$92:$C$101,MATCH(D414,'🔄 Rotação Duplas'!$D$92:$D$101,0))),"Semana 8",IFERROR(INDEX('🔄 Rotação Duplas'!$D$106:$D$115,MATCH(D414,'🔄 Rotação Duplas'!$C$106:$C$115,0)),INDEX('🔄 Rotação Duplas'!$C$106:$C$115,MATCH(D414,'🔄 Rotação Duplas'!$D$106:$D$115,0)))),""))</f>
        <v/>
      </c>
      <c r="T414">
        <f t="shared" si="35"/>
        <v>0</v>
      </c>
    </row>
    <row r="415" spans="2:20" ht="18" customHeight="1" x14ac:dyDescent="0.2">
      <c r="B415" s="78" t="s">
        <v>109</v>
      </c>
      <c r="C415" s="79" t="str">
        <f t="shared" si="36"/>
        <v>Desafio 21</v>
      </c>
      <c r="D415" s="80" t="str">
        <f>'⚙️ Configuração'!C38</f>
        <v>Denise Filipe</v>
      </c>
      <c r="E415" s="50">
        <v>0</v>
      </c>
      <c r="F415" s="50">
        <v>0</v>
      </c>
      <c r="G415" s="50">
        <v>0</v>
      </c>
      <c r="H415" s="50">
        <v>0</v>
      </c>
      <c r="I415" s="50">
        <v>0</v>
      </c>
      <c r="J415" s="89">
        <v>0</v>
      </c>
      <c r="K415" s="81">
        <f>(E415*'⚙️ Configuração'!$C$6+F415*'⚙️ Configuração'!$C$7+G415*'⚙️ Configuração'!$C$8+H415*'⚙️ Configuração'!$C$9+I415*'⚙️ Configuração'!$C$10+J415*'⚙️ Configuração'!$C$11)*IF(N415="S",2,1)</f>
        <v>0</v>
      </c>
      <c r="L415" s="90" t="s">
        <v>167</v>
      </c>
      <c r="M415" s="82">
        <f>IF(L415="AT1",'⚙️ Configuração'!$C$14,IF(L415="AT2",'⚙️ Configuração'!$C$15,IF(L415="FI",'⚙️ Configuração'!$C$16,IF(L415="FJ",'⚙️ Configuração'!$C$17,0))))</f>
        <v>0</v>
      </c>
      <c r="N415" s="91" t="s">
        <v>167</v>
      </c>
      <c r="O415" s="92"/>
      <c r="P415" s="83">
        <f>IF(O415="1",'⚙️ Configuração'!$C$21,IF(O415="2",'⚙️ Configuração'!$C$22,IF(O415="3",'⚙️ Configuração'!$C$23,IF(O415="Outro",'⚙️ Configuração'!$C$24,0))))</f>
        <v>0</v>
      </c>
      <c r="Q415" s="84">
        <f t="shared" si="34"/>
        <v>0</v>
      </c>
      <c r="R415" s="40" t="str">
        <f t="shared" si="22"/>
        <v>Semana 1 — ver 🔄</v>
      </c>
      <c r="S415" t="str" cm="1">
        <f t="array" ref="S415">IF(D415="","",IFERROR(_xlfn.SWITCH(B415,"Semana 1",IFERROR(INDEX('🔄 Rotação Duplas'!$D$8:$D$17,MATCH(D415,'🔄 Rotação Duplas'!$C$8:$C$17,0)),INDEX('🔄 Rotação Duplas'!$C$8:$C$17,MATCH(D415,'🔄 Rotação Duplas'!$D$8:$D$17,0))),"Semana 2",IFERROR(INDEX('🔄 Rotação Duplas'!$D$22:$D$31,MATCH(D415,'🔄 Rotação Duplas'!$C$22:$C$31,0)),INDEX('🔄 Rotação Duplas'!$C$22:$C$31,MATCH(D415,'🔄 Rotação Duplas'!$D$22:$D$31,0))),"Semana 3",IFERROR(INDEX('🔄 Rotação Duplas'!$D$36:$D$45,MATCH(D415,'🔄 Rotação Duplas'!$C$36:$C$45,0)),INDEX('🔄 Rotação Duplas'!$C$36:$C$45,MATCH(D415,'🔄 Rotação Duplas'!$D$36:$D$45,0))),"Semana 4",IFERROR(INDEX('🔄 Rotação Duplas'!$D$50:$D$59,MATCH(D415,'🔄 Rotação Duplas'!$C$50:$C$59,0)),INDEX('🔄 Rotação Duplas'!$C$50:$C$59,MATCH(D415,'🔄 Rotação Duplas'!$D$50:$D$59,0))),"Semana 5",IFERROR(INDEX('🔄 Rotação Duplas'!$D$64:$D$73,MATCH(D415,'🔄 Rotação Duplas'!$C$64:$C$73,0)),INDEX('🔄 Rotação Duplas'!$C$64:$C$73,MATCH(D415,'🔄 Rotação Duplas'!$D$64:$D$73,0))),"Semana 6",IFERROR(INDEX('🔄 Rotação Duplas'!$D$78:$D$87,MATCH(D415,'🔄 Rotação Duplas'!$C$78:$C$87,0)),INDEX('🔄 Rotação Duplas'!$C$78:$C$87,MATCH(D415,'🔄 Rotação Duplas'!$D$78:$D$87,0))),"Semana 7",IFERROR(INDEX('🔄 Rotação Duplas'!$D$92:$D$101,MATCH(D415,'🔄 Rotação Duplas'!$C$92:$C$101,0)),INDEX('🔄 Rotação Duplas'!$C$92:$C$101,MATCH(D415,'🔄 Rotação Duplas'!$D$92:$D$101,0))),"Semana 8",IFERROR(INDEX('🔄 Rotação Duplas'!$D$106:$D$115,MATCH(D415,'🔄 Rotação Duplas'!$C$106:$C$115,0)),INDEX('🔄 Rotação Duplas'!$C$106:$C$115,MATCH(D415,'🔄 Rotação Duplas'!$D$106:$D$115,0)))),""))</f>
        <v/>
      </c>
      <c r="T415">
        <f t="shared" si="35"/>
        <v>0</v>
      </c>
    </row>
    <row r="416" spans="2:20" ht="18" customHeight="1" x14ac:dyDescent="0.2">
      <c r="B416" s="85" t="s">
        <v>109</v>
      </c>
      <c r="C416" s="86" t="str">
        <f t="shared" si="36"/>
        <v>Desafio 21</v>
      </c>
      <c r="D416" s="87" t="str">
        <f>'⚙️ Configuração'!C39</f>
        <v>Fátima Rodriguez</v>
      </c>
      <c r="E416" s="50">
        <v>0</v>
      </c>
      <c r="F416" s="50">
        <v>0</v>
      </c>
      <c r="G416" s="50">
        <v>0</v>
      </c>
      <c r="H416" s="50">
        <v>0</v>
      </c>
      <c r="I416" s="50">
        <v>0</v>
      </c>
      <c r="J416" s="89">
        <v>0</v>
      </c>
      <c r="K416" s="81">
        <f>(E416*'⚙️ Configuração'!$C$6+F416*'⚙️ Configuração'!$C$7+G416*'⚙️ Configuração'!$C$8+H416*'⚙️ Configuração'!$C$9+I416*'⚙️ Configuração'!$C$10+J416*'⚙️ Configuração'!$C$11)*IF(N416="S",2,1)</f>
        <v>0</v>
      </c>
      <c r="L416" s="90" t="s">
        <v>167</v>
      </c>
      <c r="M416" s="82">
        <f>IF(L416="AT1",'⚙️ Configuração'!$C$14,IF(L416="AT2",'⚙️ Configuração'!$C$15,IF(L416="FI",'⚙️ Configuração'!$C$16,IF(L416="FJ",'⚙️ Configuração'!$C$17,0))))</f>
        <v>0</v>
      </c>
      <c r="N416" s="91" t="s">
        <v>167</v>
      </c>
      <c r="O416" s="92"/>
      <c r="P416" s="83">
        <f>IF(O416="1",'⚙️ Configuração'!$C$21,IF(O416="2",'⚙️ Configuração'!$C$22,IF(O416="3",'⚙️ Configuração'!$C$23,IF(O416="Outro",'⚙️ Configuração'!$C$24,0))))</f>
        <v>0</v>
      </c>
      <c r="Q416" s="84">
        <f t="shared" si="34"/>
        <v>0</v>
      </c>
      <c r="R416" s="40" t="str">
        <f t="shared" si="22"/>
        <v>Semana 1 — ver 🔄</v>
      </c>
      <c r="S416" t="str" cm="1">
        <f t="array" ref="S416">IF(D416="","",IFERROR(_xlfn.SWITCH(B416,"Semana 1",IFERROR(INDEX('🔄 Rotação Duplas'!$D$8:$D$17,MATCH(D416,'🔄 Rotação Duplas'!$C$8:$C$17,0)),INDEX('🔄 Rotação Duplas'!$C$8:$C$17,MATCH(D416,'🔄 Rotação Duplas'!$D$8:$D$17,0))),"Semana 2",IFERROR(INDEX('🔄 Rotação Duplas'!$D$22:$D$31,MATCH(D416,'🔄 Rotação Duplas'!$C$22:$C$31,0)),INDEX('🔄 Rotação Duplas'!$C$22:$C$31,MATCH(D416,'🔄 Rotação Duplas'!$D$22:$D$31,0))),"Semana 3",IFERROR(INDEX('🔄 Rotação Duplas'!$D$36:$D$45,MATCH(D416,'🔄 Rotação Duplas'!$C$36:$C$45,0)),INDEX('🔄 Rotação Duplas'!$C$36:$C$45,MATCH(D416,'🔄 Rotação Duplas'!$D$36:$D$45,0))),"Semana 4",IFERROR(INDEX('🔄 Rotação Duplas'!$D$50:$D$59,MATCH(D416,'🔄 Rotação Duplas'!$C$50:$C$59,0)),INDEX('🔄 Rotação Duplas'!$C$50:$C$59,MATCH(D416,'🔄 Rotação Duplas'!$D$50:$D$59,0))),"Semana 5",IFERROR(INDEX('🔄 Rotação Duplas'!$D$64:$D$73,MATCH(D416,'🔄 Rotação Duplas'!$C$64:$C$73,0)),INDEX('🔄 Rotação Duplas'!$C$64:$C$73,MATCH(D416,'🔄 Rotação Duplas'!$D$64:$D$73,0))),"Semana 6",IFERROR(INDEX('🔄 Rotação Duplas'!$D$78:$D$87,MATCH(D416,'🔄 Rotação Duplas'!$C$78:$C$87,0)),INDEX('🔄 Rotação Duplas'!$C$78:$C$87,MATCH(D416,'🔄 Rotação Duplas'!$D$78:$D$87,0))),"Semana 7",IFERROR(INDEX('🔄 Rotação Duplas'!$D$92:$D$101,MATCH(D416,'🔄 Rotação Duplas'!$C$92:$C$101,0)),INDEX('🔄 Rotação Duplas'!$C$92:$C$101,MATCH(D416,'🔄 Rotação Duplas'!$D$92:$D$101,0))),"Semana 8",IFERROR(INDEX('🔄 Rotação Duplas'!$D$106:$D$115,MATCH(D416,'🔄 Rotação Duplas'!$C$106:$C$115,0)),INDEX('🔄 Rotação Duplas'!$C$106:$C$115,MATCH(D416,'🔄 Rotação Duplas'!$D$106:$D$115,0)))),""))</f>
        <v/>
      </c>
      <c r="T416">
        <f t="shared" si="35"/>
        <v>0</v>
      </c>
    </row>
    <row r="417" spans="2:20" ht="18" customHeight="1" x14ac:dyDescent="0.2">
      <c r="B417" s="78" t="s">
        <v>109</v>
      </c>
      <c r="C417" s="79" t="str">
        <f t="shared" si="36"/>
        <v>Desafio 21</v>
      </c>
      <c r="D417" s="80" t="str">
        <f>'⚙️ Configuração'!C40</f>
        <v>Maria João Travassos</v>
      </c>
      <c r="E417" s="50">
        <v>0</v>
      </c>
      <c r="F417" s="50">
        <v>0</v>
      </c>
      <c r="G417" s="50">
        <v>0</v>
      </c>
      <c r="H417" s="50">
        <v>0</v>
      </c>
      <c r="I417" s="50">
        <v>0</v>
      </c>
      <c r="J417" s="89">
        <v>0</v>
      </c>
      <c r="K417" s="81">
        <f>(E417*'⚙️ Configuração'!$C$6+F417*'⚙️ Configuração'!$C$7+G417*'⚙️ Configuração'!$C$8+H417*'⚙️ Configuração'!$C$9+I417*'⚙️ Configuração'!$C$10+J417*'⚙️ Configuração'!$C$11)*IF(N417="S",2,1)</f>
        <v>0</v>
      </c>
      <c r="L417" s="90" t="s">
        <v>167</v>
      </c>
      <c r="M417" s="82">
        <f>IF(L417="AT1",'⚙️ Configuração'!$C$14,IF(L417="AT2",'⚙️ Configuração'!$C$15,IF(L417="FI",'⚙️ Configuração'!$C$16,IF(L417="FJ",'⚙️ Configuração'!$C$17,0))))</f>
        <v>0</v>
      </c>
      <c r="N417" s="91" t="s">
        <v>167</v>
      </c>
      <c r="O417" s="92"/>
      <c r="P417" s="83">
        <f>IF(O417="1",'⚙️ Configuração'!$C$21,IF(O417="2",'⚙️ Configuração'!$C$22,IF(O417="3",'⚙️ Configuração'!$C$23,IF(O417="Outro",'⚙️ Configuração'!$C$24,0))))</f>
        <v>0</v>
      </c>
      <c r="Q417" s="84">
        <f t="shared" si="34"/>
        <v>0</v>
      </c>
      <c r="R417" s="40" t="str">
        <f t="shared" si="22"/>
        <v>Semana 1 — ver 🔄</v>
      </c>
      <c r="S417" t="str" cm="1">
        <f t="array" ref="S417">IF(D417="","",IFERROR(_xlfn.SWITCH(B417,"Semana 1",IFERROR(INDEX('🔄 Rotação Duplas'!$D$8:$D$17,MATCH(D417,'🔄 Rotação Duplas'!$C$8:$C$17,0)),INDEX('🔄 Rotação Duplas'!$C$8:$C$17,MATCH(D417,'🔄 Rotação Duplas'!$D$8:$D$17,0))),"Semana 2",IFERROR(INDEX('🔄 Rotação Duplas'!$D$22:$D$31,MATCH(D417,'🔄 Rotação Duplas'!$C$22:$C$31,0)),INDEX('🔄 Rotação Duplas'!$C$22:$C$31,MATCH(D417,'🔄 Rotação Duplas'!$D$22:$D$31,0))),"Semana 3",IFERROR(INDEX('🔄 Rotação Duplas'!$D$36:$D$45,MATCH(D417,'🔄 Rotação Duplas'!$C$36:$C$45,0)),INDEX('🔄 Rotação Duplas'!$C$36:$C$45,MATCH(D417,'🔄 Rotação Duplas'!$D$36:$D$45,0))),"Semana 4",IFERROR(INDEX('🔄 Rotação Duplas'!$D$50:$D$59,MATCH(D417,'🔄 Rotação Duplas'!$C$50:$C$59,0)),INDEX('🔄 Rotação Duplas'!$C$50:$C$59,MATCH(D417,'🔄 Rotação Duplas'!$D$50:$D$59,0))),"Semana 5",IFERROR(INDEX('🔄 Rotação Duplas'!$D$64:$D$73,MATCH(D417,'🔄 Rotação Duplas'!$C$64:$C$73,0)),INDEX('🔄 Rotação Duplas'!$C$64:$C$73,MATCH(D417,'🔄 Rotação Duplas'!$D$64:$D$73,0))),"Semana 6",IFERROR(INDEX('🔄 Rotação Duplas'!$D$78:$D$87,MATCH(D417,'🔄 Rotação Duplas'!$C$78:$C$87,0)),INDEX('🔄 Rotação Duplas'!$C$78:$C$87,MATCH(D417,'🔄 Rotação Duplas'!$D$78:$D$87,0))),"Semana 7",IFERROR(INDEX('🔄 Rotação Duplas'!$D$92:$D$101,MATCH(D417,'🔄 Rotação Duplas'!$C$92:$C$101,0)),INDEX('🔄 Rotação Duplas'!$C$92:$C$101,MATCH(D417,'🔄 Rotação Duplas'!$D$92:$D$101,0))),"Semana 8",IFERROR(INDEX('🔄 Rotação Duplas'!$D$106:$D$115,MATCH(D417,'🔄 Rotação Duplas'!$C$106:$C$115,0)),INDEX('🔄 Rotação Duplas'!$C$106:$C$115,MATCH(D417,'🔄 Rotação Duplas'!$D$106:$D$115,0)))),""))</f>
        <v/>
      </c>
      <c r="T417">
        <f t="shared" si="35"/>
        <v>0</v>
      </c>
    </row>
    <row r="418" spans="2:20" ht="18" customHeight="1" x14ac:dyDescent="0.2">
      <c r="B418" s="85" t="s">
        <v>109</v>
      </c>
      <c r="C418" s="86" t="str">
        <f t="shared" si="36"/>
        <v>Desafio 21</v>
      </c>
      <c r="D418" s="87" t="str">
        <f>'⚙️ Configuração'!C41</f>
        <v>Marta Torres</v>
      </c>
      <c r="E418" s="50">
        <v>0</v>
      </c>
      <c r="F418" s="50">
        <v>0</v>
      </c>
      <c r="G418" s="50">
        <v>0</v>
      </c>
      <c r="H418" s="50">
        <v>0</v>
      </c>
      <c r="I418" s="50">
        <v>0</v>
      </c>
      <c r="J418" s="89">
        <v>0</v>
      </c>
      <c r="K418" s="81">
        <f>(E418*'⚙️ Configuração'!$C$6+F418*'⚙️ Configuração'!$C$7+G418*'⚙️ Configuração'!$C$8+H418*'⚙️ Configuração'!$C$9+I418*'⚙️ Configuração'!$C$10+J418*'⚙️ Configuração'!$C$11)*IF(N418="S",2,1)</f>
        <v>0</v>
      </c>
      <c r="L418" s="90" t="s">
        <v>167</v>
      </c>
      <c r="M418" s="82">
        <f>IF(L418="AT1",'⚙️ Configuração'!$C$14,IF(L418="AT2",'⚙️ Configuração'!$C$15,IF(L418="FI",'⚙️ Configuração'!$C$16,IF(L418="FJ",'⚙️ Configuração'!$C$17,0))))</f>
        <v>0</v>
      </c>
      <c r="N418" s="91" t="s">
        <v>167</v>
      </c>
      <c r="O418" s="92"/>
      <c r="P418" s="83">
        <f>IF(O418="1",'⚙️ Configuração'!$C$21,IF(O418="2",'⚙️ Configuração'!$C$22,IF(O418="3",'⚙️ Configuração'!$C$23,IF(O418="Outro",'⚙️ Configuração'!$C$24,0))))</f>
        <v>0</v>
      </c>
      <c r="Q418" s="84">
        <f t="shared" si="34"/>
        <v>0</v>
      </c>
      <c r="R418" s="40" t="str">
        <f t="shared" si="22"/>
        <v>Semana 1 — ver 🔄</v>
      </c>
      <c r="S418" t="str" cm="1">
        <f t="array" ref="S418">IF(D418="","",IFERROR(_xlfn.SWITCH(B418,"Semana 1",IFERROR(INDEX('🔄 Rotação Duplas'!$D$8:$D$17,MATCH(D418,'🔄 Rotação Duplas'!$C$8:$C$17,0)),INDEX('🔄 Rotação Duplas'!$C$8:$C$17,MATCH(D418,'🔄 Rotação Duplas'!$D$8:$D$17,0))),"Semana 2",IFERROR(INDEX('🔄 Rotação Duplas'!$D$22:$D$31,MATCH(D418,'🔄 Rotação Duplas'!$C$22:$C$31,0)),INDEX('🔄 Rotação Duplas'!$C$22:$C$31,MATCH(D418,'🔄 Rotação Duplas'!$D$22:$D$31,0))),"Semana 3",IFERROR(INDEX('🔄 Rotação Duplas'!$D$36:$D$45,MATCH(D418,'🔄 Rotação Duplas'!$C$36:$C$45,0)),INDEX('🔄 Rotação Duplas'!$C$36:$C$45,MATCH(D418,'🔄 Rotação Duplas'!$D$36:$D$45,0))),"Semana 4",IFERROR(INDEX('🔄 Rotação Duplas'!$D$50:$D$59,MATCH(D418,'🔄 Rotação Duplas'!$C$50:$C$59,0)),INDEX('🔄 Rotação Duplas'!$C$50:$C$59,MATCH(D418,'🔄 Rotação Duplas'!$D$50:$D$59,0))),"Semana 5",IFERROR(INDEX('🔄 Rotação Duplas'!$D$64:$D$73,MATCH(D418,'🔄 Rotação Duplas'!$C$64:$C$73,0)),INDEX('🔄 Rotação Duplas'!$C$64:$C$73,MATCH(D418,'🔄 Rotação Duplas'!$D$64:$D$73,0))),"Semana 6",IFERROR(INDEX('🔄 Rotação Duplas'!$D$78:$D$87,MATCH(D418,'🔄 Rotação Duplas'!$C$78:$C$87,0)),INDEX('🔄 Rotação Duplas'!$C$78:$C$87,MATCH(D418,'🔄 Rotação Duplas'!$D$78:$D$87,0))),"Semana 7",IFERROR(INDEX('🔄 Rotação Duplas'!$D$92:$D$101,MATCH(D418,'🔄 Rotação Duplas'!$C$92:$C$101,0)),INDEX('🔄 Rotação Duplas'!$C$92:$C$101,MATCH(D418,'🔄 Rotação Duplas'!$D$92:$D$101,0))),"Semana 8",IFERROR(INDEX('🔄 Rotação Duplas'!$D$106:$D$115,MATCH(D418,'🔄 Rotação Duplas'!$C$106:$C$115,0)),INDEX('🔄 Rotação Duplas'!$C$106:$C$115,MATCH(D418,'🔄 Rotação Duplas'!$D$106:$D$115,0)))),""))</f>
        <v/>
      </c>
      <c r="T418">
        <f t="shared" si="35"/>
        <v>0</v>
      </c>
    </row>
    <row r="419" spans="2:20" ht="18" customHeight="1" x14ac:dyDescent="0.2">
      <c r="B419" s="78" t="s">
        <v>109</v>
      </c>
      <c r="C419" s="79" t="str">
        <f t="shared" si="36"/>
        <v>Desafio 21</v>
      </c>
      <c r="D419" s="80" t="str">
        <f>'⚙️ Configuração'!C42</f>
        <v>Patricia Isabel Silva</v>
      </c>
      <c r="E419" s="50">
        <v>0</v>
      </c>
      <c r="F419" s="50">
        <v>0</v>
      </c>
      <c r="G419" s="50">
        <v>0</v>
      </c>
      <c r="H419" s="50">
        <v>0</v>
      </c>
      <c r="I419" s="50">
        <v>0</v>
      </c>
      <c r="J419" s="89">
        <v>0</v>
      </c>
      <c r="K419" s="81">
        <f>(E419*'⚙️ Configuração'!$C$6+F419*'⚙️ Configuração'!$C$7+G419*'⚙️ Configuração'!$C$8+H419*'⚙️ Configuração'!$C$9+I419*'⚙️ Configuração'!$C$10+J419*'⚙️ Configuração'!$C$11)*IF(N419="S",2,1)</f>
        <v>0</v>
      </c>
      <c r="L419" s="90" t="s">
        <v>167</v>
      </c>
      <c r="M419" s="82">
        <f>IF(L419="AT1",'⚙️ Configuração'!$C$14,IF(L419="AT2",'⚙️ Configuração'!$C$15,IF(L419="FI",'⚙️ Configuração'!$C$16,IF(L419="FJ",'⚙️ Configuração'!$C$17,0))))</f>
        <v>0</v>
      </c>
      <c r="N419" s="91" t="s">
        <v>167</v>
      </c>
      <c r="O419" s="92"/>
      <c r="P419" s="83">
        <f>IF(O419="1",'⚙️ Configuração'!$C$21,IF(O419="2",'⚙️ Configuração'!$C$22,IF(O419="3",'⚙️ Configuração'!$C$23,IF(O419="Outro",'⚙️ Configuração'!$C$24,0))))</f>
        <v>0</v>
      </c>
      <c r="Q419" s="84">
        <f t="shared" si="34"/>
        <v>0</v>
      </c>
      <c r="R419" s="40" t="str">
        <f t="shared" si="22"/>
        <v>Semana 1 — ver 🔄</v>
      </c>
      <c r="S419" t="str" cm="1">
        <f t="array" ref="S419">IF(D419="","",IFERROR(_xlfn.SWITCH(B419,"Semana 1",IFERROR(INDEX('🔄 Rotação Duplas'!$D$8:$D$17,MATCH(D419,'🔄 Rotação Duplas'!$C$8:$C$17,0)),INDEX('🔄 Rotação Duplas'!$C$8:$C$17,MATCH(D419,'🔄 Rotação Duplas'!$D$8:$D$17,0))),"Semana 2",IFERROR(INDEX('🔄 Rotação Duplas'!$D$22:$D$31,MATCH(D419,'🔄 Rotação Duplas'!$C$22:$C$31,0)),INDEX('🔄 Rotação Duplas'!$C$22:$C$31,MATCH(D419,'🔄 Rotação Duplas'!$D$22:$D$31,0))),"Semana 3",IFERROR(INDEX('🔄 Rotação Duplas'!$D$36:$D$45,MATCH(D419,'🔄 Rotação Duplas'!$C$36:$C$45,0)),INDEX('🔄 Rotação Duplas'!$C$36:$C$45,MATCH(D419,'🔄 Rotação Duplas'!$D$36:$D$45,0))),"Semana 4",IFERROR(INDEX('🔄 Rotação Duplas'!$D$50:$D$59,MATCH(D419,'🔄 Rotação Duplas'!$C$50:$C$59,0)),INDEX('🔄 Rotação Duplas'!$C$50:$C$59,MATCH(D419,'🔄 Rotação Duplas'!$D$50:$D$59,0))),"Semana 5",IFERROR(INDEX('🔄 Rotação Duplas'!$D$64:$D$73,MATCH(D419,'🔄 Rotação Duplas'!$C$64:$C$73,0)),INDEX('🔄 Rotação Duplas'!$C$64:$C$73,MATCH(D419,'🔄 Rotação Duplas'!$D$64:$D$73,0))),"Semana 6",IFERROR(INDEX('🔄 Rotação Duplas'!$D$78:$D$87,MATCH(D419,'🔄 Rotação Duplas'!$C$78:$C$87,0)),INDEX('🔄 Rotação Duplas'!$C$78:$C$87,MATCH(D419,'🔄 Rotação Duplas'!$D$78:$D$87,0))),"Semana 7",IFERROR(INDEX('🔄 Rotação Duplas'!$D$92:$D$101,MATCH(D419,'🔄 Rotação Duplas'!$C$92:$C$101,0)),INDEX('🔄 Rotação Duplas'!$C$92:$C$101,MATCH(D419,'🔄 Rotação Duplas'!$D$92:$D$101,0))),"Semana 8",IFERROR(INDEX('🔄 Rotação Duplas'!$D$106:$D$115,MATCH(D419,'🔄 Rotação Duplas'!$C$106:$C$115,0)),INDEX('🔄 Rotação Duplas'!$C$106:$C$115,MATCH(D419,'🔄 Rotação Duplas'!$D$106:$D$115,0)))),""))</f>
        <v/>
      </c>
      <c r="T419">
        <f t="shared" si="35"/>
        <v>0</v>
      </c>
    </row>
    <row r="420" spans="2:20" ht="18" customHeight="1" x14ac:dyDescent="0.2">
      <c r="B420" s="85" t="s">
        <v>109</v>
      </c>
      <c r="C420" s="86" t="str">
        <f t="shared" si="36"/>
        <v>Desafio 21</v>
      </c>
      <c r="D420" s="87" t="str">
        <f>'⚙️ Configuração'!C43</f>
        <v>Paula Martins</v>
      </c>
      <c r="E420" s="50">
        <v>0</v>
      </c>
      <c r="F420" s="50">
        <v>0</v>
      </c>
      <c r="G420" s="50">
        <v>0</v>
      </c>
      <c r="H420" s="50">
        <v>0</v>
      </c>
      <c r="I420" s="50">
        <v>0</v>
      </c>
      <c r="J420" s="89">
        <v>0</v>
      </c>
      <c r="K420" s="81">
        <f>(E420*'⚙️ Configuração'!$C$6+F420*'⚙️ Configuração'!$C$7+G420*'⚙️ Configuração'!$C$8+H420*'⚙️ Configuração'!$C$9+I420*'⚙️ Configuração'!$C$10+J420*'⚙️ Configuração'!$C$11)*IF(N420="S",2,1)</f>
        <v>0</v>
      </c>
      <c r="L420" s="90" t="s">
        <v>167</v>
      </c>
      <c r="M420" s="82">
        <f>IF(L420="AT1",'⚙️ Configuração'!$C$14,IF(L420="AT2",'⚙️ Configuração'!$C$15,IF(L420="FI",'⚙️ Configuração'!$C$16,IF(L420="FJ",'⚙️ Configuração'!$C$17,0))))</f>
        <v>0</v>
      </c>
      <c r="N420" s="91" t="s">
        <v>167</v>
      </c>
      <c r="O420" s="92"/>
      <c r="P420" s="83">
        <f>IF(O420="1",'⚙️ Configuração'!$C$21,IF(O420="2",'⚙️ Configuração'!$C$22,IF(O420="3",'⚙️ Configuração'!$C$23,IF(O420="Outro",'⚙️ Configuração'!$C$24,0))))</f>
        <v>0</v>
      </c>
      <c r="Q420" s="84">
        <f t="shared" si="34"/>
        <v>0</v>
      </c>
      <c r="R420" s="40" t="str">
        <f t="shared" si="22"/>
        <v>Semana 1 — ver 🔄</v>
      </c>
      <c r="S420" t="str" cm="1">
        <f t="array" ref="S420">IF(D420="","",IFERROR(_xlfn.SWITCH(B420,"Semana 1",IFERROR(INDEX('🔄 Rotação Duplas'!$D$8:$D$17,MATCH(D420,'🔄 Rotação Duplas'!$C$8:$C$17,0)),INDEX('🔄 Rotação Duplas'!$C$8:$C$17,MATCH(D420,'🔄 Rotação Duplas'!$D$8:$D$17,0))),"Semana 2",IFERROR(INDEX('🔄 Rotação Duplas'!$D$22:$D$31,MATCH(D420,'🔄 Rotação Duplas'!$C$22:$C$31,0)),INDEX('🔄 Rotação Duplas'!$C$22:$C$31,MATCH(D420,'🔄 Rotação Duplas'!$D$22:$D$31,0))),"Semana 3",IFERROR(INDEX('🔄 Rotação Duplas'!$D$36:$D$45,MATCH(D420,'🔄 Rotação Duplas'!$C$36:$C$45,0)),INDEX('🔄 Rotação Duplas'!$C$36:$C$45,MATCH(D420,'🔄 Rotação Duplas'!$D$36:$D$45,0))),"Semana 4",IFERROR(INDEX('🔄 Rotação Duplas'!$D$50:$D$59,MATCH(D420,'🔄 Rotação Duplas'!$C$50:$C$59,0)),INDEX('🔄 Rotação Duplas'!$C$50:$C$59,MATCH(D420,'🔄 Rotação Duplas'!$D$50:$D$59,0))),"Semana 5",IFERROR(INDEX('🔄 Rotação Duplas'!$D$64:$D$73,MATCH(D420,'🔄 Rotação Duplas'!$C$64:$C$73,0)),INDEX('🔄 Rotação Duplas'!$C$64:$C$73,MATCH(D420,'🔄 Rotação Duplas'!$D$64:$D$73,0))),"Semana 6",IFERROR(INDEX('🔄 Rotação Duplas'!$D$78:$D$87,MATCH(D420,'🔄 Rotação Duplas'!$C$78:$C$87,0)),INDEX('🔄 Rotação Duplas'!$C$78:$C$87,MATCH(D420,'🔄 Rotação Duplas'!$D$78:$D$87,0))),"Semana 7",IFERROR(INDEX('🔄 Rotação Duplas'!$D$92:$D$101,MATCH(D420,'🔄 Rotação Duplas'!$C$92:$C$101,0)),INDEX('🔄 Rotação Duplas'!$C$92:$C$101,MATCH(D420,'🔄 Rotação Duplas'!$D$92:$D$101,0))),"Semana 8",IFERROR(INDEX('🔄 Rotação Duplas'!$D$106:$D$115,MATCH(D420,'🔄 Rotação Duplas'!$C$106:$C$115,0)),INDEX('🔄 Rotação Duplas'!$C$106:$C$115,MATCH(D420,'🔄 Rotação Duplas'!$D$106:$D$115,0)))),""))</f>
        <v/>
      </c>
      <c r="T420">
        <f t="shared" si="35"/>
        <v>0</v>
      </c>
    </row>
    <row r="421" spans="2:20" ht="18" customHeight="1" x14ac:dyDescent="0.2">
      <c r="B421" s="78" t="s">
        <v>109</v>
      </c>
      <c r="C421" s="79" t="str">
        <f t="shared" si="36"/>
        <v>Desafio 21</v>
      </c>
      <c r="D421" s="80" t="str">
        <f>'⚙️ Configuração'!C44</f>
        <v>Paula Miabara</v>
      </c>
      <c r="E421" s="50">
        <v>0</v>
      </c>
      <c r="F421" s="50">
        <v>0</v>
      </c>
      <c r="G421" s="50">
        <v>0</v>
      </c>
      <c r="H421" s="50">
        <v>0</v>
      </c>
      <c r="I421" s="50">
        <v>0</v>
      </c>
      <c r="J421" s="89">
        <v>0</v>
      </c>
      <c r="K421" s="81">
        <f>(E421*'⚙️ Configuração'!$C$6+F421*'⚙️ Configuração'!$C$7+G421*'⚙️ Configuração'!$C$8+H421*'⚙️ Configuração'!$C$9+I421*'⚙️ Configuração'!$C$10+J421*'⚙️ Configuração'!$C$11)*IF(N421="S",2,1)</f>
        <v>0</v>
      </c>
      <c r="L421" s="90" t="s">
        <v>167</v>
      </c>
      <c r="M421" s="82">
        <f>IF(L421="AT1",'⚙️ Configuração'!$C$14,IF(L421="AT2",'⚙️ Configuração'!$C$15,IF(L421="FI",'⚙️ Configuração'!$C$16,IF(L421="FJ",'⚙️ Configuração'!$C$17,0))))</f>
        <v>0</v>
      </c>
      <c r="N421" s="91" t="s">
        <v>167</v>
      </c>
      <c r="O421" s="92"/>
      <c r="P421" s="83">
        <f>IF(O421="1",'⚙️ Configuração'!$C$21,IF(O421="2",'⚙️ Configuração'!$C$22,IF(O421="3",'⚙️ Configuração'!$C$23,IF(O421="Outro",'⚙️ Configuração'!$C$24,0))))</f>
        <v>0</v>
      </c>
      <c r="Q421" s="84">
        <f t="shared" si="34"/>
        <v>0</v>
      </c>
      <c r="R421" s="40" t="str">
        <f t="shared" si="22"/>
        <v>Semana 1 — ver 🔄</v>
      </c>
      <c r="S421" t="str" cm="1">
        <f t="array" ref="S421">IF(D421="","",IFERROR(_xlfn.SWITCH(B421,"Semana 1",IFERROR(INDEX('🔄 Rotação Duplas'!$D$8:$D$17,MATCH(D421,'🔄 Rotação Duplas'!$C$8:$C$17,0)),INDEX('🔄 Rotação Duplas'!$C$8:$C$17,MATCH(D421,'🔄 Rotação Duplas'!$D$8:$D$17,0))),"Semana 2",IFERROR(INDEX('🔄 Rotação Duplas'!$D$22:$D$31,MATCH(D421,'🔄 Rotação Duplas'!$C$22:$C$31,0)),INDEX('🔄 Rotação Duplas'!$C$22:$C$31,MATCH(D421,'🔄 Rotação Duplas'!$D$22:$D$31,0))),"Semana 3",IFERROR(INDEX('🔄 Rotação Duplas'!$D$36:$D$45,MATCH(D421,'🔄 Rotação Duplas'!$C$36:$C$45,0)),INDEX('🔄 Rotação Duplas'!$C$36:$C$45,MATCH(D421,'🔄 Rotação Duplas'!$D$36:$D$45,0))),"Semana 4",IFERROR(INDEX('🔄 Rotação Duplas'!$D$50:$D$59,MATCH(D421,'🔄 Rotação Duplas'!$C$50:$C$59,0)),INDEX('🔄 Rotação Duplas'!$C$50:$C$59,MATCH(D421,'🔄 Rotação Duplas'!$D$50:$D$59,0))),"Semana 5",IFERROR(INDEX('🔄 Rotação Duplas'!$D$64:$D$73,MATCH(D421,'🔄 Rotação Duplas'!$C$64:$C$73,0)),INDEX('🔄 Rotação Duplas'!$C$64:$C$73,MATCH(D421,'🔄 Rotação Duplas'!$D$64:$D$73,0))),"Semana 6",IFERROR(INDEX('🔄 Rotação Duplas'!$D$78:$D$87,MATCH(D421,'🔄 Rotação Duplas'!$C$78:$C$87,0)),INDEX('🔄 Rotação Duplas'!$C$78:$C$87,MATCH(D421,'🔄 Rotação Duplas'!$D$78:$D$87,0))),"Semana 7",IFERROR(INDEX('🔄 Rotação Duplas'!$D$92:$D$101,MATCH(D421,'🔄 Rotação Duplas'!$C$92:$C$101,0)),INDEX('🔄 Rotação Duplas'!$C$92:$C$101,MATCH(D421,'🔄 Rotação Duplas'!$D$92:$D$101,0))),"Semana 8",IFERROR(INDEX('🔄 Rotação Duplas'!$D$106:$D$115,MATCH(D421,'🔄 Rotação Duplas'!$C$106:$C$115,0)),INDEX('🔄 Rotação Duplas'!$C$106:$C$115,MATCH(D421,'🔄 Rotação Duplas'!$D$106:$D$115,0)))),""))</f>
        <v/>
      </c>
      <c r="T421">
        <f t="shared" si="35"/>
        <v>0</v>
      </c>
    </row>
    <row r="422" spans="2:20" ht="18" customHeight="1" x14ac:dyDescent="0.2">
      <c r="B422" s="85" t="s">
        <v>109</v>
      </c>
      <c r="C422" s="86" t="str">
        <f t="shared" si="36"/>
        <v>Desafio 21</v>
      </c>
      <c r="D422" s="87" t="str">
        <f>'⚙️ Configuração'!C45</f>
        <v>Rita Carmo</v>
      </c>
      <c r="E422" s="50">
        <v>0</v>
      </c>
      <c r="F422" s="50">
        <v>0</v>
      </c>
      <c r="G422" s="50">
        <v>0</v>
      </c>
      <c r="H422" s="50">
        <v>0</v>
      </c>
      <c r="I422" s="50">
        <v>0</v>
      </c>
      <c r="J422" s="89">
        <v>0</v>
      </c>
      <c r="K422" s="81">
        <f>(E422*'⚙️ Configuração'!$C$6+F422*'⚙️ Configuração'!$C$7+G422*'⚙️ Configuração'!$C$8+H422*'⚙️ Configuração'!$C$9+I422*'⚙️ Configuração'!$C$10+J422*'⚙️ Configuração'!$C$11)*IF(N422="S",2,1)</f>
        <v>0</v>
      </c>
      <c r="L422" s="90" t="s">
        <v>167</v>
      </c>
      <c r="M422" s="82">
        <f>IF(L422="AT1",'⚙️ Configuração'!$C$14,IF(L422="AT2",'⚙️ Configuração'!$C$15,IF(L422="FI",'⚙️ Configuração'!$C$16,IF(L422="FJ",'⚙️ Configuração'!$C$17,0))))</f>
        <v>0</v>
      </c>
      <c r="N422" s="91" t="s">
        <v>167</v>
      </c>
      <c r="O422" s="92"/>
      <c r="P422" s="83">
        <f>IF(O422="1",'⚙️ Configuração'!$C$21,IF(O422="2",'⚙️ Configuração'!$C$22,IF(O422="3",'⚙️ Configuração'!$C$23,IF(O422="Outro",'⚙️ Configuração'!$C$24,0))))</f>
        <v>0</v>
      </c>
      <c r="Q422" s="84">
        <f t="shared" si="34"/>
        <v>0</v>
      </c>
      <c r="R422" s="40" t="str">
        <f t="shared" si="22"/>
        <v>Semana 1 — ver 🔄</v>
      </c>
      <c r="S422" t="str" cm="1">
        <f t="array" ref="S422">IF(D422="","",IFERROR(_xlfn.SWITCH(B422,"Semana 1",IFERROR(INDEX('🔄 Rotação Duplas'!$D$8:$D$17,MATCH(D422,'🔄 Rotação Duplas'!$C$8:$C$17,0)),INDEX('🔄 Rotação Duplas'!$C$8:$C$17,MATCH(D422,'🔄 Rotação Duplas'!$D$8:$D$17,0))),"Semana 2",IFERROR(INDEX('🔄 Rotação Duplas'!$D$22:$D$31,MATCH(D422,'🔄 Rotação Duplas'!$C$22:$C$31,0)),INDEX('🔄 Rotação Duplas'!$C$22:$C$31,MATCH(D422,'🔄 Rotação Duplas'!$D$22:$D$31,0))),"Semana 3",IFERROR(INDEX('🔄 Rotação Duplas'!$D$36:$D$45,MATCH(D422,'🔄 Rotação Duplas'!$C$36:$C$45,0)),INDEX('🔄 Rotação Duplas'!$C$36:$C$45,MATCH(D422,'🔄 Rotação Duplas'!$D$36:$D$45,0))),"Semana 4",IFERROR(INDEX('🔄 Rotação Duplas'!$D$50:$D$59,MATCH(D422,'🔄 Rotação Duplas'!$C$50:$C$59,0)),INDEX('🔄 Rotação Duplas'!$C$50:$C$59,MATCH(D422,'🔄 Rotação Duplas'!$D$50:$D$59,0))),"Semana 5",IFERROR(INDEX('🔄 Rotação Duplas'!$D$64:$D$73,MATCH(D422,'🔄 Rotação Duplas'!$C$64:$C$73,0)),INDEX('🔄 Rotação Duplas'!$C$64:$C$73,MATCH(D422,'🔄 Rotação Duplas'!$D$64:$D$73,0))),"Semana 6",IFERROR(INDEX('🔄 Rotação Duplas'!$D$78:$D$87,MATCH(D422,'🔄 Rotação Duplas'!$C$78:$C$87,0)),INDEX('🔄 Rotação Duplas'!$C$78:$C$87,MATCH(D422,'🔄 Rotação Duplas'!$D$78:$D$87,0))),"Semana 7",IFERROR(INDEX('🔄 Rotação Duplas'!$D$92:$D$101,MATCH(D422,'🔄 Rotação Duplas'!$C$92:$C$101,0)),INDEX('🔄 Rotação Duplas'!$C$92:$C$101,MATCH(D422,'🔄 Rotação Duplas'!$D$92:$D$101,0))),"Semana 8",IFERROR(INDEX('🔄 Rotação Duplas'!$D$106:$D$115,MATCH(D422,'🔄 Rotação Duplas'!$C$106:$C$115,0)),INDEX('🔄 Rotação Duplas'!$C$106:$C$115,MATCH(D422,'🔄 Rotação Duplas'!$D$106:$D$115,0)))),""))</f>
        <v/>
      </c>
      <c r="T422">
        <f t="shared" si="35"/>
        <v>0</v>
      </c>
    </row>
    <row r="423" spans="2:20" ht="18" customHeight="1" x14ac:dyDescent="0.2">
      <c r="B423" s="78" t="s">
        <v>109</v>
      </c>
      <c r="C423" s="79" t="str">
        <f t="shared" si="36"/>
        <v>Desafio 21</v>
      </c>
      <c r="D423" s="80" t="str">
        <f>'⚙️ Configuração'!C46</f>
        <v>William Fernandes</v>
      </c>
      <c r="E423" s="50">
        <v>0</v>
      </c>
      <c r="F423" s="50">
        <v>0</v>
      </c>
      <c r="G423" s="50">
        <v>0</v>
      </c>
      <c r="H423" s="50">
        <v>0</v>
      </c>
      <c r="I423" s="50">
        <v>0</v>
      </c>
      <c r="J423" s="89">
        <v>0</v>
      </c>
      <c r="K423" s="81">
        <f>(E423*'⚙️ Configuração'!$C$6+F423*'⚙️ Configuração'!$C$7+G423*'⚙️ Configuração'!$C$8+H423*'⚙️ Configuração'!$C$9+I423*'⚙️ Configuração'!$C$10+J423*'⚙️ Configuração'!$C$11)*IF(N423="S",2,1)</f>
        <v>0</v>
      </c>
      <c r="L423" s="90" t="s">
        <v>167</v>
      </c>
      <c r="M423" s="82">
        <f>IF(L423="AT1",'⚙️ Configuração'!$C$14,IF(L423="AT2",'⚙️ Configuração'!$C$15,IF(L423="FI",'⚙️ Configuração'!$C$16,IF(L423="FJ",'⚙️ Configuração'!$C$17,0))))</f>
        <v>0</v>
      </c>
      <c r="N423" s="91" t="s">
        <v>167</v>
      </c>
      <c r="O423" s="92"/>
      <c r="P423" s="83">
        <f>IF(O423="1",'⚙️ Configuração'!$C$21,IF(O423="2",'⚙️ Configuração'!$C$22,IF(O423="3",'⚙️ Configuração'!$C$23,IF(O423="Outro",'⚙️ Configuração'!$C$24,0))))</f>
        <v>0</v>
      </c>
      <c r="Q423" s="84">
        <f t="shared" si="34"/>
        <v>0</v>
      </c>
      <c r="R423" s="40" t="str">
        <f t="shared" si="22"/>
        <v>Semana 1 — ver 🔄</v>
      </c>
      <c r="S423" t="str" cm="1">
        <f t="array" ref="S423">IF(D423="","",IFERROR(_xlfn.SWITCH(B423,"Semana 1",IFERROR(INDEX('🔄 Rotação Duplas'!$D$8:$D$17,MATCH(D423,'🔄 Rotação Duplas'!$C$8:$C$17,0)),INDEX('🔄 Rotação Duplas'!$C$8:$C$17,MATCH(D423,'🔄 Rotação Duplas'!$D$8:$D$17,0))),"Semana 2",IFERROR(INDEX('🔄 Rotação Duplas'!$D$22:$D$31,MATCH(D423,'🔄 Rotação Duplas'!$C$22:$C$31,0)),INDEX('🔄 Rotação Duplas'!$C$22:$C$31,MATCH(D423,'🔄 Rotação Duplas'!$D$22:$D$31,0))),"Semana 3",IFERROR(INDEX('🔄 Rotação Duplas'!$D$36:$D$45,MATCH(D423,'🔄 Rotação Duplas'!$C$36:$C$45,0)),INDEX('🔄 Rotação Duplas'!$C$36:$C$45,MATCH(D423,'🔄 Rotação Duplas'!$D$36:$D$45,0))),"Semana 4",IFERROR(INDEX('🔄 Rotação Duplas'!$D$50:$D$59,MATCH(D423,'🔄 Rotação Duplas'!$C$50:$C$59,0)),INDEX('🔄 Rotação Duplas'!$C$50:$C$59,MATCH(D423,'🔄 Rotação Duplas'!$D$50:$D$59,0))),"Semana 5",IFERROR(INDEX('🔄 Rotação Duplas'!$D$64:$D$73,MATCH(D423,'🔄 Rotação Duplas'!$C$64:$C$73,0)),INDEX('🔄 Rotação Duplas'!$C$64:$C$73,MATCH(D423,'🔄 Rotação Duplas'!$D$64:$D$73,0))),"Semana 6",IFERROR(INDEX('🔄 Rotação Duplas'!$D$78:$D$87,MATCH(D423,'🔄 Rotação Duplas'!$C$78:$C$87,0)),INDEX('🔄 Rotação Duplas'!$C$78:$C$87,MATCH(D423,'🔄 Rotação Duplas'!$D$78:$D$87,0))),"Semana 7",IFERROR(INDEX('🔄 Rotação Duplas'!$D$92:$D$101,MATCH(D423,'🔄 Rotação Duplas'!$C$92:$C$101,0)),INDEX('🔄 Rotação Duplas'!$C$92:$C$101,MATCH(D423,'🔄 Rotação Duplas'!$D$92:$D$101,0))),"Semana 8",IFERROR(INDEX('🔄 Rotação Duplas'!$D$106:$D$115,MATCH(D423,'🔄 Rotação Duplas'!$C$106:$C$115,0)),INDEX('🔄 Rotação Duplas'!$C$106:$C$115,MATCH(D423,'🔄 Rotação Duplas'!$D$106:$D$115,0)))),""))</f>
        <v/>
      </c>
      <c r="T423">
        <f t="shared" si="35"/>
        <v>0</v>
      </c>
    </row>
    <row r="424" spans="2:20" ht="18" customHeight="1" x14ac:dyDescent="0.2">
      <c r="B424" s="85" t="s">
        <v>109</v>
      </c>
      <c r="C424" s="86" t="str">
        <f t="shared" si="36"/>
        <v>Desafio 21</v>
      </c>
      <c r="D424" s="87" t="str">
        <f>'⚙️ Configuração'!C47</f>
        <v>-</v>
      </c>
      <c r="E424" s="50">
        <v>0</v>
      </c>
      <c r="F424" s="50">
        <v>0</v>
      </c>
      <c r="G424" s="50">
        <v>0</v>
      </c>
      <c r="H424" s="50">
        <v>0</v>
      </c>
      <c r="I424" s="50">
        <v>0</v>
      </c>
      <c r="J424" s="89">
        <v>0</v>
      </c>
      <c r="K424" s="81">
        <f>(E424*'⚙️ Configuração'!$C$6+F424*'⚙️ Configuração'!$C$7+G424*'⚙️ Configuração'!$C$8+H424*'⚙️ Configuração'!$C$9+I424*'⚙️ Configuração'!$C$10+J424*'⚙️ Configuração'!$C$11)*IF(N424="S",2,1)</f>
        <v>0</v>
      </c>
      <c r="L424" s="90" t="s">
        <v>167</v>
      </c>
      <c r="M424" s="82">
        <f>IF(L424="AT1",'⚙️ Configuração'!$C$14,IF(L424="AT2",'⚙️ Configuração'!$C$15,IF(L424="FI",'⚙️ Configuração'!$C$16,IF(L424="FJ",'⚙️ Configuração'!$C$17,0))))</f>
        <v>0</v>
      </c>
      <c r="N424" s="91" t="s">
        <v>167</v>
      </c>
      <c r="O424" s="92"/>
      <c r="P424" s="83">
        <f>IF(O424="1",'⚙️ Configuração'!$C$21,IF(O424="2",'⚙️ Configuração'!$C$22,IF(O424="3",'⚙️ Configuração'!$C$23,IF(O424="Outro",'⚙️ Configuração'!$C$24,0))))</f>
        <v>0</v>
      </c>
      <c r="Q424" s="84">
        <f t="shared" si="34"/>
        <v>0</v>
      </c>
      <c r="R424" s="40" t="str">
        <f t="shared" si="22"/>
        <v>Semana 1 — ver 🔄</v>
      </c>
      <c r="S424" t="str" cm="1">
        <f t="array" ref="S424">IF(D424="","",IFERROR(_xlfn.SWITCH(B424,"Semana 1",IFERROR(INDEX('🔄 Rotação Duplas'!$D$8:$D$17,MATCH(D424,'🔄 Rotação Duplas'!$C$8:$C$17,0)),INDEX('🔄 Rotação Duplas'!$C$8:$C$17,MATCH(D424,'🔄 Rotação Duplas'!$D$8:$D$17,0))),"Semana 2",IFERROR(INDEX('🔄 Rotação Duplas'!$D$22:$D$31,MATCH(D424,'🔄 Rotação Duplas'!$C$22:$C$31,0)),INDEX('🔄 Rotação Duplas'!$C$22:$C$31,MATCH(D424,'🔄 Rotação Duplas'!$D$22:$D$31,0))),"Semana 3",IFERROR(INDEX('🔄 Rotação Duplas'!$D$36:$D$45,MATCH(D424,'🔄 Rotação Duplas'!$C$36:$C$45,0)),INDEX('🔄 Rotação Duplas'!$C$36:$C$45,MATCH(D424,'🔄 Rotação Duplas'!$D$36:$D$45,0))),"Semana 4",IFERROR(INDEX('🔄 Rotação Duplas'!$D$50:$D$59,MATCH(D424,'🔄 Rotação Duplas'!$C$50:$C$59,0)),INDEX('🔄 Rotação Duplas'!$C$50:$C$59,MATCH(D424,'🔄 Rotação Duplas'!$D$50:$D$59,0))),"Semana 5",IFERROR(INDEX('🔄 Rotação Duplas'!$D$64:$D$73,MATCH(D424,'🔄 Rotação Duplas'!$C$64:$C$73,0)),INDEX('🔄 Rotação Duplas'!$C$64:$C$73,MATCH(D424,'🔄 Rotação Duplas'!$D$64:$D$73,0))),"Semana 6",IFERROR(INDEX('🔄 Rotação Duplas'!$D$78:$D$87,MATCH(D424,'🔄 Rotação Duplas'!$C$78:$C$87,0)),INDEX('🔄 Rotação Duplas'!$C$78:$C$87,MATCH(D424,'🔄 Rotação Duplas'!$D$78:$D$87,0))),"Semana 7",IFERROR(INDEX('🔄 Rotação Duplas'!$D$92:$D$101,MATCH(D424,'🔄 Rotação Duplas'!$C$92:$C$101,0)),INDEX('🔄 Rotação Duplas'!$C$92:$C$101,MATCH(D424,'🔄 Rotação Duplas'!$D$92:$D$101,0))),"Semana 8",IFERROR(INDEX('🔄 Rotação Duplas'!$D$106:$D$115,MATCH(D424,'🔄 Rotação Duplas'!$C$106:$C$115,0)),INDEX('🔄 Rotação Duplas'!$C$106:$C$115,MATCH(D424,'🔄 Rotação Duplas'!$D$106:$D$115,0)))),""))</f>
        <v/>
      </c>
      <c r="T424">
        <f t="shared" si="35"/>
        <v>0</v>
      </c>
    </row>
    <row r="425" spans="2:20" ht="18" customHeight="1" x14ac:dyDescent="0.2">
      <c r="B425" s="78" t="s">
        <v>109</v>
      </c>
      <c r="C425" s="79" t="str">
        <f t="shared" si="36"/>
        <v>Desafio 21</v>
      </c>
      <c r="D425" s="80" t="str">
        <f>'⚙️ Configuração'!C48</f>
        <v>-</v>
      </c>
      <c r="E425" s="50">
        <v>0</v>
      </c>
      <c r="F425" s="50">
        <v>0</v>
      </c>
      <c r="G425" s="50">
        <v>0</v>
      </c>
      <c r="H425" s="50">
        <v>0</v>
      </c>
      <c r="I425" s="50">
        <v>0</v>
      </c>
      <c r="J425" s="89">
        <v>0</v>
      </c>
      <c r="K425" s="81">
        <f>(E425*'⚙️ Configuração'!$C$6+F425*'⚙️ Configuração'!$C$7+G425*'⚙️ Configuração'!$C$8+H425*'⚙️ Configuração'!$C$9+I425*'⚙️ Configuração'!$C$10+J425*'⚙️ Configuração'!$C$11)*IF(N425="S",2,1)</f>
        <v>0</v>
      </c>
      <c r="L425" s="90" t="s">
        <v>167</v>
      </c>
      <c r="M425" s="82">
        <f>IF(L425="AT1",'⚙️ Configuração'!$C$14,IF(L425="AT2",'⚙️ Configuração'!$C$15,IF(L425="FI",'⚙️ Configuração'!$C$16,IF(L425="FJ",'⚙️ Configuração'!$C$17,0))))</f>
        <v>0</v>
      </c>
      <c r="N425" s="91" t="s">
        <v>167</v>
      </c>
      <c r="O425" s="92"/>
      <c r="P425" s="83">
        <f>IF(O425="1",'⚙️ Configuração'!$C$21,IF(O425="2",'⚙️ Configuração'!$C$22,IF(O425="3",'⚙️ Configuração'!$C$23,IF(O425="Outro",'⚙️ Configuração'!$C$24,0))))</f>
        <v>0</v>
      </c>
      <c r="Q425" s="84">
        <f t="shared" si="34"/>
        <v>0</v>
      </c>
      <c r="R425" s="40" t="str">
        <f t="shared" si="22"/>
        <v>Semana 1 — ver 🔄</v>
      </c>
      <c r="S425" t="str" cm="1">
        <f t="array" ref="S425">IF(D425="","",IFERROR(_xlfn.SWITCH(B425,"Semana 1",IFERROR(INDEX('🔄 Rotação Duplas'!$D$8:$D$17,MATCH(D425,'🔄 Rotação Duplas'!$C$8:$C$17,0)),INDEX('🔄 Rotação Duplas'!$C$8:$C$17,MATCH(D425,'🔄 Rotação Duplas'!$D$8:$D$17,0))),"Semana 2",IFERROR(INDEX('🔄 Rotação Duplas'!$D$22:$D$31,MATCH(D425,'🔄 Rotação Duplas'!$C$22:$C$31,0)),INDEX('🔄 Rotação Duplas'!$C$22:$C$31,MATCH(D425,'🔄 Rotação Duplas'!$D$22:$D$31,0))),"Semana 3",IFERROR(INDEX('🔄 Rotação Duplas'!$D$36:$D$45,MATCH(D425,'🔄 Rotação Duplas'!$C$36:$C$45,0)),INDEX('🔄 Rotação Duplas'!$C$36:$C$45,MATCH(D425,'🔄 Rotação Duplas'!$D$36:$D$45,0))),"Semana 4",IFERROR(INDEX('🔄 Rotação Duplas'!$D$50:$D$59,MATCH(D425,'🔄 Rotação Duplas'!$C$50:$C$59,0)),INDEX('🔄 Rotação Duplas'!$C$50:$C$59,MATCH(D425,'🔄 Rotação Duplas'!$D$50:$D$59,0))),"Semana 5",IFERROR(INDEX('🔄 Rotação Duplas'!$D$64:$D$73,MATCH(D425,'🔄 Rotação Duplas'!$C$64:$C$73,0)),INDEX('🔄 Rotação Duplas'!$C$64:$C$73,MATCH(D425,'🔄 Rotação Duplas'!$D$64:$D$73,0))),"Semana 6",IFERROR(INDEX('🔄 Rotação Duplas'!$D$78:$D$87,MATCH(D425,'🔄 Rotação Duplas'!$C$78:$C$87,0)),INDEX('🔄 Rotação Duplas'!$C$78:$C$87,MATCH(D425,'🔄 Rotação Duplas'!$D$78:$D$87,0))),"Semana 7",IFERROR(INDEX('🔄 Rotação Duplas'!$D$92:$D$101,MATCH(D425,'🔄 Rotação Duplas'!$C$92:$C$101,0)),INDEX('🔄 Rotação Duplas'!$C$92:$C$101,MATCH(D425,'🔄 Rotação Duplas'!$D$92:$D$101,0))),"Semana 8",IFERROR(INDEX('🔄 Rotação Duplas'!$D$106:$D$115,MATCH(D425,'🔄 Rotação Duplas'!$C$106:$C$115,0)),INDEX('🔄 Rotação Duplas'!$C$106:$C$115,MATCH(D425,'🔄 Rotação Duplas'!$D$106:$D$115,0)))),""))</f>
        <v/>
      </c>
      <c r="T425">
        <f t="shared" si="35"/>
        <v>0</v>
      </c>
    </row>
    <row r="426" spans="2:20" ht="18" customHeight="1" x14ac:dyDescent="0.2">
      <c r="B426" s="85" t="s">
        <v>109</v>
      </c>
      <c r="C426" s="86" t="str">
        <f t="shared" si="36"/>
        <v>Desafio 21</v>
      </c>
      <c r="D426" s="87" t="str">
        <f>'⚙️ Configuração'!C49</f>
        <v>-</v>
      </c>
      <c r="E426" s="50">
        <v>0</v>
      </c>
      <c r="F426" s="50">
        <v>0</v>
      </c>
      <c r="G426" s="50">
        <v>0</v>
      </c>
      <c r="H426" s="50">
        <v>0</v>
      </c>
      <c r="I426" s="50">
        <v>0</v>
      </c>
      <c r="J426" s="89">
        <v>0</v>
      </c>
      <c r="K426" s="81">
        <f>(E426*'⚙️ Configuração'!$C$6+F426*'⚙️ Configuração'!$C$7+G426*'⚙️ Configuração'!$C$8+H426*'⚙️ Configuração'!$C$9+I426*'⚙️ Configuração'!$C$10+J426*'⚙️ Configuração'!$C$11)*IF(N426="S",2,1)</f>
        <v>0</v>
      </c>
      <c r="L426" s="90" t="s">
        <v>167</v>
      </c>
      <c r="M426" s="82">
        <f>IF(L426="AT1",'⚙️ Configuração'!$C$14,IF(L426="AT2",'⚙️ Configuração'!$C$15,IF(L426="FI",'⚙️ Configuração'!$C$16,IF(L426="FJ",'⚙️ Configuração'!$C$17,0))))</f>
        <v>0</v>
      </c>
      <c r="N426" s="91" t="s">
        <v>167</v>
      </c>
      <c r="O426" s="92"/>
      <c r="P426" s="83">
        <f>IF(O426="1",'⚙️ Configuração'!$C$21,IF(O426="2",'⚙️ Configuração'!$C$22,IF(O426="3",'⚙️ Configuração'!$C$23,IF(O426="Outro",'⚙️ Configuração'!$C$24,0))))</f>
        <v>0</v>
      </c>
      <c r="Q426" s="84">
        <f t="shared" si="34"/>
        <v>0</v>
      </c>
      <c r="R426" s="40" t="str">
        <f t="shared" si="22"/>
        <v>Semana 1 — ver 🔄</v>
      </c>
      <c r="S426" t="str" cm="1">
        <f t="array" ref="S426">IF(D426="","",IFERROR(_xlfn.SWITCH(B426,"Semana 1",IFERROR(INDEX('🔄 Rotação Duplas'!$D$8:$D$17,MATCH(D426,'🔄 Rotação Duplas'!$C$8:$C$17,0)),INDEX('🔄 Rotação Duplas'!$C$8:$C$17,MATCH(D426,'🔄 Rotação Duplas'!$D$8:$D$17,0))),"Semana 2",IFERROR(INDEX('🔄 Rotação Duplas'!$D$22:$D$31,MATCH(D426,'🔄 Rotação Duplas'!$C$22:$C$31,0)),INDEX('🔄 Rotação Duplas'!$C$22:$C$31,MATCH(D426,'🔄 Rotação Duplas'!$D$22:$D$31,0))),"Semana 3",IFERROR(INDEX('🔄 Rotação Duplas'!$D$36:$D$45,MATCH(D426,'🔄 Rotação Duplas'!$C$36:$C$45,0)),INDEX('🔄 Rotação Duplas'!$C$36:$C$45,MATCH(D426,'🔄 Rotação Duplas'!$D$36:$D$45,0))),"Semana 4",IFERROR(INDEX('🔄 Rotação Duplas'!$D$50:$D$59,MATCH(D426,'🔄 Rotação Duplas'!$C$50:$C$59,0)),INDEX('🔄 Rotação Duplas'!$C$50:$C$59,MATCH(D426,'🔄 Rotação Duplas'!$D$50:$D$59,0))),"Semana 5",IFERROR(INDEX('🔄 Rotação Duplas'!$D$64:$D$73,MATCH(D426,'🔄 Rotação Duplas'!$C$64:$C$73,0)),INDEX('🔄 Rotação Duplas'!$C$64:$C$73,MATCH(D426,'🔄 Rotação Duplas'!$D$64:$D$73,0))),"Semana 6",IFERROR(INDEX('🔄 Rotação Duplas'!$D$78:$D$87,MATCH(D426,'🔄 Rotação Duplas'!$C$78:$C$87,0)),INDEX('🔄 Rotação Duplas'!$C$78:$C$87,MATCH(D426,'🔄 Rotação Duplas'!$D$78:$D$87,0))),"Semana 7",IFERROR(INDEX('🔄 Rotação Duplas'!$D$92:$D$101,MATCH(D426,'🔄 Rotação Duplas'!$C$92:$C$101,0)),INDEX('🔄 Rotação Duplas'!$C$92:$C$101,MATCH(D426,'🔄 Rotação Duplas'!$D$92:$D$101,0))),"Semana 8",IFERROR(INDEX('🔄 Rotação Duplas'!$D$106:$D$115,MATCH(D426,'🔄 Rotação Duplas'!$C$106:$C$115,0)),INDEX('🔄 Rotação Duplas'!$C$106:$C$115,MATCH(D426,'🔄 Rotação Duplas'!$D$106:$D$115,0)))),""))</f>
        <v/>
      </c>
      <c r="T426">
        <f t="shared" si="35"/>
        <v>0</v>
      </c>
    </row>
    <row r="427" spans="2:20" ht="18" customHeight="1" x14ac:dyDescent="0.2">
      <c r="B427" s="78" t="s">
        <v>109</v>
      </c>
      <c r="C427" s="79" t="str">
        <f t="shared" ref="C427:C446" si="37">"Desafio 22"</f>
        <v>Desafio 22</v>
      </c>
      <c r="D427" s="80" t="str">
        <f>'⚙️ Configuração'!C30</f>
        <v>Carla Cantante</v>
      </c>
      <c r="E427" s="50">
        <v>0</v>
      </c>
      <c r="F427" s="50">
        <v>0</v>
      </c>
      <c r="G427" s="50">
        <v>0</v>
      </c>
      <c r="H427" s="50">
        <v>0</v>
      </c>
      <c r="I427" s="50">
        <v>0</v>
      </c>
      <c r="J427" s="89">
        <v>0</v>
      </c>
      <c r="K427" s="81">
        <f>(E427*'⚙️ Configuração'!$C$6+F427*'⚙️ Configuração'!$C$7+G427*'⚙️ Configuração'!$C$8+H427*'⚙️ Configuração'!$C$9+I427*'⚙️ Configuração'!$C$10+J427*'⚙️ Configuração'!$C$11)*IF(N427="S",2,1)</f>
        <v>0</v>
      </c>
      <c r="L427" s="90" t="s">
        <v>167</v>
      </c>
      <c r="M427" s="82">
        <f>IF(L427="AT1",'⚙️ Configuração'!$C$14,IF(L427="AT2",'⚙️ Configuração'!$C$15,IF(L427="FI",'⚙️ Configuração'!$C$16,IF(L427="FJ",'⚙️ Configuração'!$C$17,0))))</f>
        <v>0</v>
      </c>
      <c r="N427" s="91" t="s">
        <v>167</v>
      </c>
      <c r="O427" s="92"/>
      <c r="P427" s="83">
        <f>IF(O427="1",'⚙️ Configuração'!$C$21,IF(O427="2",'⚙️ Configuração'!$C$22,IF(O427="3",'⚙️ Configuração'!$C$23,IF(O427="Outro",'⚙️ Configuração'!$C$24,0))))</f>
        <v>0</v>
      </c>
      <c r="Q427" s="84">
        <f t="shared" si="34"/>
        <v>0</v>
      </c>
      <c r="R427" s="40" t="str">
        <f t="shared" si="22"/>
        <v>Semana 1 — ver 🔄</v>
      </c>
      <c r="S427" t="str" cm="1">
        <f t="array" ref="S427">IF(D427="","",IFERROR(_xlfn.SWITCH(B427,"Semana 1",IFERROR(INDEX('🔄 Rotação Duplas'!$D$8:$D$17,MATCH(D427,'🔄 Rotação Duplas'!$C$8:$C$17,0)),INDEX('🔄 Rotação Duplas'!$C$8:$C$17,MATCH(D427,'🔄 Rotação Duplas'!$D$8:$D$17,0))),"Semana 2",IFERROR(INDEX('🔄 Rotação Duplas'!$D$22:$D$31,MATCH(D427,'🔄 Rotação Duplas'!$C$22:$C$31,0)),INDEX('🔄 Rotação Duplas'!$C$22:$C$31,MATCH(D427,'🔄 Rotação Duplas'!$D$22:$D$31,0))),"Semana 3",IFERROR(INDEX('🔄 Rotação Duplas'!$D$36:$D$45,MATCH(D427,'🔄 Rotação Duplas'!$C$36:$C$45,0)),INDEX('🔄 Rotação Duplas'!$C$36:$C$45,MATCH(D427,'🔄 Rotação Duplas'!$D$36:$D$45,0))),"Semana 4",IFERROR(INDEX('🔄 Rotação Duplas'!$D$50:$D$59,MATCH(D427,'🔄 Rotação Duplas'!$C$50:$C$59,0)),INDEX('🔄 Rotação Duplas'!$C$50:$C$59,MATCH(D427,'🔄 Rotação Duplas'!$D$50:$D$59,0))),"Semana 5",IFERROR(INDEX('🔄 Rotação Duplas'!$D$64:$D$73,MATCH(D427,'🔄 Rotação Duplas'!$C$64:$C$73,0)),INDEX('🔄 Rotação Duplas'!$C$64:$C$73,MATCH(D427,'🔄 Rotação Duplas'!$D$64:$D$73,0))),"Semana 6",IFERROR(INDEX('🔄 Rotação Duplas'!$D$78:$D$87,MATCH(D427,'🔄 Rotação Duplas'!$C$78:$C$87,0)),INDEX('🔄 Rotação Duplas'!$C$78:$C$87,MATCH(D427,'🔄 Rotação Duplas'!$D$78:$D$87,0))),"Semana 7",IFERROR(INDEX('🔄 Rotação Duplas'!$D$92:$D$101,MATCH(D427,'🔄 Rotação Duplas'!$C$92:$C$101,0)),INDEX('🔄 Rotação Duplas'!$C$92:$C$101,MATCH(D427,'🔄 Rotação Duplas'!$D$92:$D$101,0))),"Semana 8",IFERROR(INDEX('🔄 Rotação Duplas'!$D$106:$D$115,MATCH(D427,'🔄 Rotação Duplas'!$C$106:$C$115,0)),INDEX('🔄 Rotação Duplas'!$C$106:$C$115,MATCH(D427,'🔄 Rotação Duplas'!$D$106:$D$115,0)))),""))</f>
        <v/>
      </c>
      <c r="T427">
        <f t="shared" si="35"/>
        <v>0</v>
      </c>
    </row>
    <row r="428" spans="2:20" ht="18" customHeight="1" x14ac:dyDescent="0.2">
      <c r="B428" s="85" t="s">
        <v>109</v>
      </c>
      <c r="C428" s="86" t="str">
        <f t="shared" si="37"/>
        <v>Desafio 22</v>
      </c>
      <c r="D428" s="87" t="str">
        <f>'⚙️ Configuração'!C31</f>
        <v>Elisabete Mendes</v>
      </c>
      <c r="E428" s="50">
        <v>0</v>
      </c>
      <c r="F428" s="50">
        <v>0</v>
      </c>
      <c r="G428" s="50">
        <v>0</v>
      </c>
      <c r="H428" s="50">
        <v>0</v>
      </c>
      <c r="I428" s="50">
        <v>0</v>
      </c>
      <c r="J428" s="89">
        <v>0</v>
      </c>
      <c r="K428" s="81">
        <f>(E428*'⚙️ Configuração'!$C$6+F428*'⚙️ Configuração'!$C$7+G428*'⚙️ Configuração'!$C$8+H428*'⚙️ Configuração'!$C$9+I428*'⚙️ Configuração'!$C$10+J428*'⚙️ Configuração'!$C$11)*IF(N428="S",2,1)</f>
        <v>0</v>
      </c>
      <c r="L428" s="90" t="s">
        <v>167</v>
      </c>
      <c r="M428" s="82">
        <f>IF(L428="AT1",'⚙️ Configuração'!$C$14,IF(L428="AT2",'⚙️ Configuração'!$C$15,IF(L428="FI",'⚙️ Configuração'!$C$16,IF(L428="FJ",'⚙️ Configuração'!$C$17,0))))</f>
        <v>0</v>
      </c>
      <c r="N428" s="91" t="s">
        <v>167</v>
      </c>
      <c r="O428" s="92"/>
      <c r="P428" s="83">
        <f>IF(O428="1",'⚙️ Configuração'!$C$21,IF(O428="2",'⚙️ Configuração'!$C$22,IF(O428="3",'⚙️ Configuração'!$C$23,IF(O428="Outro",'⚙️ Configuração'!$C$24,0))))</f>
        <v>0</v>
      </c>
      <c r="Q428" s="84">
        <f t="shared" si="34"/>
        <v>0</v>
      </c>
      <c r="R428" s="40" t="str">
        <f t="shared" si="22"/>
        <v>Semana 1 — ver 🔄</v>
      </c>
      <c r="S428" t="str" cm="1">
        <f t="array" ref="S428">IF(D428="","",IFERROR(_xlfn.SWITCH(B428,"Semana 1",IFERROR(INDEX('🔄 Rotação Duplas'!$D$8:$D$17,MATCH(D428,'🔄 Rotação Duplas'!$C$8:$C$17,0)),INDEX('🔄 Rotação Duplas'!$C$8:$C$17,MATCH(D428,'🔄 Rotação Duplas'!$D$8:$D$17,0))),"Semana 2",IFERROR(INDEX('🔄 Rotação Duplas'!$D$22:$D$31,MATCH(D428,'🔄 Rotação Duplas'!$C$22:$C$31,0)),INDEX('🔄 Rotação Duplas'!$C$22:$C$31,MATCH(D428,'🔄 Rotação Duplas'!$D$22:$D$31,0))),"Semana 3",IFERROR(INDEX('🔄 Rotação Duplas'!$D$36:$D$45,MATCH(D428,'🔄 Rotação Duplas'!$C$36:$C$45,0)),INDEX('🔄 Rotação Duplas'!$C$36:$C$45,MATCH(D428,'🔄 Rotação Duplas'!$D$36:$D$45,0))),"Semana 4",IFERROR(INDEX('🔄 Rotação Duplas'!$D$50:$D$59,MATCH(D428,'🔄 Rotação Duplas'!$C$50:$C$59,0)),INDEX('🔄 Rotação Duplas'!$C$50:$C$59,MATCH(D428,'🔄 Rotação Duplas'!$D$50:$D$59,0))),"Semana 5",IFERROR(INDEX('🔄 Rotação Duplas'!$D$64:$D$73,MATCH(D428,'🔄 Rotação Duplas'!$C$64:$C$73,0)),INDEX('🔄 Rotação Duplas'!$C$64:$C$73,MATCH(D428,'🔄 Rotação Duplas'!$D$64:$D$73,0))),"Semana 6",IFERROR(INDEX('🔄 Rotação Duplas'!$D$78:$D$87,MATCH(D428,'🔄 Rotação Duplas'!$C$78:$C$87,0)),INDEX('🔄 Rotação Duplas'!$C$78:$C$87,MATCH(D428,'🔄 Rotação Duplas'!$D$78:$D$87,0))),"Semana 7",IFERROR(INDEX('🔄 Rotação Duplas'!$D$92:$D$101,MATCH(D428,'🔄 Rotação Duplas'!$C$92:$C$101,0)),INDEX('🔄 Rotação Duplas'!$C$92:$C$101,MATCH(D428,'🔄 Rotação Duplas'!$D$92:$D$101,0))),"Semana 8",IFERROR(INDEX('🔄 Rotação Duplas'!$D$106:$D$115,MATCH(D428,'🔄 Rotação Duplas'!$C$106:$C$115,0)),INDEX('🔄 Rotação Duplas'!$C$106:$C$115,MATCH(D428,'🔄 Rotação Duplas'!$D$106:$D$115,0)))),""))</f>
        <v/>
      </c>
      <c r="T428">
        <f t="shared" si="35"/>
        <v>0</v>
      </c>
    </row>
    <row r="429" spans="2:20" ht="18" customHeight="1" x14ac:dyDescent="0.2">
      <c r="B429" s="78" t="s">
        <v>109</v>
      </c>
      <c r="C429" s="79" t="str">
        <f t="shared" si="37"/>
        <v>Desafio 22</v>
      </c>
      <c r="D429" s="80" t="str">
        <f>'⚙️ Configuração'!C32</f>
        <v>Filipa Cunha</v>
      </c>
      <c r="E429" s="50">
        <v>0</v>
      </c>
      <c r="F429" s="50">
        <v>0</v>
      </c>
      <c r="G429" s="50">
        <v>0</v>
      </c>
      <c r="H429" s="50">
        <v>0</v>
      </c>
      <c r="I429" s="50">
        <v>0</v>
      </c>
      <c r="J429" s="89">
        <v>0</v>
      </c>
      <c r="K429" s="81">
        <f>(E429*'⚙️ Configuração'!$C$6+F429*'⚙️ Configuração'!$C$7+G429*'⚙️ Configuração'!$C$8+H429*'⚙️ Configuração'!$C$9+I429*'⚙️ Configuração'!$C$10+J429*'⚙️ Configuração'!$C$11)*IF(N429="S",2,1)</f>
        <v>0</v>
      </c>
      <c r="L429" s="90" t="s">
        <v>167</v>
      </c>
      <c r="M429" s="82">
        <f>IF(L429="AT1",'⚙️ Configuração'!$C$14,IF(L429="AT2",'⚙️ Configuração'!$C$15,IF(L429="FI",'⚙️ Configuração'!$C$16,IF(L429="FJ",'⚙️ Configuração'!$C$17,0))))</f>
        <v>0</v>
      </c>
      <c r="N429" s="91" t="s">
        <v>167</v>
      </c>
      <c r="O429" s="92"/>
      <c r="P429" s="83">
        <f>IF(O429="1",'⚙️ Configuração'!$C$21,IF(O429="2",'⚙️ Configuração'!$C$22,IF(O429="3",'⚙️ Configuração'!$C$23,IF(O429="Outro",'⚙️ Configuração'!$C$24,0))))</f>
        <v>0</v>
      </c>
      <c r="Q429" s="84">
        <f t="shared" si="34"/>
        <v>0</v>
      </c>
      <c r="R429" s="40" t="str">
        <f t="shared" si="22"/>
        <v>Semana 1 — ver 🔄</v>
      </c>
      <c r="S429" t="str" cm="1">
        <f t="array" ref="S429">IF(D429="","",IFERROR(_xlfn.SWITCH(B429,"Semana 1",IFERROR(INDEX('🔄 Rotação Duplas'!$D$8:$D$17,MATCH(D429,'🔄 Rotação Duplas'!$C$8:$C$17,0)),INDEX('🔄 Rotação Duplas'!$C$8:$C$17,MATCH(D429,'🔄 Rotação Duplas'!$D$8:$D$17,0))),"Semana 2",IFERROR(INDEX('🔄 Rotação Duplas'!$D$22:$D$31,MATCH(D429,'🔄 Rotação Duplas'!$C$22:$C$31,0)),INDEX('🔄 Rotação Duplas'!$C$22:$C$31,MATCH(D429,'🔄 Rotação Duplas'!$D$22:$D$31,0))),"Semana 3",IFERROR(INDEX('🔄 Rotação Duplas'!$D$36:$D$45,MATCH(D429,'🔄 Rotação Duplas'!$C$36:$C$45,0)),INDEX('🔄 Rotação Duplas'!$C$36:$C$45,MATCH(D429,'🔄 Rotação Duplas'!$D$36:$D$45,0))),"Semana 4",IFERROR(INDEX('🔄 Rotação Duplas'!$D$50:$D$59,MATCH(D429,'🔄 Rotação Duplas'!$C$50:$C$59,0)),INDEX('🔄 Rotação Duplas'!$C$50:$C$59,MATCH(D429,'🔄 Rotação Duplas'!$D$50:$D$59,0))),"Semana 5",IFERROR(INDEX('🔄 Rotação Duplas'!$D$64:$D$73,MATCH(D429,'🔄 Rotação Duplas'!$C$64:$C$73,0)),INDEX('🔄 Rotação Duplas'!$C$64:$C$73,MATCH(D429,'🔄 Rotação Duplas'!$D$64:$D$73,0))),"Semana 6",IFERROR(INDEX('🔄 Rotação Duplas'!$D$78:$D$87,MATCH(D429,'🔄 Rotação Duplas'!$C$78:$C$87,0)),INDEX('🔄 Rotação Duplas'!$C$78:$C$87,MATCH(D429,'🔄 Rotação Duplas'!$D$78:$D$87,0))),"Semana 7",IFERROR(INDEX('🔄 Rotação Duplas'!$D$92:$D$101,MATCH(D429,'🔄 Rotação Duplas'!$C$92:$C$101,0)),INDEX('🔄 Rotação Duplas'!$C$92:$C$101,MATCH(D429,'🔄 Rotação Duplas'!$D$92:$D$101,0))),"Semana 8",IFERROR(INDEX('🔄 Rotação Duplas'!$D$106:$D$115,MATCH(D429,'🔄 Rotação Duplas'!$C$106:$C$115,0)),INDEX('🔄 Rotação Duplas'!$C$106:$C$115,MATCH(D429,'🔄 Rotação Duplas'!$D$106:$D$115,0)))),""))</f>
        <v/>
      </c>
      <c r="T429">
        <f t="shared" si="35"/>
        <v>0</v>
      </c>
    </row>
    <row r="430" spans="2:20" ht="18" customHeight="1" x14ac:dyDescent="0.2">
      <c r="B430" s="85" t="s">
        <v>109</v>
      </c>
      <c r="C430" s="86" t="str">
        <f t="shared" si="37"/>
        <v>Desafio 22</v>
      </c>
      <c r="D430" s="87" t="str">
        <f>'⚙️ Configuração'!C33</f>
        <v>Helena Rocha</v>
      </c>
      <c r="E430" s="50">
        <v>0</v>
      </c>
      <c r="F430" s="50">
        <v>0</v>
      </c>
      <c r="G430" s="50">
        <v>0</v>
      </c>
      <c r="H430" s="50">
        <v>0</v>
      </c>
      <c r="I430" s="50">
        <v>0</v>
      </c>
      <c r="J430" s="89">
        <v>0</v>
      </c>
      <c r="K430" s="81">
        <f>(E430*'⚙️ Configuração'!$C$6+F430*'⚙️ Configuração'!$C$7+G430*'⚙️ Configuração'!$C$8+H430*'⚙️ Configuração'!$C$9+I430*'⚙️ Configuração'!$C$10+J430*'⚙️ Configuração'!$C$11)*IF(N430="S",2,1)</f>
        <v>0</v>
      </c>
      <c r="L430" s="90" t="s">
        <v>167</v>
      </c>
      <c r="M430" s="82">
        <f>IF(L430="AT1",'⚙️ Configuração'!$C$14,IF(L430="AT2",'⚙️ Configuração'!$C$15,IF(L430="FI",'⚙️ Configuração'!$C$16,IF(L430="FJ",'⚙️ Configuração'!$C$17,0))))</f>
        <v>0</v>
      </c>
      <c r="N430" s="91" t="s">
        <v>167</v>
      </c>
      <c r="O430" s="92"/>
      <c r="P430" s="83">
        <f>IF(O430="1",'⚙️ Configuração'!$C$21,IF(O430="2",'⚙️ Configuração'!$C$22,IF(O430="3",'⚙️ Configuração'!$C$23,IF(O430="Outro",'⚙️ Configuração'!$C$24,0))))</f>
        <v>0</v>
      </c>
      <c r="Q430" s="84">
        <f t="shared" si="34"/>
        <v>0</v>
      </c>
      <c r="R430" s="40" t="str">
        <f t="shared" si="22"/>
        <v>Semana 1 — ver 🔄</v>
      </c>
      <c r="S430" t="str" cm="1">
        <f t="array" ref="S430">IF(D430="","",IFERROR(_xlfn.SWITCH(B430,"Semana 1",IFERROR(INDEX('🔄 Rotação Duplas'!$D$8:$D$17,MATCH(D430,'🔄 Rotação Duplas'!$C$8:$C$17,0)),INDEX('🔄 Rotação Duplas'!$C$8:$C$17,MATCH(D430,'🔄 Rotação Duplas'!$D$8:$D$17,0))),"Semana 2",IFERROR(INDEX('🔄 Rotação Duplas'!$D$22:$D$31,MATCH(D430,'🔄 Rotação Duplas'!$C$22:$C$31,0)),INDEX('🔄 Rotação Duplas'!$C$22:$C$31,MATCH(D430,'🔄 Rotação Duplas'!$D$22:$D$31,0))),"Semana 3",IFERROR(INDEX('🔄 Rotação Duplas'!$D$36:$D$45,MATCH(D430,'🔄 Rotação Duplas'!$C$36:$C$45,0)),INDEX('🔄 Rotação Duplas'!$C$36:$C$45,MATCH(D430,'🔄 Rotação Duplas'!$D$36:$D$45,0))),"Semana 4",IFERROR(INDEX('🔄 Rotação Duplas'!$D$50:$D$59,MATCH(D430,'🔄 Rotação Duplas'!$C$50:$C$59,0)),INDEX('🔄 Rotação Duplas'!$C$50:$C$59,MATCH(D430,'🔄 Rotação Duplas'!$D$50:$D$59,0))),"Semana 5",IFERROR(INDEX('🔄 Rotação Duplas'!$D$64:$D$73,MATCH(D430,'🔄 Rotação Duplas'!$C$64:$C$73,0)),INDEX('🔄 Rotação Duplas'!$C$64:$C$73,MATCH(D430,'🔄 Rotação Duplas'!$D$64:$D$73,0))),"Semana 6",IFERROR(INDEX('🔄 Rotação Duplas'!$D$78:$D$87,MATCH(D430,'🔄 Rotação Duplas'!$C$78:$C$87,0)),INDEX('🔄 Rotação Duplas'!$C$78:$C$87,MATCH(D430,'🔄 Rotação Duplas'!$D$78:$D$87,0))),"Semana 7",IFERROR(INDEX('🔄 Rotação Duplas'!$D$92:$D$101,MATCH(D430,'🔄 Rotação Duplas'!$C$92:$C$101,0)),INDEX('🔄 Rotação Duplas'!$C$92:$C$101,MATCH(D430,'🔄 Rotação Duplas'!$D$92:$D$101,0))),"Semana 8",IFERROR(INDEX('🔄 Rotação Duplas'!$D$106:$D$115,MATCH(D430,'🔄 Rotação Duplas'!$C$106:$C$115,0)),INDEX('🔄 Rotação Duplas'!$C$106:$C$115,MATCH(D430,'🔄 Rotação Duplas'!$D$106:$D$115,0)))),""))</f>
        <v/>
      </c>
      <c r="T430">
        <f t="shared" si="35"/>
        <v>0</v>
      </c>
    </row>
    <row r="431" spans="2:20" ht="18" customHeight="1" x14ac:dyDescent="0.2">
      <c r="B431" s="78" t="s">
        <v>109</v>
      </c>
      <c r="C431" s="79" t="str">
        <f t="shared" si="37"/>
        <v>Desafio 22</v>
      </c>
      <c r="D431" s="80" t="str">
        <f>'⚙️ Configuração'!C34</f>
        <v>João Xavier</v>
      </c>
      <c r="E431" s="50">
        <v>0</v>
      </c>
      <c r="F431" s="50">
        <v>0</v>
      </c>
      <c r="G431" s="50">
        <v>0</v>
      </c>
      <c r="H431" s="50">
        <v>0</v>
      </c>
      <c r="I431" s="50">
        <v>0</v>
      </c>
      <c r="J431" s="89">
        <v>0</v>
      </c>
      <c r="K431" s="81">
        <f>(E431*'⚙️ Configuração'!$C$6+F431*'⚙️ Configuração'!$C$7+G431*'⚙️ Configuração'!$C$8+H431*'⚙️ Configuração'!$C$9+I431*'⚙️ Configuração'!$C$10+J431*'⚙️ Configuração'!$C$11)*IF(N431="S",2,1)</f>
        <v>0</v>
      </c>
      <c r="L431" s="90" t="s">
        <v>167</v>
      </c>
      <c r="M431" s="82">
        <f>IF(L431="AT1",'⚙️ Configuração'!$C$14,IF(L431="AT2",'⚙️ Configuração'!$C$15,IF(L431="FI",'⚙️ Configuração'!$C$16,IF(L431="FJ",'⚙️ Configuração'!$C$17,0))))</f>
        <v>0</v>
      </c>
      <c r="N431" s="91" t="s">
        <v>167</v>
      </c>
      <c r="O431" s="92"/>
      <c r="P431" s="83">
        <f>IF(O431="1",'⚙️ Configuração'!$C$21,IF(O431="2",'⚙️ Configuração'!$C$22,IF(O431="3",'⚙️ Configuração'!$C$23,IF(O431="Outro",'⚙️ Configuração'!$C$24,0))))</f>
        <v>0</v>
      </c>
      <c r="Q431" s="84">
        <f t="shared" si="34"/>
        <v>0</v>
      </c>
      <c r="R431" s="40" t="str">
        <f t="shared" si="22"/>
        <v>Semana 1 — ver 🔄</v>
      </c>
      <c r="S431" t="str" cm="1">
        <f t="array" ref="S431">IF(D431="","",IFERROR(_xlfn.SWITCH(B431,"Semana 1",IFERROR(INDEX('🔄 Rotação Duplas'!$D$8:$D$17,MATCH(D431,'🔄 Rotação Duplas'!$C$8:$C$17,0)),INDEX('🔄 Rotação Duplas'!$C$8:$C$17,MATCH(D431,'🔄 Rotação Duplas'!$D$8:$D$17,0))),"Semana 2",IFERROR(INDEX('🔄 Rotação Duplas'!$D$22:$D$31,MATCH(D431,'🔄 Rotação Duplas'!$C$22:$C$31,0)),INDEX('🔄 Rotação Duplas'!$C$22:$C$31,MATCH(D431,'🔄 Rotação Duplas'!$D$22:$D$31,0))),"Semana 3",IFERROR(INDEX('🔄 Rotação Duplas'!$D$36:$D$45,MATCH(D431,'🔄 Rotação Duplas'!$C$36:$C$45,0)),INDEX('🔄 Rotação Duplas'!$C$36:$C$45,MATCH(D431,'🔄 Rotação Duplas'!$D$36:$D$45,0))),"Semana 4",IFERROR(INDEX('🔄 Rotação Duplas'!$D$50:$D$59,MATCH(D431,'🔄 Rotação Duplas'!$C$50:$C$59,0)),INDEX('🔄 Rotação Duplas'!$C$50:$C$59,MATCH(D431,'🔄 Rotação Duplas'!$D$50:$D$59,0))),"Semana 5",IFERROR(INDEX('🔄 Rotação Duplas'!$D$64:$D$73,MATCH(D431,'🔄 Rotação Duplas'!$C$64:$C$73,0)),INDEX('🔄 Rotação Duplas'!$C$64:$C$73,MATCH(D431,'🔄 Rotação Duplas'!$D$64:$D$73,0))),"Semana 6",IFERROR(INDEX('🔄 Rotação Duplas'!$D$78:$D$87,MATCH(D431,'🔄 Rotação Duplas'!$C$78:$C$87,0)),INDEX('🔄 Rotação Duplas'!$C$78:$C$87,MATCH(D431,'🔄 Rotação Duplas'!$D$78:$D$87,0))),"Semana 7",IFERROR(INDEX('🔄 Rotação Duplas'!$D$92:$D$101,MATCH(D431,'🔄 Rotação Duplas'!$C$92:$C$101,0)),INDEX('🔄 Rotação Duplas'!$C$92:$C$101,MATCH(D431,'🔄 Rotação Duplas'!$D$92:$D$101,0))),"Semana 8",IFERROR(INDEX('🔄 Rotação Duplas'!$D$106:$D$115,MATCH(D431,'🔄 Rotação Duplas'!$C$106:$C$115,0)),INDEX('🔄 Rotação Duplas'!$C$106:$C$115,MATCH(D431,'🔄 Rotação Duplas'!$D$106:$D$115,0)))),""))</f>
        <v/>
      </c>
      <c r="T431">
        <f t="shared" si="35"/>
        <v>0</v>
      </c>
    </row>
    <row r="432" spans="2:20" ht="18" customHeight="1" x14ac:dyDescent="0.2">
      <c r="B432" s="85" t="s">
        <v>109</v>
      </c>
      <c r="C432" s="86" t="str">
        <f t="shared" si="37"/>
        <v>Desafio 22</v>
      </c>
      <c r="D432" s="87" t="str">
        <f>'⚙️ Configuração'!C35</f>
        <v>Tomás Carlos</v>
      </c>
      <c r="E432" s="50">
        <v>0</v>
      </c>
      <c r="F432" s="50">
        <v>0</v>
      </c>
      <c r="G432" s="50">
        <v>0</v>
      </c>
      <c r="H432" s="50">
        <v>0</v>
      </c>
      <c r="I432" s="50">
        <v>0</v>
      </c>
      <c r="J432" s="89">
        <v>0</v>
      </c>
      <c r="K432" s="81">
        <f>(E432*'⚙️ Configuração'!$C$6+F432*'⚙️ Configuração'!$C$7+G432*'⚙️ Configuração'!$C$8+H432*'⚙️ Configuração'!$C$9+I432*'⚙️ Configuração'!$C$10+J432*'⚙️ Configuração'!$C$11)*IF(N432="S",2,1)</f>
        <v>0</v>
      </c>
      <c r="L432" s="90" t="s">
        <v>167</v>
      </c>
      <c r="M432" s="82">
        <f>IF(L432="AT1",'⚙️ Configuração'!$C$14,IF(L432="AT2",'⚙️ Configuração'!$C$15,IF(L432="FI",'⚙️ Configuração'!$C$16,IF(L432="FJ",'⚙️ Configuração'!$C$17,0))))</f>
        <v>0</v>
      </c>
      <c r="N432" s="91" t="s">
        <v>167</v>
      </c>
      <c r="O432" s="92"/>
      <c r="P432" s="83">
        <f>IF(O432="1",'⚙️ Configuração'!$C$21,IF(O432="2",'⚙️ Configuração'!$C$22,IF(O432="3",'⚙️ Configuração'!$C$23,IF(O432="Outro",'⚙️ Configuração'!$C$24,0))))</f>
        <v>0</v>
      </c>
      <c r="Q432" s="84">
        <f t="shared" si="34"/>
        <v>0</v>
      </c>
      <c r="R432" s="40" t="str">
        <f t="shared" si="22"/>
        <v>Semana 1 — ver 🔄</v>
      </c>
      <c r="S432" t="str" cm="1">
        <f t="array" ref="S432">IF(D432="","",IFERROR(_xlfn.SWITCH(B432,"Semana 1",IFERROR(INDEX('🔄 Rotação Duplas'!$D$8:$D$17,MATCH(D432,'🔄 Rotação Duplas'!$C$8:$C$17,0)),INDEX('🔄 Rotação Duplas'!$C$8:$C$17,MATCH(D432,'🔄 Rotação Duplas'!$D$8:$D$17,0))),"Semana 2",IFERROR(INDEX('🔄 Rotação Duplas'!$D$22:$D$31,MATCH(D432,'🔄 Rotação Duplas'!$C$22:$C$31,0)),INDEX('🔄 Rotação Duplas'!$C$22:$C$31,MATCH(D432,'🔄 Rotação Duplas'!$D$22:$D$31,0))),"Semana 3",IFERROR(INDEX('🔄 Rotação Duplas'!$D$36:$D$45,MATCH(D432,'🔄 Rotação Duplas'!$C$36:$C$45,0)),INDEX('🔄 Rotação Duplas'!$C$36:$C$45,MATCH(D432,'🔄 Rotação Duplas'!$D$36:$D$45,0))),"Semana 4",IFERROR(INDEX('🔄 Rotação Duplas'!$D$50:$D$59,MATCH(D432,'🔄 Rotação Duplas'!$C$50:$C$59,0)),INDEX('🔄 Rotação Duplas'!$C$50:$C$59,MATCH(D432,'🔄 Rotação Duplas'!$D$50:$D$59,0))),"Semana 5",IFERROR(INDEX('🔄 Rotação Duplas'!$D$64:$D$73,MATCH(D432,'🔄 Rotação Duplas'!$C$64:$C$73,0)),INDEX('🔄 Rotação Duplas'!$C$64:$C$73,MATCH(D432,'🔄 Rotação Duplas'!$D$64:$D$73,0))),"Semana 6",IFERROR(INDEX('🔄 Rotação Duplas'!$D$78:$D$87,MATCH(D432,'🔄 Rotação Duplas'!$C$78:$C$87,0)),INDEX('🔄 Rotação Duplas'!$C$78:$C$87,MATCH(D432,'🔄 Rotação Duplas'!$D$78:$D$87,0))),"Semana 7",IFERROR(INDEX('🔄 Rotação Duplas'!$D$92:$D$101,MATCH(D432,'🔄 Rotação Duplas'!$C$92:$C$101,0)),INDEX('🔄 Rotação Duplas'!$C$92:$C$101,MATCH(D432,'🔄 Rotação Duplas'!$D$92:$D$101,0))),"Semana 8",IFERROR(INDEX('🔄 Rotação Duplas'!$D$106:$D$115,MATCH(D432,'🔄 Rotação Duplas'!$C$106:$C$115,0)),INDEX('🔄 Rotação Duplas'!$C$106:$C$115,MATCH(D432,'🔄 Rotação Duplas'!$D$106:$D$115,0)))),""))</f>
        <v/>
      </c>
      <c r="T432">
        <f t="shared" si="35"/>
        <v>0</v>
      </c>
    </row>
    <row r="433" spans="2:20" ht="18" customHeight="1" x14ac:dyDescent="0.2">
      <c r="B433" s="78" t="s">
        <v>109</v>
      </c>
      <c r="C433" s="79" t="str">
        <f t="shared" si="37"/>
        <v>Desafio 22</v>
      </c>
      <c r="D433" s="80" t="str">
        <f>'⚙️ Configuração'!C36</f>
        <v>Alexandra Correia</v>
      </c>
      <c r="E433" s="50">
        <v>0</v>
      </c>
      <c r="F433" s="50">
        <v>0</v>
      </c>
      <c r="G433" s="50">
        <v>0</v>
      </c>
      <c r="H433" s="50">
        <v>0</v>
      </c>
      <c r="I433" s="50">
        <v>0</v>
      </c>
      <c r="J433" s="89">
        <v>0</v>
      </c>
      <c r="K433" s="81">
        <f>(E433*'⚙️ Configuração'!$C$6+F433*'⚙️ Configuração'!$C$7+G433*'⚙️ Configuração'!$C$8+H433*'⚙️ Configuração'!$C$9+I433*'⚙️ Configuração'!$C$10+J433*'⚙️ Configuração'!$C$11)*IF(N433="S",2,1)</f>
        <v>0</v>
      </c>
      <c r="L433" s="90" t="s">
        <v>167</v>
      </c>
      <c r="M433" s="82">
        <f>IF(L433="AT1",'⚙️ Configuração'!$C$14,IF(L433="AT2",'⚙️ Configuração'!$C$15,IF(L433="FI",'⚙️ Configuração'!$C$16,IF(L433="FJ",'⚙️ Configuração'!$C$17,0))))</f>
        <v>0</v>
      </c>
      <c r="N433" s="91" t="s">
        <v>167</v>
      </c>
      <c r="O433" s="92"/>
      <c r="P433" s="83">
        <f>IF(O433="1",'⚙️ Configuração'!$C$21,IF(O433="2",'⚙️ Configuração'!$C$22,IF(O433="3",'⚙️ Configuração'!$C$23,IF(O433="Outro",'⚙️ Configuração'!$C$24,0))))</f>
        <v>0</v>
      </c>
      <c r="Q433" s="84">
        <f t="shared" si="34"/>
        <v>0</v>
      </c>
      <c r="R433" s="40" t="str">
        <f t="shared" si="22"/>
        <v>Semana 1 — ver 🔄</v>
      </c>
      <c r="S433" t="str" cm="1">
        <f t="array" ref="S433">IF(D433="","",IFERROR(_xlfn.SWITCH(B433,"Semana 1",IFERROR(INDEX('🔄 Rotação Duplas'!$D$8:$D$17,MATCH(D433,'🔄 Rotação Duplas'!$C$8:$C$17,0)),INDEX('🔄 Rotação Duplas'!$C$8:$C$17,MATCH(D433,'🔄 Rotação Duplas'!$D$8:$D$17,0))),"Semana 2",IFERROR(INDEX('🔄 Rotação Duplas'!$D$22:$D$31,MATCH(D433,'🔄 Rotação Duplas'!$C$22:$C$31,0)),INDEX('🔄 Rotação Duplas'!$C$22:$C$31,MATCH(D433,'🔄 Rotação Duplas'!$D$22:$D$31,0))),"Semana 3",IFERROR(INDEX('🔄 Rotação Duplas'!$D$36:$D$45,MATCH(D433,'🔄 Rotação Duplas'!$C$36:$C$45,0)),INDEX('🔄 Rotação Duplas'!$C$36:$C$45,MATCH(D433,'🔄 Rotação Duplas'!$D$36:$D$45,0))),"Semana 4",IFERROR(INDEX('🔄 Rotação Duplas'!$D$50:$D$59,MATCH(D433,'🔄 Rotação Duplas'!$C$50:$C$59,0)),INDEX('🔄 Rotação Duplas'!$C$50:$C$59,MATCH(D433,'🔄 Rotação Duplas'!$D$50:$D$59,0))),"Semana 5",IFERROR(INDEX('🔄 Rotação Duplas'!$D$64:$D$73,MATCH(D433,'🔄 Rotação Duplas'!$C$64:$C$73,0)),INDEX('🔄 Rotação Duplas'!$C$64:$C$73,MATCH(D433,'🔄 Rotação Duplas'!$D$64:$D$73,0))),"Semana 6",IFERROR(INDEX('🔄 Rotação Duplas'!$D$78:$D$87,MATCH(D433,'🔄 Rotação Duplas'!$C$78:$C$87,0)),INDEX('🔄 Rotação Duplas'!$C$78:$C$87,MATCH(D433,'🔄 Rotação Duplas'!$D$78:$D$87,0))),"Semana 7",IFERROR(INDEX('🔄 Rotação Duplas'!$D$92:$D$101,MATCH(D433,'🔄 Rotação Duplas'!$C$92:$C$101,0)),INDEX('🔄 Rotação Duplas'!$C$92:$C$101,MATCH(D433,'🔄 Rotação Duplas'!$D$92:$D$101,0))),"Semana 8",IFERROR(INDEX('🔄 Rotação Duplas'!$D$106:$D$115,MATCH(D433,'🔄 Rotação Duplas'!$C$106:$C$115,0)),INDEX('🔄 Rotação Duplas'!$C$106:$C$115,MATCH(D433,'🔄 Rotação Duplas'!$D$106:$D$115,0)))),""))</f>
        <v/>
      </c>
      <c r="T433">
        <f t="shared" si="35"/>
        <v>0</v>
      </c>
    </row>
    <row r="434" spans="2:20" ht="18" customHeight="1" x14ac:dyDescent="0.2">
      <c r="B434" s="85" t="s">
        <v>109</v>
      </c>
      <c r="C434" s="86" t="str">
        <f t="shared" si="37"/>
        <v>Desafio 22</v>
      </c>
      <c r="D434" s="87" t="str">
        <f>'⚙️ Configuração'!C37</f>
        <v>Carla Barata</v>
      </c>
      <c r="E434" s="50">
        <v>0</v>
      </c>
      <c r="F434" s="50">
        <v>0</v>
      </c>
      <c r="G434" s="50">
        <v>0</v>
      </c>
      <c r="H434" s="50">
        <v>0</v>
      </c>
      <c r="I434" s="50">
        <v>0</v>
      </c>
      <c r="J434" s="89">
        <v>0</v>
      </c>
      <c r="K434" s="81">
        <f>(E434*'⚙️ Configuração'!$C$6+F434*'⚙️ Configuração'!$C$7+G434*'⚙️ Configuração'!$C$8+H434*'⚙️ Configuração'!$C$9+I434*'⚙️ Configuração'!$C$10+J434*'⚙️ Configuração'!$C$11)*IF(N434="S",2,1)</f>
        <v>0</v>
      </c>
      <c r="L434" s="90" t="s">
        <v>167</v>
      </c>
      <c r="M434" s="82">
        <f>IF(L434="AT1",'⚙️ Configuração'!$C$14,IF(L434="AT2",'⚙️ Configuração'!$C$15,IF(L434="FI",'⚙️ Configuração'!$C$16,IF(L434="FJ",'⚙️ Configuração'!$C$17,0))))</f>
        <v>0</v>
      </c>
      <c r="N434" s="91" t="s">
        <v>167</v>
      </c>
      <c r="O434" s="92"/>
      <c r="P434" s="83">
        <f>IF(O434="1",'⚙️ Configuração'!$C$21,IF(O434="2",'⚙️ Configuração'!$C$22,IF(O434="3",'⚙️ Configuração'!$C$23,IF(O434="Outro",'⚙️ Configuração'!$C$24,0))))</f>
        <v>0</v>
      </c>
      <c r="Q434" s="84">
        <f t="shared" si="34"/>
        <v>0</v>
      </c>
      <c r="R434" s="40" t="str">
        <f t="shared" si="22"/>
        <v>Semana 1 — ver 🔄</v>
      </c>
      <c r="S434" t="str" cm="1">
        <f t="array" ref="S434">IF(D434="","",IFERROR(_xlfn.SWITCH(B434,"Semana 1",IFERROR(INDEX('🔄 Rotação Duplas'!$D$8:$D$17,MATCH(D434,'🔄 Rotação Duplas'!$C$8:$C$17,0)),INDEX('🔄 Rotação Duplas'!$C$8:$C$17,MATCH(D434,'🔄 Rotação Duplas'!$D$8:$D$17,0))),"Semana 2",IFERROR(INDEX('🔄 Rotação Duplas'!$D$22:$D$31,MATCH(D434,'🔄 Rotação Duplas'!$C$22:$C$31,0)),INDEX('🔄 Rotação Duplas'!$C$22:$C$31,MATCH(D434,'🔄 Rotação Duplas'!$D$22:$D$31,0))),"Semana 3",IFERROR(INDEX('🔄 Rotação Duplas'!$D$36:$D$45,MATCH(D434,'🔄 Rotação Duplas'!$C$36:$C$45,0)),INDEX('🔄 Rotação Duplas'!$C$36:$C$45,MATCH(D434,'🔄 Rotação Duplas'!$D$36:$D$45,0))),"Semana 4",IFERROR(INDEX('🔄 Rotação Duplas'!$D$50:$D$59,MATCH(D434,'🔄 Rotação Duplas'!$C$50:$C$59,0)),INDEX('🔄 Rotação Duplas'!$C$50:$C$59,MATCH(D434,'🔄 Rotação Duplas'!$D$50:$D$59,0))),"Semana 5",IFERROR(INDEX('🔄 Rotação Duplas'!$D$64:$D$73,MATCH(D434,'🔄 Rotação Duplas'!$C$64:$C$73,0)),INDEX('🔄 Rotação Duplas'!$C$64:$C$73,MATCH(D434,'🔄 Rotação Duplas'!$D$64:$D$73,0))),"Semana 6",IFERROR(INDEX('🔄 Rotação Duplas'!$D$78:$D$87,MATCH(D434,'🔄 Rotação Duplas'!$C$78:$C$87,0)),INDEX('🔄 Rotação Duplas'!$C$78:$C$87,MATCH(D434,'🔄 Rotação Duplas'!$D$78:$D$87,0))),"Semana 7",IFERROR(INDEX('🔄 Rotação Duplas'!$D$92:$D$101,MATCH(D434,'🔄 Rotação Duplas'!$C$92:$C$101,0)),INDEX('🔄 Rotação Duplas'!$C$92:$C$101,MATCH(D434,'🔄 Rotação Duplas'!$D$92:$D$101,0))),"Semana 8",IFERROR(INDEX('🔄 Rotação Duplas'!$D$106:$D$115,MATCH(D434,'🔄 Rotação Duplas'!$C$106:$C$115,0)),INDEX('🔄 Rotação Duplas'!$C$106:$C$115,MATCH(D434,'🔄 Rotação Duplas'!$D$106:$D$115,0)))),""))</f>
        <v/>
      </c>
      <c r="T434">
        <f t="shared" si="35"/>
        <v>0</v>
      </c>
    </row>
    <row r="435" spans="2:20" ht="18" customHeight="1" x14ac:dyDescent="0.2">
      <c r="B435" s="78" t="s">
        <v>109</v>
      </c>
      <c r="C435" s="79" t="str">
        <f t="shared" si="37"/>
        <v>Desafio 22</v>
      </c>
      <c r="D435" s="80" t="str">
        <f>'⚙️ Configuração'!C38</f>
        <v>Denise Filipe</v>
      </c>
      <c r="E435" s="50">
        <v>0</v>
      </c>
      <c r="F435" s="50">
        <v>0</v>
      </c>
      <c r="G435" s="50">
        <v>0</v>
      </c>
      <c r="H435" s="50">
        <v>0</v>
      </c>
      <c r="I435" s="50">
        <v>0</v>
      </c>
      <c r="J435" s="89">
        <v>0</v>
      </c>
      <c r="K435" s="81">
        <f>(E435*'⚙️ Configuração'!$C$6+F435*'⚙️ Configuração'!$C$7+G435*'⚙️ Configuração'!$C$8+H435*'⚙️ Configuração'!$C$9+I435*'⚙️ Configuração'!$C$10+J435*'⚙️ Configuração'!$C$11)*IF(N435="S",2,1)</f>
        <v>0</v>
      </c>
      <c r="L435" s="90" t="s">
        <v>167</v>
      </c>
      <c r="M435" s="82">
        <f>IF(L435="AT1",'⚙️ Configuração'!$C$14,IF(L435="AT2",'⚙️ Configuração'!$C$15,IF(L435="FI",'⚙️ Configuração'!$C$16,IF(L435="FJ",'⚙️ Configuração'!$C$17,0))))</f>
        <v>0</v>
      </c>
      <c r="N435" s="91" t="s">
        <v>167</v>
      </c>
      <c r="O435" s="92"/>
      <c r="P435" s="83">
        <f>IF(O435="1",'⚙️ Configuração'!$C$21,IF(O435="2",'⚙️ Configuração'!$C$22,IF(O435="3",'⚙️ Configuração'!$C$23,IF(O435="Outro",'⚙️ Configuração'!$C$24,0))))</f>
        <v>0</v>
      </c>
      <c r="Q435" s="84">
        <f t="shared" si="34"/>
        <v>0</v>
      </c>
      <c r="R435" s="40" t="str">
        <f t="shared" si="22"/>
        <v>Semana 1 — ver 🔄</v>
      </c>
      <c r="S435" t="str" cm="1">
        <f t="array" ref="S435">IF(D435="","",IFERROR(_xlfn.SWITCH(B435,"Semana 1",IFERROR(INDEX('🔄 Rotação Duplas'!$D$8:$D$17,MATCH(D435,'🔄 Rotação Duplas'!$C$8:$C$17,0)),INDEX('🔄 Rotação Duplas'!$C$8:$C$17,MATCH(D435,'🔄 Rotação Duplas'!$D$8:$D$17,0))),"Semana 2",IFERROR(INDEX('🔄 Rotação Duplas'!$D$22:$D$31,MATCH(D435,'🔄 Rotação Duplas'!$C$22:$C$31,0)),INDEX('🔄 Rotação Duplas'!$C$22:$C$31,MATCH(D435,'🔄 Rotação Duplas'!$D$22:$D$31,0))),"Semana 3",IFERROR(INDEX('🔄 Rotação Duplas'!$D$36:$D$45,MATCH(D435,'🔄 Rotação Duplas'!$C$36:$C$45,0)),INDEX('🔄 Rotação Duplas'!$C$36:$C$45,MATCH(D435,'🔄 Rotação Duplas'!$D$36:$D$45,0))),"Semana 4",IFERROR(INDEX('🔄 Rotação Duplas'!$D$50:$D$59,MATCH(D435,'🔄 Rotação Duplas'!$C$50:$C$59,0)),INDEX('🔄 Rotação Duplas'!$C$50:$C$59,MATCH(D435,'🔄 Rotação Duplas'!$D$50:$D$59,0))),"Semana 5",IFERROR(INDEX('🔄 Rotação Duplas'!$D$64:$D$73,MATCH(D435,'🔄 Rotação Duplas'!$C$64:$C$73,0)),INDEX('🔄 Rotação Duplas'!$C$64:$C$73,MATCH(D435,'🔄 Rotação Duplas'!$D$64:$D$73,0))),"Semana 6",IFERROR(INDEX('🔄 Rotação Duplas'!$D$78:$D$87,MATCH(D435,'🔄 Rotação Duplas'!$C$78:$C$87,0)),INDEX('🔄 Rotação Duplas'!$C$78:$C$87,MATCH(D435,'🔄 Rotação Duplas'!$D$78:$D$87,0))),"Semana 7",IFERROR(INDEX('🔄 Rotação Duplas'!$D$92:$D$101,MATCH(D435,'🔄 Rotação Duplas'!$C$92:$C$101,0)),INDEX('🔄 Rotação Duplas'!$C$92:$C$101,MATCH(D435,'🔄 Rotação Duplas'!$D$92:$D$101,0))),"Semana 8",IFERROR(INDEX('🔄 Rotação Duplas'!$D$106:$D$115,MATCH(D435,'🔄 Rotação Duplas'!$C$106:$C$115,0)),INDEX('🔄 Rotação Duplas'!$C$106:$C$115,MATCH(D435,'🔄 Rotação Duplas'!$D$106:$D$115,0)))),""))</f>
        <v/>
      </c>
      <c r="T435">
        <f t="shared" si="35"/>
        <v>0</v>
      </c>
    </row>
    <row r="436" spans="2:20" ht="18" customHeight="1" x14ac:dyDescent="0.2">
      <c r="B436" s="85" t="s">
        <v>109</v>
      </c>
      <c r="C436" s="86" t="str">
        <f t="shared" si="37"/>
        <v>Desafio 22</v>
      </c>
      <c r="D436" s="87" t="str">
        <f>'⚙️ Configuração'!C39</f>
        <v>Fátima Rodriguez</v>
      </c>
      <c r="E436" s="50">
        <v>0</v>
      </c>
      <c r="F436" s="50">
        <v>0</v>
      </c>
      <c r="G436" s="50">
        <v>0</v>
      </c>
      <c r="H436" s="50">
        <v>0</v>
      </c>
      <c r="I436" s="50">
        <v>0</v>
      </c>
      <c r="J436" s="89">
        <v>0</v>
      </c>
      <c r="K436" s="81">
        <f>(E436*'⚙️ Configuração'!$C$6+F436*'⚙️ Configuração'!$C$7+G436*'⚙️ Configuração'!$C$8+H436*'⚙️ Configuração'!$C$9+I436*'⚙️ Configuração'!$C$10+J436*'⚙️ Configuração'!$C$11)*IF(N436="S",2,1)</f>
        <v>0</v>
      </c>
      <c r="L436" s="90" t="s">
        <v>167</v>
      </c>
      <c r="M436" s="82">
        <f>IF(L436="AT1",'⚙️ Configuração'!$C$14,IF(L436="AT2",'⚙️ Configuração'!$C$15,IF(L436="FI",'⚙️ Configuração'!$C$16,IF(L436="FJ",'⚙️ Configuração'!$C$17,0))))</f>
        <v>0</v>
      </c>
      <c r="N436" s="91" t="s">
        <v>167</v>
      </c>
      <c r="O436" s="92"/>
      <c r="P436" s="83">
        <f>IF(O436="1",'⚙️ Configuração'!$C$21,IF(O436="2",'⚙️ Configuração'!$C$22,IF(O436="3",'⚙️ Configuração'!$C$23,IF(O436="Outro",'⚙️ Configuração'!$C$24,0))))</f>
        <v>0</v>
      </c>
      <c r="Q436" s="84">
        <f t="shared" si="34"/>
        <v>0</v>
      </c>
      <c r="R436" s="40" t="str">
        <f t="shared" si="22"/>
        <v>Semana 1 — ver 🔄</v>
      </c>
      <c r="S436" t="str" cm="1">
        <f t="array" ref="S436">IF(D436="","",IFERROR(_xlfn.SWITCH(B436,"Semana 1",IFERROR(INDEX('🔄 Rotação Duplas'!$D$8:$D$17,MATCH(D436,'🔄 Rotação Duplas'!$C$8:$C$17,0)),INDEX('🔄 Rotação Duplas'!$C$8:$C$17,MATCH(D436,'🔄 Rotação Duplas'!$D$8:$D$17,0))),"Semana 2",IFERROR(INDEX('🔄 Rotação Duplas'!$D$22:$D$31,MATCH(D436,'🔄 Rotação Duplas'!$C$22:$C$31,0)),INDEX('🔄 Rotação Duplas'!$C$22:$C$31,MATCH(D436,'🔄 Rotação Duplas'!$D$22:$D$31,0))),"Semana 3",IFERROR(INDEX('🔄 Rotação Duplas'!$D$36:$D$45,MATCH(D436,'🔄 Rotação Duplas'!$C$36:$C$45,0)),INDEX('🔄 Rotação Duplas'!$C$36:$C$45,MATCH(D436,'🔄 Rotação Duplas'!$D$36:$D$45,0))),"Semana 4",IFERROR(INDEX('🔄 Rotação Duplas'!$D$50:$D$59,MATCH(D436,'🔄 Rotação Duplas'!$C$50:$C$59,0)),INDEX('🔄 Rotação Duplas'!$C$50:$C$59,MATCH(D436,'🔄 Rotação Duplas'!$D$50:$D$59,0))),"Semana 5",IFERROR(INDEX('🔄 Rotação Duplas'!$D$64:$D$73,MATCH(D436,'🔄 Rotação Duplas'!$C$64:$C$73,0)),INDEX('🔄 Rotação Duplas'!$C$64:$C$73,MATCH(D436,'🔄 Rotação Duplas'!$D$64:$D$73,0))),"Semana 6",IFERROR(INDEX('🔄 Rotação Duplas'!$D$78:$D$87,MATCH(D436,'🔄 Rotação Duplas'!$C$78:$C$87,0)),INDEX('🔄 Rotação Duplas'!$C$78:$C$87,MATCH(D436,'🔄 Rotação Duplas'!$D$78:$D$87,0))),"Semana 7",IFERROR(INDEX('🔄 Rotação Duplas'!$D$92:$D$101,MATCH(D436,'🔄 Rotação Duplas'!$C$92:$C$101,0)),INDEX('🔄 Rotação Duplas'!$C$92:$C$101,MATCH(D436,'🔄 Rotação Duplas'!$D$92:$D$101,0))),"Semana 8",IFERROR(INDEX('🔄 Rotação Duplas'!$D$106:$D$115,MATCH(D436,'🔄 Rotação Duplas'!$C$106:$C$115,0)),INDEX('🔄 Rotação Duplas'!$C$106:$C$115,MATCH(D436,'🔄 Rotação Duplas'!$D$106:$D$115,0)))),""))</f>
        <v/>
      </c>
      <c r="T436">
        <f t="shared" si="35"/>
        <v>0</v>
      </c>
    </row>
    <row r="437" spans="2:20" ht="18" customHeight="1" x14ac:dyDescent="0.2">
      <c r="B437" s="78" t="s">
        <v>109</v>
      </c>
      <c r="C437" s="79" t="str">
        <f t="shared" si="37"/>
        <v>Desafio 22</v>
      </c>
      <c r="D437" s="80" t="str">
        <f>'⚙️ Configuração'!C40</f>
        <v>Maria João Travassos</v>
      </c>
      <c r="E437" s="50">
        <v>0</v>
      </c>
      <c r="F437" s="50">
        <v>0</v>
      </c>
      <c r="G437" s="50">
        <v>0</v>
      </c>
      <c r="H437" s="50">
        <v>0</v>
      </c>
      <c r="I437" s="50">
        <v>0</v>
      </c>
      <c r="J437" s="89">
        <v>0</v>
      </c>
      <c r="K437" s="81">
        <f>(E437*'⚙️ Configuração'!$C$6+F437*'⚙️ Configuração'!$C$7+G437*'⚙️ Configuração'!$C$8+H437*'⚙️ Configuração'!$C$9+I437*'⚙️ Configuração'!$C$10+J437*'⚙️ Configuração'!$C$11)*IF(N437="S",2,1)</f>
        <v>0</v>
      </c>
      <c r="L437" s="90" t="s">
        <v>167</v>
      </c>
      <c r="M437" s="82">
        <f>IF(L437="AT1",'⚙️ Configuração'!$C$14,IF(L437="AT2",'⚙️ Configuração'!$C$15,IF(L437="FI",'⚙️ Configuração'!$C$16,IF(L437="FJ",'⚙️ Configuração'!$C$17,0))))</f>
        <v>0</v>
      </c>
      <c r="N437" s="91" t="s">
        <v>167</v>
      </c>
      <c r="O437" s="92"/>
      <c r="P437" s="83">
        <f>IF(O437="1",'⚙️ Configuração'!$C$21,IF(O437="2",'⚙️ Configuração'!$C$22,IF(O437="3",'⚙️ Configuração'!$C$23,IF(O437="Outro",'⚙️ Configuração'!$C$24,0))))</f>
        <v>0</v>
      </c>
      <c r="Q437" s="84">
        <f t="shared" si="34"/>
        <v>0</v>
      </c>
      <c r="R437" s="40" t="str">
        <f t="shared" si="22"/>
        <v>Semana 1 — ver 🔄</v>
      </c>
      <c r="S437" t="str" cm="1">
        <f t="array" ref="S437">IF(D437="","",IFERROR(_xlfn.SWITCH(B437,"Semana 1",IFERROR(INDEX('🔄 Rotação Duplas'!$D$8:$D$17,MATCH(D437,'🔄 Rotação Duplas'!$C$8:$C$17,0)),INDEX('🔄 Rotação Duplas'!$C$8:$C$17,MATCH(D437,'🔄 Rotação Duplas'!$D$8:$D$17,0))),"Semana 2",IFERROR(INDEX('🔄 Rotação Duplas'!$D$22:$D$31,MATCH(D437,'🔄 Rotação Duplas'!$C$22:$C$31,0)),INDEX('🔄 Rotação Duplas'!$C$22:$C$31,MATCH(D437,'🔄 Rotação Duplas'!$D$22:$D$31,0))),"Semana 3",IFERROR(INDEX('🔄 Rotação Duplas'!$D$36:$D$45,MATCH(D437,'🔄 Rotação Duplas'!$C$36:$C$45,0)),INDEX('🔄 Rotação Duplas'!$C$36:$C$45,MATCH(D437,'🔄 Rotação Duplas'!$D$36:$D$45,0))),"Semana 4",IFERROR(INDEX('🔄 Rotação Duplas'!$D$50:$D$59,MATCH(D437,'🔄 Rotação Duplas'!$C$50:$C$59,0)),INDEX('🔄 Rotação Duplas'!$C$50:$C$59,MATCH(D437,'🔄 Rotação Duplas'!$D$50:$D$59,0))),"Semana 5",IFERROR(INDEX('🔄 Rotação Duplas'!$D$64:$D$73,MATCH(D437,'🔄 Rotação Duplas'!$C$64:$C$73,0)),INDEX('🔄 Rotação Duplas'!$C$64:$C$73,MATCH(D437,'🔄 Rotação Duplas'!$D$64:$D$73,0))),"Semana 6",IFERROR(INDEX('🔄 Rotação Duplas'!$D$78:$D$87,MATCH(D437,'🔄 Rotação Duplas'!$C$78:$C$87,0)),INDEX('🔄 Rotação Duplas'!$C$78:$C$87,MATCH(D437,'🔄 Rotação Duplas'!$D$78:$D$87,0))),"Semana 7",IFERROR(INDEX('🔄 Rotação Duplas'!$D$92:$D$101,MATCH(D437,'🔄 Rotação Duplas'!$C$92:$C$101,0)),INDEX('🔄 Rotação Duplas'!$C$92:$C$101,MATCH(D437,'🔄 Rotação Duplas'!$D$92:$D$101,0))),"Semana 8",IFERROR(INDEX('🔄 Rotação Duplas'!$D$106:$D$115,MATCH(D437,'🔄 Rotação Duplas'!$C$106:$C$115,0)),INDEX('🔄 Rotação Duplas'!$C$106:$C$115,MATCH(D437,'🔄 Rotação Duplas'!$D$106:$D$115,0)))),""))</f>
        <v/>
      </c>
      <c r="T437">
        <f t="shared" si="35"/>
        <v>0</v>
      </c>
    </row>
    <row r="438" spans="2:20" ht="18" customHeight="1" x14ac:dyDescent="0.2">
      <c r="B438" s="85" t="s">
        <v>109</v>
      </c>
      <c r="C438" s="86" t="str">
        <f t="shared" si="37"/>
        <v>Desafio 22</v>
      </c>
      <c r="D438" s="87" t="str">
        <f>'⚙️ Configuração'!C41</f>
        <v>Marta Torres</v>
      </c>
      <c r="E438" s="50">
        <v>0</v>
      </c>
      <c r="F438" s="50">
        <v>0</v>
      </c>
      <c r="G438" s="50">
        <v>0</v>
      </c>
      <c r="H438" s="50">
        <v>0</v>
      </c>
      <c r="I438" s="50">
        <v>0</v>
      </c>
      <c r="J438" s="89">
        <v>0</v>
      </c>
      <c r="K438" s="81">
        <f>(E438*'⚙️ Configuração'!$C$6+F438*'⚙️ Configuração'!$C$7+G438*'⚙️ Configuração'!$C$8+H438*'⚙️ Configuração'!$C$9+I438*'⚙️ Configuração'!$C$10+J438*'⚙️ Configuração'!$C$11)*IF(N438="S",2,1)</f>
        <v>0</v>
      </c>
      <c r="L438" s="90" t="s">
        <v>167</v>
      </c>
      <c r="M438" s="82">
        <f>IF(L438="AT1",'⚙️ Configuração'!$C$14,IF(L438="AT2",'⚙️ Configuração'!$C$15,IF(L438="FI",'⚙️ Configuração'!$C$16,IF(L438="FJ",'⚙️ Configuração'!$C$17,0))))</f>
        <v>0</v>
      </c>
      <c r="N438" s="91" t="s">
        <v>167</v>
      </c>
      <c r="O438" s="92"/>
      <c r="P438" s="83">
        <f>IF(O438="1",'⚙️ Configuração'!$C$21,IF(O438="2",'⚙️ Configuração'!$C$22,IF(O438="3",'⚙️ Configuração'!$C$23,IF(O438="Outro",'⚙️ Configuração'!$C$24,0))))</f>
        <v>0</v>
      </c>
      <c r="Q438" s="84">
        <f t="shared" si="34"/>
        <v>0</v>
      </c>
      <c r="R438" s="40" t="str">
        <f t="shared" si="22"/>
        <v>Semana 1 — ver 🔄</v>
      </c>
      <c r="S438" t="str" cm="1">
        <f t="array" ref="S438">IF(D438="","",IFERROR(_xlfn.SWITCH(B438,"Semana 1",IFERROR(INDEX('🔄 Rotação Duplas'!$D$8:$D$17,MATCH(D438,'🔄 Rotação Duplas'!$C$8:$C$17,0)),INDEX('🔄 Rotação Duplas'!$C$8:$C$17,MATCH(D438,'🔄 Rotação Duplas'!$D$8:$D$17,0))),"Semana 2",IFERROR(INDEX('🔄 Rotação Duplas'!$D$22:$D$31,MATCH(D438,'🔄 Rotação Duplas'!$C$22:$C$31,0)),INDEX('🔄 Rotação Duplas'!$C$22:$C$31,MATCH(D438,'🔄 Rotação Duplas'!$D$22:$D$31,0))),"Semana 3",IFERROR(INDEX('🔄 Rotação Duplas'!$D$36:$D$45,MATCH(D438,'🔄 Rotação Duplas'!$C$36:$C$45,0)),INDEX('🔄 Rotação Duplas'!$C$36:$C$45,MATCH(D438,'🔄 Rotação Duplas'!$D$36:$D$45,0))),"Semana 4",IFERROR(INDEX('🔄 Rotação Duplas'!$D$50:$D$59,MATCH(D438,'🔄 Rotação Duplas'!$C$50:$C$59,0)),INDEX('🔄 Rotação Duplas'!$C$50:$C$59,MATCH(D438,'🔄 Rotação Duplas'!$D$50:$D$59,0))),"Semana 5",IFERROR(INDEX('🔄 Rotação Duplas'!$D$64:$D$73,MATCH(D438,'🔄 Rotação Duplas'!$C$64:$C$73,0)),INDEX('🔄 Rotação Duplas'!$C$64:$C$73,MATCH(D438,'🔄 Rotação Duplas'!$D$64:$D$73,0))),"Semana 6",IFERROR(INDEX('🔄 Rotação Duplas'!$D$78:$D$87,MATCH(D438,'🔄 Rotação Duplas'!$C$78:$C$87,0)),INDEX('🔄 Rotação Duplas'!$C$78:$C$87,MATCH(D438,'🔄 Rotação Duplas'!$D$78:$D$87,0))),"Semana 7",IFERROR(INDEX('🔄 Rotação Duplas'!$D$92:$D$101,MATCH(D438,'🔄 Rotação Duplas'!$C$92:$C$101,0)),INDEX('🔄 Rotação Duplas'!$C$92:$C$101,MATCH(D438,'🔄 Rotação Duplas'!$D$92:$D$101,0))),"Semana 8",IFERROR(INDEX('🔄 Rotação Duplas'!$D$106:$D$115,MATCH(D438,'🔄 Rotação Duplas'!$C$106:$C$115,0)),INDEX('🔄 Rotação Duplas'!$C$106:$C$115,MATCH(D438,'🔄 Rotação Duplas'!$D$106:$D$115,0)))),""))</f>
        <v/>
      </c>
      <c r="T438">
        <f t="shared" si="35"/>
        <v>0</v>
      </c>
    </row>
    <row r="439" spans="2:20" ht="18" customHeight="1" x14ac:dyDescent="0.2">
      <c r="B439" s="78" t="s">
        <v>109</v>
      </c>
      <c r="C439" s="79" t="str">
        <f t="shared" si="37"/>
        <v>Desafio 22</v>
      </c>
      <c r="D439" s="80" t="str">
        <f>'⚙️ Configuração'!C42</f>
        <v>Patricia Isabel Silva</v>
      </c>
      <c r="E439" s="50">
        <v>0</v>
      </c>
      <c r="F439" s="50">
        <v>0</v>
      </c>
      <c r="G439" s="50">
        <v>0</v>
      </c>
      <c r="H439" s="50">
        <v>0</v>
      </c>
      <c r="I439" s="50">
        <v>0</v>
      </c>
      <c r="J439" s="89">
        <v>0</v>
      </c>
      <c r="K439" s="81">
        <f>(E439*'⚙️ Configuração'!$C$6+F439*'⚙️ Configuração'!$C$7+G439*'⚙️ Configuração'!$C$8+H439*'⚙️ Configuração'!$C$9+I439*'⚙️ Configuração'!$C$10+J439*'⚙️ Configuração'!$C$11)*IF(N439="S",2,1)</f>
        <v>0</v>
      </c>
      <c r="L439" s="90" t="s">
        <v>167</v>
      </c>
      <c r="M439" s="82">
        <f>IF(L439="AT1",'⚙️ Configuração'!$C$14,IF(L439="AT2",'⚙️ Configuração'!$C$15,IF(L439="FI",'⚙️ Configuração'!$C$16,IF(L439="FJ",'⚙️ Configuração'!$C$17,0))))</f>
        <v>0</v>
      </c>
      <c r="N439" s="91" t="s">
        <v>167</v>
      </c>
      <c r="O439" s="92"/>
      <c r="P439" s="83">
        <f>IF(O439="1",'⚙️ Configuração'!$C$21,IF(O439="2",'⚙️ Configuração'!$C$22,IF(O439="3",'⚙️ Configuração'!$C$23,IF(O439="Outro",'⚙️ Configuração'!$C$24,0))))</f>
        <v>0</v>
      </c>
      <c r="Q439" s="84">
        <f t="shared" si="34"/>
        <v>0</v>
      </c>
      <c r="R439" s="40" t="str">
        <f t="shared" si="22"/>
        <v>Semana 1 — ver 🔄</v>
      </c>
      <c r="S439" t="str" cm="1">
        <f t="array" ref="S439">IF(D439="","",IFERROR(_xlfn.SWITCH(B439,"Semana 1",IFERROR(INDEX('🔄 Rotação Duplas'!$D$8:$D$17,MATCH(D439,'🔄 Rotação Duplas'!$C$8:$C$17,0)),INDEX('🔄 Rotação Duplas'!$C$8:$C$17,MATCH(D439,'🔄 Rotação Duplas'!$D$8:$D$17,0))),"Semana 2",IFERROR(INDEX('🔄 Rotação Duplas'!$D$22:$D$31,MATCH(D439,'🔄 Rotação Duplas'!$C$22:$C$31,0)),INDEX('🔄 Rotação Duplas'!$C$22:$C$31,MATCH(D439,'🔄 Rotação Duplas'!$D$22:$D$31,0))),"Semana 3",IFERROR(INDEX('🔄 Rotação Duplas'!$D$36:$D$45,MATCH(D439,'🔄 Rotação Duplas'!$C$36:$C$45,0)),INDEX('🔄 Rotação Duplas'!$C$36:$C$45,MATCH(D439,'🔄 Rotação Duplas'!$D$36:$D$45,0))),"Semana 4",IFERROR(INDEX('🔄 Rotação Duplas'!$D$50:$D$59,MATCH(D439,'🔄 Rotação Duplas'!$C$50:$C$59,0)),INDEX('🔄 Rotação Duplas'!$C$50:$C$59,MATCH(D439,'🔄 Rotação Duplas'!$D$50:$D$59,0))),"Semana 5",IFERROR(INDEX('🔄 Rotação Duplas'!$D$64:$D$73,MATCH(D439,'🔄 Rotação Duplas'!$C$64:$C$73,0)),INDEX('🔄 Rotação Duplas'!$C$64:$C$73,MATCH(D439,'🔄 Rotação Duplas'!$D$64:$D$73,0))),"Semana 6",IFERROR(INDEX('🔄 Rotação Duplas'!$D$78:$D$87,MATCH(D439,'🔄 Rotação Duplas'!$C$78:$C$87,0)),INDEX('🔄 Rotação Duplas'!$C$78:$C$87,MATCH(D439,'🔄 Rotação Duplas'!$D$78:$D$87,0))),"Semana 7",IFERROR(INDEX('🔄 Rotação Duplas'!$D$92:$D$101,MATCH(D439,'🔄 Rotação Duplas'!$C$92:$C$101,0)),INDEX('🔄 Rotação Duplas'!$C$92:$C$101,MATCH(D439,'🔄 Rotação Duplas'!$D$92:$D$101,0))),"Semana 8",IFERROR(INDEX('🔄 Rotação Duplas'!$D$106:$D$115,MATCH(D439,'🔄 Rotação Duplas'!$C$106:$C$115,0)),INDEX('🔄 Rotação Duplas'!$C$106:$C$115,MATCH(D439,'🔄 Rotação Duplas'!$D$106:$D$115,0)))),""))</f>
        <v/>
      </c>
      <c r="T439">
        <f t="shared" si="35"/>
        <v>0</v>
      </c>
    </row>
    <row r="440" spans="2:20" ht="18" customHeight="1" x14ac:dyDescent="0.2">
      <c r="B440" s="85" t="s">
        <v>109</v>
      </c>
      <c r="C440" s="86" t="str">
        <f t="shared" si="37"/>
        <v>Desafio 22</v>
      </c>
      <c r="D440" s="87" t="str">
        <f>'⚙️ Configuração'!C43</f>
        <v>Paula Martins</v>
      </c>
      <c r="E440" s="50">
        <v>0</v>
      </c>
      <c r="F440" s="50">
        <v>0</v>
      </c>
      <c r="G440" s="50">
        <v>0</v>
      </c>
      <c r="H440" s="50">
        <v>0</v>
      </c>
      <c r="I440" s="50">
        <v>0</v>
      </c>
      <c r="J440" s="89">
        <v>0</v>
      </c>
      <c r="K440" s="81">
        <f>(E440*'⚙️ Configuração'!$C$6+F440*'⚙️ Configuração'!$C$7+G440*'⚙️ Configuração'!$C$8+H440*'⚙️ Configuração'!$C$9+I440*'⚙️ Configuração'!$C$10+J440*'⚙️ Configuração'!$C$11)*IF(N440="S",2,1)</f>
        <v>0</v>
      </c>
      <c r="L440" s="90" t="s">
        <v>167</v>
      </c>
      <c r="M440" s="82">
        <f>IF(L440="AT1",'⚙️ Configuração'!$C$14,IF(L440="AT2",'⚙️ Configuração'!$C$15,IF(L440="FI",'⚙️ Configuração'!$C$16,IF(L440="FJ",'⚙️ Configuração'!$C$17,0))))</f>
        <v>0</v>
      </c>
      <c r="N440" s="91" t="s">
        <v>167</v>
      </c>
      <c r="O440" s="92"/>
      <c r="P440" s="83">
        <f>IF(O440="1",'⚙️ Configuração'!$C$21,IF(O440="2",'⚙️ Configuração'!$C$22,IF(O440="3",'⚙️ Configuração'!$C$23,IF(O440="Outro",'⚙️ Configuração'!$C$24,0))))</f>
        <v>0</v>
      </c>
      <c r="Q440" s="84">
        <f t="shared" si="34"/>
        <v>0</v>
      </c>
      <c r="R440" s="40" t="str">
        <f t="shared" si="22"/>
        <v>Semana 1 — ver 🔄</v>
      </c>
      <c r="S440" t="str" cm="1">
        <f t="array" ref="S440">IF(D440="","",IFERROR(_xlfn.SWITCH(B440,"Semana 1",IFERROR(INDEX('🔄 Rotação Duplas'!$D$8:$D$17,MATCH(D440,'🔄 Rotação Duplas'!$C$8:$C$17,0)),INDEX('🔄 Rotação Duplas'!$C$8:$C$17,MATCH(D440,'🔄 Rotação Duplas'!$D$8:$D$17,0))),"Semana 2",IFERROR(INDEX('🔄 Rotação Duplas'!$D$22:$D$31,MATCH(D440,'🔄 Rotação Duplas'!$C$22:$C$31,0)),INDEX('🔄 Rotação Duplas'!$C$22:$C$31,MATCH(D440,'🔄 Rotação Duplas'!$D$22:$D$31,0))),"Semana 3",IFERROR(INDEX('🔄 Rotação Duplas'!$D$36:$D$45,MATCH(D440,'🔄 Rotação Duplas'!$C$36:$C$45,0)),INDEX('🔄 Rotação Duplas'!$C$36:$C$45,MATCH(D440,'🔄 Rotação Duplas'!$D$36:$D$45,0))),"Semana 4",IFERROR(INDEX('🔄 Rotação Duplas'!$D$50:$D$59,MATCH(D440,'🔄 Rotação Duplas'!$C$50:$C$59,0)),INDEX('🔄 Rotação Duplas'!$C$50:$C$59,MATCH(D440,'🔄 Rotação Duplas'!$D$50:$D$59,0))),"Semana 5",IFERROR(INDEX('🔄 Rotação Duplas'!$D$64:$D$73,MATCH(D440,'🔄 Rotação Duplas'!$C$64:$C$73,0)),INDEX('🔄 Rotação Duplas'!$C$64:$C$73,MATCH(D440,'🔄 Rotação Duplas'!$D$64:$D$73,0))),"Semana 6",IFERROR(INDEX('🔄 Rotação Duplas'!$D$78:$D$87,MATCH(D440,'🔄 Rotação Duplas'!$C$78:$C$87,0)),INDEX('🔄 Rotação Duplas'!$C$78:$C$87,MATCH(D440,'🔄 Rotação Duplas'!$D$78:$D$87,0))),"Semana 7",IFERROR(INDEX('🔄 Rotação Duplas'!$D$92:$D$101,MATCH(D440,'🔄 Rotação Duplas'!$C$92:$C$101,0)),INDEX('🔄 Rotação Duplas'!$C$92:$C$101,MATCH(D440,'🔄 Rotação Duplas'!$D$92:$D$101,0))),"Semana 8",IFERROR(INDEX('🔄 Rotação Duplas'!$D$106:$D$115,MATCH(D440,'🔄 Rotação Duplas'!$C$106:$C$115,0)),INDEX('🔄 Rotação Duplas'!$C$106:$C$115,MATCH(D440,'🔄 Rotação Duplas'!$D$106:$D$115,0)))),""))</f>
        <v/>
      </c>
      <c r="T440">
        <f t="shared" si="35"/>
        <v>0</v>
      </c>
    </row>
    <row r="441" spans="2:20" ht="18" customHeight="1" x14ac:dyDescent="0.2">
      <c r="B441" s="78" t="s">
        <v>109</v>
      </c>
      <c r="C441" s="79" t="str">
        <f t="shared" si="37"/>
        <v>Desafio 22</v>
      </c>
      <c r="D441" s="80" t="str">
        <f>'⚙️ Configuração'!C44</f>
        <v>Paula Miabara</v>
      </c>
      <c r="E441" s="50">
        <v>0</v>
      </c>
      <c r="F441" s="50">
        <v>0</v>
      </c>
      <c r="G441" s="50">
        <v>0</v>
      </c>
      <c r="H441" s="50">
        <v>0</v>
      </c>
      <c r="I441" s="50">
        <v>0</v>
      </c>
      <c r="J441" s="89">
        <v>0</v>
      </c>
      <c r="K441" s="81">
        <f>(E441*'⚙️ Configuração'!$C$6+F441*'⚙️ Configuração'!$C$7+G441*'⚙️ Configuração'!$C$8+H441*'⚙️ Configuração'!$C$9+I441*'⚙️ Configuração'!$C$10+J441*'⚙️ Configuração'!$C$11)*IF(N441="S",2,1)</f>
        <v>0</v>
      </c>
      <c r="L441" s="90" t="s">
        <v>167</v>
      </c>
      <c r="M441" s="82">
        <f>IF(L441="AT1",'⚙️ Configuração'!$C$14,IF(L441="AT2",'⚙️ Configuração'!$C$15,IF(L441="FI",'⚙️ Configuração'!$C$16,IF(L441="FJ",'⚙️ Configuração'!$C$17,0))))</f>
        <v>0</v>
      </c>
      <c r="N441" s="91" t="s">
        <v>167</v>
      </c>
      <c r="O441" s="92"/>
      <c r="P441" s="83">
        <f>IF(O441="1",'⚙️ Configuração'!$C$21,IF(O441="2",'⚙️ Configuração'!$C$22,IF(O441="3",'⚙️ Configuração'!$C$23,IF(O441="Outro",'⚙️ Configuração'!$C$24,0))))</f>
        <v>0</v>
      </c>
      <c r="Q441" s="84">
        <f t="shared" si="34"/>
        <v>0</v>
      </c>
      <c r="R441" s="40" t="str">
        <f t="shared" si="22"/>
        <v>Semana 1 — ver 🔄</v>
      </c>
      <c r="S441" t="str" cm="1">
        <f t="array" ref="S441">IF(D441="","",IFERROR(_xlfn.SWITCH(B441,"Semana 1",IFERROR(INDEX('🔄 Rotação Duplas'!$D$8:$D$17,MATCH(D441,'🔄 Rotação Duplas'!$C$8:$C$17,0)),INDEX('🔄 Rotação Duplas'!$C$8:$C$17,MATCH(D441,'🔄 Rotação Duplas'!$D$8:$D$17,0))),"Semana 2",IFERROR(INDEX('🔄 Rotação Duplas'!$D$22:$D$31,MATCH(D441,'🔄 Rotação Duplas'!$C$22:$C$31,0)),INDEX('🔄 Rotação Duplas'!$C$22:$C$31,MATCH(D441,'🔄 Rotação Duplas'!$D$22:$D$31,0))),"Semana 3",IFERROR(INDEX('🔄 Rotação Duplas'!$D$36:$D$45,MATCH(D441,'🔄 Rotação Duplas'!$C$36:$C$45,0)),INDEX('🔄 Rotação Duplas'!$C$36:$C$45,MATCH(D441,'🔄 Rotação Duplas'!$D$36:$D$45,0))),"Semana 4",IFERROR(INDEX('🔄 Rotação Duplas'!$D$50:$D$59,MATCH(D441,'🔄 Rotação Duplas'!$C$50:$C$59,0)),INDEX('🔄 Rotação Duplas'!$C$50:$C$59,MATCH(D441,'🔄 Rotação Duplas'!$D$50:$D$59,0))),"Semana 5",IFERROR(INDEX('🔄 Rotação Duplas'!$D$64:$D$73,MATCH(D441,'🔄 Rotação Duplas'!$C$64:$C$73,0)),INDEX('🔄 Rotação Duplas'!$C$64:$C$73,MATCH(D441,'🔄 Rotação Duplas'!$D$64:$D$73,0))),"Semana 6",IFERROR(INDEX('🔄 Rotação Duplas'!$D$78:$D$87,MATCH(D441,'🔄 Rotação Duplas'!$C$78:$C$87,0)),INDEX('🔄 Rotação Duplas'!$C$78:$C$87,MATCH(D441,'🔄 Rotação Duplas'!$D$78:$D$87,0))),"Semana 7",IFERROR(INDEX('🔄 Rotação Duplas'!$D$92:$D$101,MATCH(D441,'🔄 Rotação Duplas'!$C$92:$C$101,0)),INDEX('🔄 Rotação Duplas'!$C$92:$C$101,MATCH(D441,'🔄 Rotação Duplas'!$D$92:$D$101,0))),"Semana 8",IFERROR(INDEX('🔄 Rotação Duplas'!$D$106:$D$115,MATCH(D441,'🔄 Rotação Duplas'!$C$106:$C$115,0)),INDEX('🔄 Rotação Duplas'!$C$106:$C$115,MATCH(D441,'🔄 Rotação Duplas'!$D$106:$D$115,0)))),""))</f>
        <v/>
      </c>
      <c r="T441">
        <f t="shared" si="35"/>
        <v>0</v>
      </c>
    </row>
    <row r="442" spans="2:20" ht="18" customHeight="1" x14ac:dyDescent="0.2">
      <c r="B442" s="85" t="s">
        <v>109</v>
      </c>
      <c r="C442" s="86" t="str">
        <f t="shared" si="37"/>
        <v>Desafio 22</v>
      </c>
      <c r="D442" s="87" t="str">
        <f>'⚙️ Configuração'!C45</f>
        <v>Rita Carmo</v>
      </c>
      <c r="E442" s="50">
        <v>0</v>
      </c>
      <c r="F442" s="50">
        <v>0</v>
      </c>
      <c r="G442" s="50">
        <v>0</v>
      </c>
      <c r="H442" s="50">
        <v>0</v>
      </c>
      <c r="I442" s="50">
        <v>0</v>
      </c>
      <c r="J442" s="89">
        <v>0</v>
      </c>
      <c r="K442" s="81">
        <f>(E442*'⚙️ Configuração'!$C$6+F442*'⚙️ Configuração'!$C$7+G442*'⚙️ Configuração'!$C$8+H442*'⚙️ Configuração'!$C$9+I442*'⚙️ Configuração'!$C$10+J442*'⚙️ Configuração'!$C$11)*IF(N442="S",2,1)</f>
        <v>0</v>
      </c>
      <c r="L442" s="90" t="s">
        <v>167</v>
      </c>
      <c r="M442" s="82">
        <f>IF(L442="AT1",'⚙️ Configuração'!$C$14,IF(L442="AT2",'⚙️ Configuração'!$C$15,IF(L442="FI",'⚙️ Configuração'!$C$16,IF(L442="FJ",'⚙️ Configuração'!$C$17,0))))</f>
        <v>0</v>
      </c>
      <c r="N442" s="91" t="s">
        <v>167</v>
      </c>
      <c r="O442" s="92"/>
      <c r="P442" s="83">
        <f>IF(O442="1",'⚙️ Configuração'!$C$21,IF(O442="2",'⚙️ Configuração'!$C$22,IF(O442="3",'⚙️ Configuração'!$C$23,IF(O442="Outro",'⚙️ Configuração'!$C$24,0))))</f>
        <v>0</v>
      </c>
      <c r="Q442" s="84">
        <f t="shared" si="34"/>
        <v>0</v>
      </c>
      <c r="R442" s="40" t="str">
        <f t="shared" si="22"/>
        <v>Semana 1 — ver 🔄</v>
      </c>
      <c r="S442" t="str" cm="1">
        <f t="array" ref="S442">IF(D442="","",IFERROR(_xlfn.SWITCH(B442,"Semana 1",IFERROR(INDEX('🔄 Rotação Duplas'!$D$8:$D$17,MATCH(D442,'🔄 Rotação Duplas'!$C$8:$C$17,0)),INDEX('🔄 Rotação Duplas'!$C$8:$C$17,MATCH(D442,'🔄 Rotação Duplas'!$D$8:$D$17,0))),"Semana 2",IFERROR(INDEX('🔄 Rotação Duplas'!$D$22:$D$31,MATCH(D442,'🔄 Rotação Duplas'!$C$22:$C$31,0)),INDEX('🔄 Rotação Duplas'!$C$22:$C$31,MATCH(D442,'🔄 Rotação Duplas'!$D$22:$D$31,0))),"Semana 3",IFERROR(INDEX('🔄 Rotação Duplas'!$D$36:$D$45,MATCH(D442,'🔄 Rotação Duplas'!$C$36:$C$45,0)),INDEX('🔄 Rotação Duplas'!$C$36:$C$45,MATCH(D442,'🔄 Rotação Duplas'!$D$36:$D$45,0))),"Semana 4",IFERROR(INDEX('🔄 Rotação Duplas'!$D$50:$D$59,MATCH(D442,'🔄 Rotação Duplas'!$C$50:$C$59,0)),INDEX('🔄 Rotação Duplas'!$C$50:$C$59,MATCH(D442,'🔄 Rotação Duplas'!$D$50:$D$59,0))),"Semana 5",IFERROR(INDEX('🔄 Rotação Duplas'!$D$64:$D$73,MATCH(D442,'🔄 Rotação Duplas'!$C$64:$C$73,0)),INDEX('🔄 Rotação Duplas'!$C$64:$C$73,MATCH(D442,'🔄 Rotação Duplas'!$D$64:$D$73,0))),"Semana 6",IFERROR(INDEX('🔄 Rotação Duplas'!$D$78:$D$87,MATCH(D442,'🔄 Rotação Duplas'!$C$78:$C$87,0)),INDEX('🔄 Rotação Duplas'!$C$78:$C$87,MATCH(D442,'🔄 Rotação Duplas'!$D$78:$D$87,0))),"Semana 7",IFERROR(INDEX('🔄 Rotação Duplas'!$D$92:$D$101,MATCH(D442,'🔄 Rotação Duplas'!$C$92:$C$101,0)),INDEX('🔄 Rotação Duplas'!$C$92:$C$101,MATCH(D442,'🔄 Rotação Duplas'!$D$92:$D$101,0))),"Semana 8",IFERROR(INDEX('🔄 Rotação Duplas'!$D$106:$D$115,MATCH(D442,'🔄 Rotação Duplas'!$C$106:$C$115,0)),INDEX('🔄 Rotação Duplas'!$C$106:$C$115,MATCH(D442,'🔄 Rotação Duplas'!$D$106:$D$115,0)))),""))</f>
        <v/>
      </c>
      <c r="T442">
        <f t="shared" si="35"/>
        <v>0</v>
      </c>
    </row>
    <row r="443" spans="2:20" ht="18" customHeight="1" x14ac:dyDescent="0.2">
      <c r="B443" s="78" t="s">
        <v>109</v>
      </c>
      <c r="C443" s="79" t="str">
        <f t="shared" si="37"/>
        <v>Desafio 22</v>
      </c>
      <c r="D443" s="80" t="str">
        <f>'⚙️ Configuração'!C46</f>
        <v>William Fernandes</v>
      </c>
      <c r="E443" s="50">
        <v>0</v>
      </c>
      <c r="F443" s="50">
        <v>0</v>
      </c>
      <c r="G443" s="50">
        <v>0</v>
      </c>
      <c r="H443" s="50">
        <v>0</v>
      </c>
      <c r="I443" s="50">
        <v>0</v>
      </c>
      <c r="J443" s="89">
        <v>0</v>
      </c>
      <c r="K443" s="81">
        <f>(E443*'⚙️ Configuração'!$C$6+F443*'⚙️ Configuração'!$C$7+G443*'⚙️ Configuração'!$C$8+H443*'⚙️ Configuração'!$C$9+I443*'⚙️ Configuração'!$C$10+J443*'⚙️ Configuração'!$C$11)*IF(N443="S",2,1)</f>
        <v>0</v>
      </c>
      <c r="L443" s="90" t="s">
        <v>167</v>
      </c>
      <c r="M443" s="82">
        <f>IF(L443="AT1",'⚙️ Configuração'!$C$14,IF(L443="AT2",'⚙️ Configuração'!$C$15,IF(L443="FI",'⚙️ Configuração'!$C$16,IF(L443="FJ",'⚙️ Configuração'!$C$17,0))))</f>
        <v>0</v>
      </c>
      <c r="N443" s="91" t="s">
        <v>167</v>
      </c>
      <c r="O443" s="92"/>
      <c r="P443" s="83">
        <f>IF(O443="1",'⚙️ Configuração'!$C$21,IF(O443="2",'⚙️ Configuração'!$C$22,IF(O443="3",'⚙️ Configuração'!$C$23,IF(O443="Outro",'⚙️ Configuração'!$C$24,0))))</f>
        <v>0</v>
      </c>
      <c r="Q443" s="84">
        <f t="shared" si="34"/>
        <v>0</v>
      </c>
      <c r="R443" s="40" t="str">
        <f t="shared" si="22"/>
        <v>Semana 1 — ver 🔄</v>
      </c>
      <c r="S443" t="str" cm="1">
        <f t="array" ref="S443">IF(D443="","",IFERROR(_xlfn.SWITCH(B443,"Semana 1",IFERROR(INDEX('🔄 Rotação Duplas'!$D$8:$D$17,MATCH(D443,'🔄 Rotação Duplas'!$C$8:$C$17,0)),INDEX('🔄 Rotação Duplas'!$C$8:$C$17,MATCH(D443,'🔄 Rotação Duplas'!$D$8:$D$17,0))),"Semana 2",IFERROR(INDEX('🔄 Rotação Duplas'!$D$22:$D$31,MATCH(D443,'🔄 Rotação Duplas'!$C$22:$C$31,0)),INDEX('🔄 Rotação Duplas'!$C$22:$C$31,MATCH(D443,'🔄 Rotação Duplas'!$D$22:$D$31,0))),"Semana 3",IFERROR(INDEX('🔄 Rotação Duplas'!$D$36:$D$45,MATCH(D443,'🔄 Rotação Duplas'!$C$36:$C$45,0)),INDEX('🔄 Rotação Duplas'!$C$36:$C$45,MATCH(D443,'🔄 Rotação Duplas'!$D$36:$D$45,0))),"Semana 4",IFERROR(INDEX('🔄 Rotação Duplas'!$D$50:$D$59,MATCH(D443,'🔄 Rotação Duplas'!$C$50:$C$59,0)),INDEX('🔄 Rotação Duplas'!$C$50:$C$59,MATCH(D443,'🔄 Rotação Duplas'!$D$50:$D$59,0))),"Semana 5",IFERROR(INDEX('🔄 Rotação Duplas'!$D$64:$D$73,MATCH(D443,'🔄 Rotação Duplas'!$C$64:$C$73,0)),INDEX('🔄 Rotação Duplas'!$C$64:$C$73,MATCH(D443,'🔄 Rotação Duplas'!$D$64:$D$73,0))),"Semana 6",IFERROR(INDEX('🔄 Rotação Duplas'!$D$78:$D$87,MATCH(D443,'🔄 Rotação Duplas'!$C$78:$C$87,0)),INDEX('🔄 Rotação Duplas'!$C$78:$C$87,MATCH(D443,'🔄 Rotação Duplas'!$D$78:$D$87,0))),"Semana 7",IFERROR(INDEX('🔄 Rotação Duplas'!$D$92:$D$101,MATCH(D443,'🔄 Rotação Duplas'!$C$92:$C$101,0)),INDEX('🔄 Rotação Duplas'!$C$92:$C$101,MATCH(D443,'🔄 Rotação Duplas'!$D$92:$D$101,0))),"Semana 8",IFERROR(INDEX('🔄 Rotação Duplas'!$D$106:$D$115,MATCH(D443,'🔄 Rotação Duplas'!$C$106:$C$115,0)),INDEX('🔄 Rotação Duplas'!$C$106:$C$115,MATCH(D443,'🔄 Rotação Duplas'!$D$106:$D$115,0)))),""))</f>
        <v/>
      </c>
      <c r="T443">
        <f t="shared" si="35"/>
        <v>0</v>
      </c>
    </row>
    <row r="444" spans="2:20" ht="18" customHeight="1" x14ac:dyDescent="0.2">
      <c r="B444" s="85" t="s">
        <v>109</v>
      </c>
      <c r="C444" s="86" t="str">
        <f t="shared" si="37"/>
        <v>Desafio 22</v>
      </c>
      <c r="D444" s="87" t="str">
        <f>'⚙️ Configuração'!C47</f>
        <v>-</v>
      </c>
      <c r="E444" s="50">
        <v>0</v>
      </c>
      <c r="F444" s="50">
        <v>0</v>
      </c>
      <c r="G444" s="50">
        <v>0</v>
      </c>
      <c r="H444" s="50">
        <v>0</v>
      </c>
      <c r="I444" s="50">
        <v>0</v>
      </c>
      <c r="J444" s="89">
        <v>0</v>
      </c>
      <c r="K444" s="81">
        <f>(E444*'⚙️ Configuração'!$C$6+F444*'⚙️ Configuração'!$C$7+G444*'⚙️ Configuração'!$C$8+H444*'⚙️ Configuração'!$C$9+I444*'⚙️ Configuração'!$C$10+J444*'⚙️ Configuração'!$C$11)*IF(N444="S",2,1)</f>
        <v>0</v>
      </c>
      <c r="L444" s="90" t="s">
        <v>167</v>
      </c>
      <c r="M444" s="82">
        <f>IF(L444="AT1",'⚙️ Configuração'!$C$14,IF(L444="AT2",'⚙️ Configuração'!$C$15,IF(L444="FI",'⚙️ Configuração'!$C$16,IF(L444="FJ",'⚙️ Configuração'!$C$17,0))))</f>
        <v>0</v>
      </c>
      <c r="N444" s="91" t="s">
        <v>167</v>
      </c>
      <c r="O444" s="92"/>
      <c r="P444" s="83">
        <f>IF(O444="1",'⚙️ Configuração'!$C$21,IF(O444="2",'⚙️ Configuração'!$C$22,IF(O444="3",'⚙️ Configuração'!$C$23,IF(O444="Outro",'⚙️ Configuração'!$C$24,0))))</f>
        <v>0</v>
      </c>
      <c r="Q444" s="84">
        <f t="shared" si="34"/>
        <v>0</v>
      </c>
      <c r="R444" s="40" t="str">
        <f t="shared" si="22"/>
        <v>Semana 1 — ver 🔄</v>
      </c>
      <c r="S444" t="str" cm="1">
        <f t="array" ref="S444">IF(D444="","",IFERROR(_xlfn.SWITCH(B444,"Semana 1",IFERROR(INDEX('🔄 Rotação Duplas'!$D$8:$D$17,MATCH(D444,'🔄 Rotação Duplas'!$C$8:$C$17,0)),INDEX('🔄 Rotação Duplas'!$C$8:$C$17,MATCH(D444,'🔄 Rotação Duplas'!$D$8:$D$17,0))),"Semana 2",IFERROR(INDEX('🔄 Rotação Duplas'!$D$22:$D$31,MATCH(D444,'🔄 Rotação Duplas'!$C$22:$C$31,0)),INDEX('🔄 Rotação Duplas'!$C$22:$C$31,MATCH(D444,'🔄 Rotação Duplas'!$D$22:$D$31,0))),"Semana 3",IFERROR(INDEX('🔄 Rotação Duplas'!$D$36:$D$45,MATCH(D444,'🔄 Rotação Duplas'!$C$36:$C$45,0)),INDEX('🔄 Rotação Duplas'!$C$36:$C$45,MATCH(D444,'🔄 Rotação Duplas'!$D$36:$D$45,0))),"Semana 4",IFERROR(INDEX('🔄 Rotação Duplas'!$D$50:$D$59,MATCH(D444,'🔄 Rotação Duplas'!$C$50:$C$59,0)),INDEX('🔄 Rotação Duplas'!$C$50:$C$59,MATCH(D444,'🔄 Rotação Duplas'!$D$50:$D$59,0))),"Semana 5",IFERROR(INDEX('🔄 Rotação Duplas'!$D$64:$D$73,MATCH(D444,'🔄 Rotação Duplas'!$C$64:$C$73,0)),INDEX('🔄 Rotação Duplas'!$C$64:$C$73,MATCH(D444,'🔄 Rotação Duplas'!$D$64:$D$73,0))),"Semana 6",IFERROR(INDEX('🔄 Rotação Duplas'!$D$78:$D$87,MATCH(D444,'🔄 Rotação Duplas'!$C$78:$C$87,0)),INDEX('🔄 Rotação Duplas'!$C$78:$C$87,MATCH(D444,'🔄 Rotação Duplas'!$D$78:$D$87,0))),"Semana 7",IFERROR(INDEX('🔄 Rotação Duplas'!$D$92:$D$101,MATCH(D444,'🔄 Rotação Duplas'!$C$92:$C$101,0)),INDEX('🔄 Rotação Duplas'!$C$92:$C$101,MATCH(D444,'🔄 Rotação Duplas'!$D$92:$D$101,0))),"Semana 8",IFERROR(INDEX('🔄 Rotação Duplas'!$D$106:$D$115,MATCH(D444,'🔄 Rotação Duplas'!$C$106:$C$115,0)),INDEX('🔄 Rotação Duplas'!$C$106:$C$115,MATCH(D444,'🔄 Rotação Duplas'!$D$106:$D$115,0)))),""))</f>
        <v/>
      </c>
      <c r="T444">
        <f t="shared" si="35"/>
        <v>0</v>
      </c>
    </row>
    <row r="445" spans="2:20" ht="18" customHeight="1" x14ac:dyDescent="0.2">
      <c r="B445" s="78" t="s">
        <v>109</v>
      </c>
      <c r="C445" s="79" t="str">
        <f t="shared" si="37"/>
        <v>Desafio 22</v>
      </c>
      <c r="D445" s="80" t="str">
        <f>'⚙️ Configuração'!C48</f>
        <v>-</v>
      </c>
      <c r="E445" s="50">
        <v>0</v>
      </c>
      <c r="F445" s="50">
        <v>0</v>
      </c>
      <c r="G445" s="50">
        <v>0</v>
      </c>
      <c r="H445" s="50">
        <v>0</v>
      </c>
      <c r="I445" s="50">
        <v>0</v>
      </c>
      <c r="J445" s="89">
        <v>0</v>
      </c>
      <c r="K445" s="81">
        <f>(E445*'⚙️ Configuração'!$C$6+F445*'⚙️ Configuração'!$C$7+G445*'⚙️ Configuração'!$C$8+H445*'⚙️ Configuração'!$C$9+I445*'⚙️ Configuração'!$C$10+J445*'⚙️ Configuração'!$C$11)*IF(N445="S",2,1)</f>
        <v>0</v>
      </c>
      <c r="L445" s="90" t="s">
        <v>167</v>
      </c>
      <c r="M445" s="82">
        <f>IF(L445="AT1",'⚙️ Configuração'!$C$14,IF(L445="AT2",'⚙️ Configuração'!$C$15,IF(L445="FI",'⚙️ Configuração'!$C$16,IF(L445="FJ",'⚙️ Configuração'!$C$17,0))))</f>
        <v>0</v>
      </c>
      <c r="N445" s="91" t="s">
        <v>167</v>
      </c>
      <c r="O445" s="92"/>
      <c r="P445" s="83">
        <f>IF(O445="1",'⚙️ Configuração'!$C$21,IF(O445="2",'⚙️ Configuração'!$C$22,IF(O445="3",'⚙️ Configuração'!$C$23,IF(O445="Outro",'⚙️ Configuração'!$C$24,0))))</f>
        <v>0</v>
      </c>
      <c r="Q445" s="84">
        <f t="shared" si="34"/>
        <v>0</v>
      </c>
      <c r="R445" s="40" t="str">
        <f t="shared" si="22"/>
        <v>Semana 1 — ver 🔄</v>
      </c>
      <c r="S445" t="str" cm="1">
        <f t="array" ref="S445">IF(D445="","",IFERROR(_xlfn.SWITCH(B445,"Semana 1",IFERROR(INDEX('🔄 Rotação Duplas'!$D$8:$D$17,MATCH(D445,'🔄 Rotação Duplas'!$C$8:$C$17,0)),INDEX('🔄 Rotação Duplas'!$C$8:$C$17,MATCH(D445,'🔄 Rotação Duplas'!$D$8:$D$17,0))),"Semana 2",IFERROR(INDEX('🔄 Rotação Duplas'!$D$22:$D$31,MATCH(D445,'🔄 Rotação Duplas'!$C$22:$C$31,0)),INDEX('🔄 Rotação Duplas'!$C$22:$C$31,MATCH(D445,'🔄 Rotação Duplas'!$D$22:$D$31,0))),"Semana 3",IFERROR(INDEX('🔄 Rotação Duplas'!$D$36:$D$45,MATCH(D445,'🔄 Rotação Duplas'!$C$36:$C$45,0)),INDEX('🔄 Rotação Duplas'!$C$36:$C$45,MATCH(D445,'🔄 Rotação Duplas'!$D$36:$D$45,0))),"Semana 4",IFERROR(INDEX('🔄 Rotação Duplas'!$D$50:$D$59,MATCH(D445,'🔄 Rotação Duplas'!$C$50:$C$59,0)),INDEX('🔄 Rotação Duplas'!$C$50:$C$59,MATCH(D445,'🔄 Rotação Duplas'!$D$50:$D$59,0))),"Semana 5",IFERROR(INDEX('🔄 Rotação Duplas'!$D$64:$D$73,MATCH(D445,'🔄 Rotação Duplas'!$C$64:$C$73,0)),INDEX('🔄 Rotação Duplas'!$C$64:$C$73,MATCH(D445,'🔄 Rotação Duplas'!$D$64:$D$73,0))),"Semana 6",IFERROR(INDEX('🔄 Rotação Duplas'!$D$78:$D$87,MATCH(D445,'🔄 Rotação Duplas'!$C$78:$C$87,0)),INDEX('🔄 Rotação Duplas'!$C$78:$C$87,MATCH(D445,'🔄 Rotação Duplas'!$D$78:$D$87,0))),"Semana 7",IFERROR(INDEX('🔄 Rotação Duplas'!$D$92:$D$101,MATCH(D445,'🔄 Rotação Duplas'!$C$92:$C$101,0)),INDEX('🔄 Rotação Duplas'!$C$92:$C$101,MATCH(D445,'🔄 Rotação Duplas'!$D$92:$D$101,0))),"Semana 8",IFERROR(INDEX('🔄 Rotação Duplas'!$D$106:$D$115,MATCH(D445,'🔄 Rotação Duplas'!$C$106:$C$115,0)),INDEX('🔄 Rotação Duplas'!$C$106:$C$115,MATCH(D445,'🔄 Rotação Duplas'!$D$106:$D$115,0)))),""))</f>
        <v/>
      </c>
      <c r="T445">
        <f t="shared" si="35"/>
        <v>0</v>
      </c>
    </row>
    <row r="446" spans="2:20" ht="18" customHeight="1" x14ac:dyDescent="0.2">
      <c r="B446" s="85" t="s">
        <v>109</v>
      </c>
      <c r="C446" s="86" t="str">
        <f t="shared" si="37"/>
        <v>Desafio 22</v>
      </c>
      <c r="D446" s="87" t="str">
        <f>'⚙️ Configuração'!C49</f>
        <v>-</v>
      </c>
      <c r="E446" s="50">
        <v>0</v>
      </c>
      <c r="F446" s="50">
        <v>0</v>
      </c>
      <c r="G446" s="50">
        <v>0</v>
      </c>
      <c r="H446" s="50">
        <v>0</v>
      </c>
      <c r="I446" s="50">
        <v>0</v>
      </c>
      <c r="J446" s="89">
        <v>0</v>
      </c>
      <c r="K446" s="81">
        <f>(E446*'⚙️ Configuração'!$C$6+F446*'⚙️ Configuração'!$C$7+G446*'⚙️ Configuração'!$C$8+H446*'⚙️ Configuração'!$C$9+I446*'⚙️ Configuração'!$C$10+J446*'⚙️ Configuração'!$C$11)*IF(N446="S",2,1)</f>
        <v>0</v>
      </c>
      <c r="L446" s="90" t="s">
        <v>167</v>
      </c>
      <c r="M446" s="82">
        <f>IF(L446="AT1",'⚙️ Configuração'!$C$14,IF(L446="AT2",'⚙️ Configuração'!$C$15,IF(L446="FI",'⚙️ Configuração'!$C$16,IF(L446="FJ",'⚙️ Configuração'!$C$17,0))))</f>
        <v>0</v>
      </c>
      <c r="N446" s="91" t="s">
        <v>167</v>
      </c>
      <c r="O446" s="92"/>
      <c r="P446" s="83">
        <f>IF(O446="1",'⚙️ Configuração'!$C$21,IF(O446="2",'⚙️ Configuração'!$C$22,IF(O446="3",'⚙️ Configuração'!$C$23,IF(O446="Outro",'⚙️ Configuração'!$C$24,0))))</f>
        <v>0</v>
      </c>
      <c r="Q446" s="84">
        <f t="shared" si="34"/>
        <v>0</v>
      </c>
      <c r="R446" s="40" t="str">
        <f t="shared" si="22"/>
        <v>Semana 1 — ver 🔄</v>
      </c>
      <c r="S446" t="str" cm="1">
        <f t="array" ref="S446">IF(D446="","",IFERROR(_xlfn.SWITCH(B446,"Semana 1",IFERROR(INDEX('🔄 Rotação Duplas'!$D$8:$D$17,MATCH(D446,'🔄 Rotação Duplas'!$C$8:$C$17,0)),INDEX('🔄 Rotação Duplas'!$C$8:$C$17,MATCH(D446,'🔄 Rotação Duplas'!$D$8:$D$17,0))),"Semana 2",IFERROR(INDEX('🔄 Rotação Duplas'!$D$22:$D$31,MATCH(D446,'🔄 Rotação Duplas'!$C$22:$C$31,0)),INDEX('🔄 Rotação Duplas'!$C$22:$C$31,MATCH(D446,'🔄 Rotação Duplas'!$D$22:$D$31,0))),"Semana 3",IFERROR(INDEX('🔄 Rotação Duplas'!$D$36:$D$45,MATCH(D446,'🔄 Rotação Duplas'!$C$36:$C$45,0)),INDEX('🔄 Rotação Duplas'!$C$36:$C$45,MATCH(D446,'🔄 Rotação Duplas'!$D$36:$D$45,0))),"Semana 4",IFERROR(INDEX('🔄 Rotação Duplas'!$D$50:$D$59,MATCH(D446,'🔄 Rotação Duplas'!$C$50:$C$59,0)),INDEX('🔄 Rotação Duplas'!$C$50:$C$59,MATCH(D446,'🔄 Rotação Duplas'!$D$50:$D$59,0))),"Semana 5",IFERROR(INDEX('🔄 Rotação Duplas'!$D$64:$D$73,MATCH(D446,'🔄 Rotação Duplas'!$C$64:$C$73,0)),INDEX('🔄 Rotação Duplas'!$C$64:$C$73,MATCH(D446,'🔄 Rotação Duplas'!$D$64:$D$73,0))),"Semana 6",IFERROR(INDEX('🔄 Rotação Duplas'!$D$78:$D$87,MATCH(D446,'🔄 Rotação Duplas'!$C$78:$C$87,0)),INDEX('🔄 Rotação Duplas'!$C$78:$C$87,MATCH(D446,'🔄 Rotação Duplas'!$D$78:$D$87,0))),"Semana 7",IFERROR(INDEX('🔄 Rotação Duplas'!$D$92:$D$101,MATCH(D446,'🔄 Rotação Duplas'!$C$92:$C$101,0)),INDEX('🔄 Rotação Duplas'!$C$92:$C$101,MATCH(D446,'🔄 Rotação Duplas'!$D$92:$D$101,0))),"Semana 8",IFERROR(INDEX('🔄 Rotação Duplas'!$D$106:$D$115,MATCH(D446,'🔄 Rotação Duplas'!$C$106:$C$115,0)),INDEX('🔄 Rotação Duplas'!$C$106:$C$115,MATCH(D446,'🔄 Rotação Duplas'!$D$106:$D$115,0)))),""))</f>
        <v/>
      </c>
      <c r="T446">
        <f t="shared" si="35"/>
        <v>0</v>
      </c>
    </row>
    <row r="447" spans="2:20" ht="18" customHeight="1" x14ac:dyDescent="0.2">
      <c r="B447" s="78" t="s">
        <v>109</v>
      </c>
      <c r="C447" s="79" t="str">
        <f t="shared" ref="C447:C466" si="38">"Desafio 23"</f>
        <v>Desafio 23</v>
      </c>
      <c r="D447" s="80" t="str">
        <f>'⚙️ Configuração'!C30</f>
        <v>Carla Cantante</v>
      </c>
      <c r="E447" s="50">
        <v>0</v>
      </c>
      <c r="F447" s="50">
        <v>0</v>
      </c>
      <c r="G447" s="50">
        <v>0</v>
      </c>
      <c r="H447" s="50">
        <v>0</v>
      </c>
      <c r="I447" s="50">
        <v>0</v>
      </c>
      <c r="J447" s="89">
        <v>0</v>
      </c>
      <c r="K447" s="81">
        <f>(E447*'⚙️ Configuração'!$C$6+F447*'⚙️ Configuração'!$C$7+G447*'⚙️ Configuração'!$C$8+H447*'⚙️ Configuração'!$C$9+I447*'⚙️ Configuração'!$C$10+J447*'⚙️ Configuração'!$C$11)*IF(N447="S",2,1)</f>
        <v>0</v>
      </c>
      <c r="L447" s="90" t="s">
        <v>167</v>
      </c>
      <c r="M447" s="82">
        <f>IF(L447="AT1",'⚙️ Configuração'!$C$14,IF(L447="AT2",'⚙️ Configuração'!$C$15,IF(L447="FI",'⚙️ Configuração'!$C$16,IF(L447="FJ",'⚙️ Configuração'!$C$17,0))))</f>
        <v>0</v>
      </c>
      <c r="N447" s="91" t="s">
        <v>167</v>
      </c>
      <c r="O447" s="92"/>
      <c r="P447" s="83">
        <f>IF(O447="1",'⚙️ Configuração'!$C$21,IF(O447="2",'⚙️ Configuração'!$C$22,IF(O447="3",'⚙️ Configuração'!$C$23,IF(O447="Outro",'⚙️ Configuração'!$C$24,0))))</f>
        <v>0</v>
      </c>
      <c r="Q447" s="84">
        <f t="shared" si="34"/>
        <v>0</v>
      </c>
      <c r="R447" s="40" t="str">
        <f t="shared" si="22"/>
        <v>Semana 1 — ver 🔄</v>
      </c>
      <c r="S447" t="str" cm="1">
        <f t="array" ref="S447">IF(D447="","",IFERROR(_xlfn.SWITCH(B447,"Semana 1",IFERROR(INDEX('🔄 Rotação Duplas'!$D$8:$D$17,MATCH(D447,'🔄 Rotação Duplas'!$C$8:$C$17,0)),INDEX('🔄 Rotação Duplas'!$C$8:$C$17,MATCH(D447,'🔄 Rotação Duplas'!$D$8:$D$17,0))),"Semana 2",IFERROR(INDEX('🔄 Rotação Duplas'!$D$22:$D$31,MATCH(D447,'🔄 Rotação Duplas'!$C$22:$C$31,0)),INDEX('🔄 Rotação Duplas'!$C$22:$C$31,MATCH(D447,'🔄 Rotação Duplas'!$D$22:$D$31,0))),"Semana 3",IFERROR(INDEX('🔄 Rotação Duplas'!$D$36:$D$45,MATCH(D447,'🔄 Rotação Duplas'!$C$36:$C$45,0)),INDEX('🔄 Rotação Duplas'!$C$36:$C$45,MATCH(D447,'🔄 Rotação Duplas'!$D$36:$D$45,0))),"Semana 4",IFERROR(INDEX('🔄 Rotação Duplas'!$D$50:$D$59,MATCH(D447,'🔄 Rotação Duplas'!$C$50:$C$59,0)),INDEX('🔄 Rotação Duplas'!$C$50:$C$59,MATCH(D447,'🔄 Rotação Duplas'!$D$50:$D$59,0))),"Semana 5",IFERROR(INDEX('🔄 Rotação Duplas'!$D$64:$D$73,MATCH(D447,'🔄 Rotação Duplas'!$C$64:$C$73,0)),INDEX('🔄 Rotação Duplas'!$C$64:$C$73,MATCH(D447,'🔄 Rotação Duplas'!$D$64:$D$73,0))),"Semana 6",IFERROR(INDEX('🔄 Rotação Duplas'!$D$78:$D$87,MATCH(D447,'🔄 Rotação Duplas'!$C$78:$C$87,0)),INDEX('🔄 Rotação Duplas'!$C$78:$C$87,MATCH(D447,'🔄 Rotação Duplas'!$D$78:$D$87,0))),"Semana 7",IFERROR(INDEX('🔄 Rotação Duplas'!$D$92:$D$101,MATCH(D447,'🔄 Rotação Duplas'!$C$92:$C$101,0)),INDEX('🔄 Rotação Duplas'!$C$92:$C$101,MATCH(D447,'🔄 Rotação Duplas'!$D$92:$D$101,0))),"Semana 8",IFERROR(INDEX('🔄 Rotação Duplas'!$D$106:$D$115,MATCH(D447,'🔄 Rotação Duplas'!$C$106:$C$115,0)),INDEX('🔄 Rotação Duplas'!$C$106:$C$115,MATCH(D447,'🔄 Rotação Duplas'!$D$106:$D$115,0)))),""))</f>
        <v/>
      </c>
      <c r="T447">
        <f t="shared" si="35"/>
        <v>0</v>
      </c>
    </row>
    <row r="448" spans="2:20" ht="18" customHeight="1" x14ac:dyDescent="0.2">
      <c r="B448" s="85" t="s">
        <v>109</v>
      </c>
      <c r="C448" s="86" t="str">
        <f t="shared" si="38"/>
        <v>Desafio 23</v>
      </c>
      <c r="D448" s="87" t="str">
        <f>'⚙️ Configuração'!C31</f>
        <v>Elisabete Mendes</v>
      </c>
      <c r="E448" s="50">
        <v>0</v>
      </c>
      <c r="F448" s="50">
        <v>0</v>
      </c>
      <c r="G448" s="50">
        <v>0</v>
      </c>
      <c r="H448" s="50">
        <v>0</v>
      </c>
      <c r="I448" s="50">
        <v>0</v>
      </c>
      <c r="J448" s="89">
        <v>0</v>
      </c>
      <c r="K448" s="81">
        <f>(E448*'⚙️ Configuração'!$C$6+F448*'⚙️ Configuração'!$C$7+G448*'⚙️ Configuração'!$C$8+H448*'⚙️ Configuração'!$C$9+I448*'⚙️ Configuração'!$C$10+J448*'⚙️ Configuração'!$C$11)*IF(N448="S",2,1)</f>
        <v>0</v>
      </c>
      <c r="L448" s="90" t="s">
        <v>167</v>
      </c>
      <c r="M448" s="82">
        <f>IF(L448="AT1",'⚙️ Configuração'!$C$14,IF(L448="AT2",'⚙️ Configuração'!$C$15,IF(L448="FI",'⚙️ Configuração'!$C$16,IF(L448="FJ",'⚙️ Configuração'!$C$17,0))))</f>
        <v>0</v>
      </c>
      <c r="N448" s="91" t="s">
        <v>167</v>
      </c>
      <c r="O448" s="92"/>
      <c r="P448" s="83">
        <f>IF(O448="1",'⚙️ Configuração'!$C$21,IF(O448="2",'⚙️ Configuração'!$C$22,IF(O448="3",'⚙️ Configuração'!$C$23,IF(O448="Outro",'⚙️ Configuração'!$C$24,0))))</f>
        <v>0</v>
      </c>
      <c r="Q448" s="84">
        <f t="shared" si="34"/>
        <v>0</v>
      </c>
      <c r="R448" s="40" t="str">
        <f t="shared" si="22"/>
        <v>Semana 1 — ver 🔄</v>
      </c>
      <c r="S448" t="str" cm="1">
        <f t="array" ref="S448">IF(D448="","",IFERROR(_xlfn.SWITCH(B448,"Semana 1",IFERROR(INDEX('🔄 Rotação Duplas'!$D$8:$D$17,MATCH(D448,'🔄 Rotação Duplas'!$C$8:$C$17,0)),INDEX('🔄 Rotação Duplas'!$C$8:$C$17,MATCH(D448,'🔄 Rotação Duplas'!$D$8:$D$17,0))),"Semana 2",IFERROR(INDEX('🔄 Rotação Duplas'!$D$22:$D$31,MATCH(D448,'🔄 Rotação Duplas'!$C$22:$C$31,0)),INDEX('🔄 Rotação Duplas'!$C$22:$C$31,MATCH(D448,'🔄 Rotação Duplas'!$D$22:$D$31,0))),"Semana 3",IFERROR(INDEX('🔄 Rotação Duplas'!$D$36:$D$45,MATCH(D448,'🔄 Rotação Duplas'!$C$36:$C$45,0)),INDEX('🔄 Rotação Duplas'!$C$36:$C$45,MATCH(D448,'🔄 Rotação Duplas'!$D$36:$D$45,0))),"Semana 4",IFERROR(INDEX('🔄 Rotação Duplas'!$D$50:$D$59,MATCH(D448,'🔄 Rotação Duplas'!$C$50:$C$59,0)),INDEX('🔄 Rotação Duplas'!$C$50:$C$59,MATCH(D448,'🔄 Rotação Duplas'!$D$50:$D$59,0))),"Semana 5",IFERROR(INDEX('🔄 Rotação Duplas'!$D$64:$D$73,MATCH(D448,'🔄 Rotação Duplas'!$C$64:$C$73,0)),INDEX('🔄 Rotação Duplas'!$C$64:$C$73,MATCH(D448,'🔄 Rotação Duplas'!$D$64:$D$73,0))),"Semana 6",IFERROR(INDEX('🔄 Rotação Duplas'!$D$78:$D$87,MATCH(D448,'🔄 Rotação Duplas'!$C$78:$C$87,0)),INDEX('🔄 Rotação Duplas'!$C$78:$C$87,MATCH(D448,'🔄 Rotação Duplas'!$D$78:$D$87,0))),"Semana 7",IFERROR(INDEX('🔄 Rotação Duplas'!$D$92:$D$101,MATCH(D448,'🔄 Rotação Duplas'!$C$92:$C$101,0)),INDEX('🔄 Rotação Duplas'!$C$92:$C$101,MATCH(D448,'🔄 Rotação Duplas'!$D$92:$D$101,0))),"Semana 8",IFERROR(INDEX('🔄 Rotação Duplas'!$D$106:$D$115,MATCH(D448,'🔄 Rotação Duplas'!$C$106:$C$115,0)),INDEX('🔄 Rotação Duplas'!$C$106:$C$115,MATCH(D448,'🔄 Rotação Duplas'!$D$106:$D$115,0)))),""))</f>
        <v/>
      </c>
      <c r="T448">
        <f t="shared" si="35"/>
        <v>0</v>
      </c>
    </row>
    <row r="449" spans="2:20" ht="18" customHeight="1" x14ac:dyDescent="0.2">
      <c r="B449" s="78" t="s">
        <v>109</v>
      </c>
      <c r="C449" s="79" t="str">
        <f t="shared" si="38"/>
        <v>Desafio 23</v>
      </c>
      <c r="D449" s="80" t="str">
        <f>'⚙️ Configuração'!C32</f>
        <v>Filipa Cunha</v>
      </c>
      <c r="E449" s="50">
        <v>0</v>
      </c>
      <c r="F449" s="50">
        <v>0</v>
      </c>
      <c r="G449" s="50">
        <v>0</v>
      </c>
      <c r="H449" s="50">
        <v>0</v>
      </c>
      <c r="I449" s="50">
        <v>0</v>
      </c>
      <c r="J449" s="89">
        <v>0</v>
      </c>
      <c r="K449" s="81">
        <f>(E449*'⚙️ Configuração'!$C$6+F449*'⚙️ Configuração'!$C$7+G449*'⚙️ Configuração'!$C$8+H449*'⚙️ Configuração'!$C$9+I449*'⚙️ Configuração'!$C$10+J449*'⚙️ Configuração'!$C$11)*IF(N449="S",2,1)</f>
        <v>0</v>
      </c>
      <c r="L449" s="90" t="s">
        <v>167</v>
      </c>
      <c r="M449" s="82">
        <f>IF(L449="AT1",'⚙️ Configuração'!$C$14,IF(L449="AT2",'⚙️ Configuração'!$C$15,IF(L449="FI",'⚙️ Configuração'!$C$16,IF(L449="FJ",'⚙️ Configuração'!$C$17,0))))</f>
        <v>0</v>
      </c>
      <c r="N449" s="91" t="s">
        <v>167</v>
      </c>
      <c r="O449" s="92"/>
      <c r="P449" s="83">
        <f>IF(O449="1",'⚙️ Configuração'!$C$21,IF(O449="2",'⚙️ Configuração'!$C$22,IF(O449="3",'⚙️ Configuração'!$C$23,IF(O449="Outro",'⚙️ Configuração'!$C$24,0))))</f>
        <v>0</v>
      </c>
      <c r="Q449" s="84">
        <f t="shared" si="34"/>
        <v>0</v>
      </c>
      <c r="R449" s="40" t="str">
        <f t="shared" si="22"/>
        <v>Semana 1 — ver 🔄</v>
      </c>
      <c r="S449" t="str" cm="1">
        <f t="array" ref="S449">IF(D449="","",IFERROR(_xlfn.SWITCH(B449,"Semana 1",IFERROR(INDEX('🔄 Rotação Duplas'!$D$8:$D$17,MATCH(D449,'🔄 Rotação Duplas'!$C$8:$C$17,0)),INDEX('🔄 Rotação Duplas'!$C$8:$C$17,MATCH(D449,'🔄 Rotação Duplas'!$D$8:$D$17,0))),"Semana 2",IFERROR(INDEX('🔄 Rotação Duplas'!$D$22:$D$31,MATCH(D449,'🔄 Rotação Duplas'!$C$22:$C$31,0)),INDEX('🔄 Rotação Duplas'!$C$22:$C$31,MATCH(D449,'🔄 Rotação Duplas'!$D$22:$D$31,0))),"Semana 3",IFERROR(INDEX('🔄 Rotação Duplas'!$D$36:$D$45,MATCH(D449,'🔄 Rotação Duplas'!$C$36:$C$45,0)),INDEX('🔄 Rotação Duplas'!$C$36:$C$45,MATCH(D449,'🔄 Rotação Duplas'!$D$36:$D$45,0))),"Semana 4",IFERROR(INDEX('🔄 Rotação Duplas'!$D$50:$D$59,MATCH(D449,'🔄 Rotação Duplas'!$C$50:$C$59,0)),INDEX('🔄 Rotação Duplas'!$C$50:$C$59,MATCH(D449,'🔄 Rotação Duplas'!$D$50:$D$59,0))),"Semana 5",IFERROR(INDEX('🔄 Rotação Duplas'!$D$64:$D$73,MATCH(D449,'🔄 Rotação Duplas'!$C$64:$C$73,0)),INDEX('🔄 Rotação Duplas'!$C$64:$C$73,MATCH(D449,'🔄 Rotação Duplas'!$D$64:$D$73,0))),"Semana 6",IFERROR(INDEX('🔄 Rotação Duplas'!$D$78:$D$87,MATCH(D449,'🔄 Rotação Duplas'!$C$78:$C$87,0)),INDEX('🔄 Rotação Duplas'!$C$78:$C$87,MATCH(D449,'🔄 Rotação Duplas'!$D$78:$D$87,0))),"Semana 7",IFERROR(INDEX('🔄 Rotação Duplas'!$D$92:$D$101,MATCH(D449,'🔄 Rotação Duplas'!$C$92:$C$101,0)),INDEX('🔄 Rotação Duplas'!$C$92:$C$101,MATCH(D449,'🔄 Rotação Duplas'!$D$92:$D$101,0))),"Semana 8",IFERROR(INDEX('🔄 Rotação Duplas'!$D$106:$D$115,MATCH(D449,'🔄 Rotação Duplas'!$C$106:$C$115,0)),INDEX('🔄 Rotação Duplas'!$C$106:$C$115,MATCH(D449,'🔄 Rotação Duplas'!$D$106:$D$115,0)))),""))</f>
        <v/>
      </c>
      <c r="T449">
        <f t="shared" si="35"/>
        <v>0</v>
      </c>
    </row>
    <row r="450" spans="2:20" ht="18" customHeight="1" x14ac:dyDescent="0.2">
      <c r="B450" s="85" t="s">
        <v>109</v>
      </c>
      <c r="C450" s="86" t="str">
        <f t="shared" si="38"/>
        <v>Desafio 23</v>
      </c>
      <c r="D450" s="87" t="str">
        <f>'⚙️ Configuração'!C33</f>
        <v>Helena Rocha</v>
      </c>
      <c r="E450" s="50">
        <v>0</v>
      </c>
      <c r="F450" s="50">
        <v>0</v>
      </c>
      <c r="G450" s="50">
        <v>0</v>
      </c>
      <c r="H450" s="50">
        <v>0</v>
      </c>
      <c r="I450" s="50">
        <v>0</v>
      </c>
      <c r="J450" s="89">
        <v>0</v>
      </c>
      <c r="K450" s="81">
        <f>(E450*'⚙️ Configuração'!$C$6+F450*'⚙️ Configuração'!$C$7+G450*'⚙️ Configuração'!$C$8+H450*'⚙️ Configuração'!$C$9+I450*'⚙️ Configuração'!$C$10+J450*'⚙️ Configuração'!$C$11)*IF(N450="S",2,1)</f>
        <v>0</v>
      </c>
      <c r="L450" s="90" t="s">
        <v>167</v>
      </c>
      <c r="M450" s="82">
        <f>IF(L450="AT1",'⚙️ Configuração'!$C$14,IF(L450="AT2",'⚙️ Configuração'!$C$15,IF(L450="FI",'⚙️ Configuração'!$C$16,IF(L450="FJ",'⚙️ Configuração'!$C$17,0))))</f>
        <v>0</v>
      </c>
      <c r="N450" s="91" t="s">
        <v>167</v>
      </c>
      <c r="O450" s="92"/>
      <c r="P450" s="83">
        <f>IF(O450="1",'⚙️ Configuração'!$C$21,IF(O450="2",'⚙️ Configuração'!$C$22,IF(O450="3",'⚙️ Configuração'!$C$23,IF(O450="Outro",'⚙️ Configuração'!$C$24,0))))</f>
        <v>0</v>
      </c>
      <c r="Q450" s="84">
        <f t="shared" si="34"/>
        <v>0</v>
      </c>
      <c r="R450" s="40" t="str">
        <f t="shared" si="22"/>
        <v>Semana 1 — ver 🔄</v>
      </c>
      <c r="S450" t="str" cm="1">
        <f t="array" ref="S450">IF(D450="","",IFERROR(_xlfn.SWITCH(B450,"Semana 1",IFERROR(INDEX('🔄 Rotação Duplas'!$D$8:$D$17,MATCH(D450,'🔄 Rotação Duplas'!$C$8:$C$17,0)),INDEX('🔄 Rotação Duplas'!$C$8:$C$17,MATCH(D450,'🔄 Rotação Duplas'!$D$8:$D$17,0))),"Semana 2",IFERROR(INDEX('🔄 Rotação Duplas'!$D$22:$D$31,MATCH(D450,'🔄 Rotação Duplas'!$C$22:$C$31,0)),INDEX('🔄 Rotação Duplas'!$C$22:$C$31,MATCH(D450,'🔄 Rotação Duplas'!$D$22:$D$31,0))),"Semana 3",IFERROR(INDEX('🔄 Rotação Duplas'!$D$36:$D$45,MATCH(D450,'🔄 Rotação Duplas'!$C$36:$C$45,0)),INDEX('🔄 Rotação Duplas'!$C$36:$C$45,MATCH(D450,'🔄 Rotação Duplas'!$D$36:$D$45,0))),"Semana 4",IFERROR(INDEX('🔄 Rotação Duplas'!$D$50:$D$59,MATCH(D450,'🔄 Rotação Duplas'!$C$50:$C$59,0)),INDEX('🔄 Rotação Duplas'!$C$50:$C$59,MATCH(D450,'🔄 Rotação Duplas'!$D$50:$D$59,0))),"Semana 5",IFERROR(INDEX('🔄 Rotação Duplas'!$D$64:$D$73,MATCH(D450,'🔄 Rotação Duplas'!$C$64:$C$73,0)),INDEX('🔄 Rotação Duplas'!$C$64:$C$73,MATCH(D450,'🔄 Rotação Duplas'!$D$64:$D$73,0))),"Semana 6",IFERROR(INDEX('🔄 Rotação Duplas'!$D$78:$D$87,MATCH(D450,'🔄 Rotação Duplas'!$C$78:$C$87,0)),INDEX('🔄 Rotação Duplas'!$C$78:$C$87,MATCH(D450,'🔄 Rotação Duplas'!$D$78:$D$87,0))),"Semana 7",IFERROR(INDEX('🔄 Rotação Duplas'!$D$92:$D$101,MATCH(D450,'🔄 Rotação Duplas'!$C$92:$C$101,0)),INDEX('🔄 Rotação Duplas'!$C$92:$C$101,MATCH(D450,'🔄 Rotação Duplas'!$D$92:$D$101,0))),"Semana 8",IFERROR(INDEX('🔄 Rotação Duplas'!$D$106:$D$115,MATCH(D450,'🔄 Rotação Duplas'!$C$106:$C$115,0)),INDEX('🔄 Rotação Duplas'!$C$106:$C$115,MATCH(D450,'🔄 Rotação Duplas'!$D$106:$D$115,0)))),""))</f>
        <v/>
      </c>
      <c r="T450">
        <f t="shared" si="35"/>
        <v>0</v>
      </c>
    </row>
    <row r="451" spans="2:20" ht="18" customHeight="1" x14ac:dyDescent="0.2">
      <c r="B451" s="78" t="s">
        <v>109</v>
      </c>
      <c r="C451" s="79" t="str">
        <f t="shared" si="38"/>
        <v>Desafio 23</v>
      </c>
      <c r="D451" s="80" t="str">
        <f>'⚙️ Configuração'!C34</f>
        <v>João Xavier</v>
      </c>
      <c r="E451" s="50">
        <v>0</v>
      </c>
      <c r="F451" s="50">
        <v>0</v>
      </c>
      <c r="G451" s="50">
        <v>0</v>
      </c>
      <c r="H451" s="50">
        <v>0</v>
      </c>
      <c r="I451" s="50">
        <v>0</v>
      </c>
      <c r="J451" s="89">
        <v>0</v>
      </c>
      <c r="K451" s="81">
        <f>(E451*'⚙️ Configuração'!$C$6+F451*'⚙️ Configuração'!$C$7+G451*'⚙️ Configuração'!$C$8+H451*'⚙️ Configuração'!$C$9+I451*'⚙️ Configuração'!$C$10+J451*'⚙️ Configuração'!$C$11)*IF(N451="S",2,1)</f>
        <v>0</v>
      </c>
      <c r="L451" s="90" t="s">
        <v>167</v>
      </c>
      <c r="M451" s="82">
        <f>IF(L451="AT1",'⚙️ Configuração'!$C$14,IF(L451="AT2",'⚙️ Configuração'!$C$15,IF(L451="FI",'⚙️ Configuração'!$C$16,IF(L451="FJ",'⚙️ Configuração'!$C$17,0))))</f>
        <v>0</v>
      </c>
      <c r="N451" s="91" t="s">
        <v>167</v>
      </c>
      <c r="O451" s="92"/>
      <c r="P451" s="83">
        <f>IF(O451="1",'⚙️ Configuração'!$C$21,IF(O451="2",'⚙️ Configuração'!$C$22,IF(O451="3",'⚙️ Configuração'!$C$23,IF(O451="Outro",'⚙️ Configuração'!$C$24,0))))</f>
        <v>0</v>
      </c>
      <c r="Q451" s="84">
        <f t="shared" si="34"/>
        <v>0</v>
      </c>
      <c r="R451" s="40" t="str">
        <f t="shared" si="22"/>
        <v>Semana 1 — ver 🔄</v>
      </c>
      <c r="S451" t="str" cm="1">
        <f t="array" ref="S451">IF(D451="","",IFERROR(_xlfn.SWITCH(B451,"Semana 1",IFERROR(INDEX('🔄 Rotação Duplas'!$D$8:$D$17,MATCH(D451,'🔄 Rotação Duplas'!$C$8:$C$17,0)),INDEX('🔄 Rotação Duplas'!$C$8:$C$17,MATCH(D451,'🔄 Rotação Duplas'!$D$8:$D$17,0))),"Semana 2",IFERROR(INDEX('🔄 Rotação Duplas'!$D$22:$D$31,MATCH(D451,'🔄 Rotação Duplas'!$C$22:$C$31,0)),INDEX('🔄 Rotação Duplas'!$C$22:$C$31,MATCH(D451,'🔄 Rotação Duplas'!$D$22:$D$31,0))),"Semana 3",IFERROR(INDEX('🔄 Rotação Duplas'!$D$36:$D$45,MATCH(D451,'🔄 Rotação Duplas'!$C$36:$C$45,0)),INDEX('🔄 Rotação Duplas'!$C$36:$C$45,MATCH(D451,'🔄 Rotação Duplas'!$D$36:$D$45,0))),"Semana 4",IFERROR(INDEX('🔄 Rotação Duplas'!$D$50:$D$59,MATCH(D451,'🔄 Rotação Duplas'!$C$50:$C$59,0)),INDEX('🔄 Rotação Duplas'!$C$50:$C$59,MATCH(D451,'🔄 Rotação Duplas'!$D$50:$D$59,0))),"Semana 5",IFERROR(INDEX('🔄 Rotação Duplas'!$D$64:$D$73,MATCH(D451,'🔄 Rotação Duplas'!$C$64:$C$73,0)),INDEX('🔄 Rotação Duplas'!$C$64:$C$73,MATCH(D451,'🔄 Rotação Duplas'!$D$64:$D$73,0))),"Semana 6",IFERROR(INDEX('🔄 Rotação Duplas'!$D$78:$D$87,MATCH(D451,'🔄 Rotação Duplas'!$C$78:$C$87,0)),INDEX('🔄 Rotação Duplas'!$C$78:$C$87,MATCH(D451,'🔄 Rotação Duplas'!$D$78:$D$87,0))),"Semana 7",IFERROR(INDEX('🔄 Rotação Duplas'!$D$92:$D$101,MATCH(D451,'🔄 Rotação Duplas'!$C$92:$C$101,0)),INDEX('🔄 Rotação Duplas'!$C$92:$C$101,MATCH(D451,'🔄 Rotação Duplas'!$D$92:$D$101,0))),"Semana 8",IFERROR(INDEX('🔄 Rotação Duplas'!$D$106:$D$115,MATCH(D451,'🔄 Rotação Duplas'!$C$106:$C$115,0)),INDEX('🔄 Rotação Duplas'!$C$106:$C$115,MATCH(D451,'🔄 Rotação Duplas'!$D$106:$D$115,0)))),""))</f>
        <v/>
      </c>
      <c r="T451">
        <f t="shared" si="35"/>
        <v>0</v>
      </c>
    </row>
    <row r="452" spans="2:20" ht="18" customHeight="1" x14ac:dyDescent="0.2">
      <c r="B452" s="85" t="s">
        <v>109</v>
      </c>
      <c r="C452" s="86" t="str">
        <f t="shared" si="38"/>
        <v>Desafio 23</v>
      </c>
      <c r="D452" s="87" t="str">
        <f>'⚙️ Configuração'!C35</f>
        <v>Tomás Carlos</v>
      </c>
      <c r="E452" s="50">
        <v>0</v>
      </c>
      <c r="F452" s="50">
        <v>0</v>
      </c>
      <c r="G452" s="50">
        <v>0</v>
      </c>
      <c r="H452" s="50">
        <v>0</v>
      </c>
      <c r="I452" s="50">
        <v>0</v>
      </c>
      <c r="J452" s="89">
        <v>0</v>
      </c>
      <c r="K452" s="81">
        <f>(E452*'⚙️ Configuração'!$C$6+F452*'⚙️ Configuração'!$C$7+G452*'⚙️ Configuração'!$C$8+H452*'⚙️ Configuração'!$C$9+I452*'⚙️ Configuração'!$C$10+J452*'⚙️ Configuração'!$C$11)*IF(N452="S",2,1)</f>
        <v>0</v>
      </c>
      <c r="L452" s="90" t="s">
        <v>167</v>
      </c>
      <c r="M452" s="82">
        <f>IF(L452="AT1",'⚙️ Configuração'!$C$14,IF(L452="AT2",'⚙️ Configuração'!$C$15,IF(L452="FI",'⚙️ Configuração'!$C$16,IF(L452="FJ",'⚙️ Configuração'!$C$17,0))))</f>
        <v>0</v>
      </c>
      <c r="N452" s="91" t="s">
        <v>167</v>
      </c>
      <c r="O452" s="92"/>
      <c r="P452" s="83">
        <f>IF(O452="1",'⚙️ Configuração'!$C$21,IF(O452="2",'⚙️ Configuração'!$C$22,IF(O452="3",'⚙️ Configuração'!$C$23,IF(O452="Outro",'⚙️ Configuração'!$C$24,0))))</f>
        <v>0</v>
      </c>
      <c r="Q452" s="84">
        <f t="shared" si="34"/>
        <v>0</v>
      </c>
      <c r="R452" s="40" t="str">
        <f t="shared" si="22"/>
        <v>Semana 1 — ver 🔄</v>
      </c>
      <c r="S452" t="str" cm="1">
        <f t="array" ref="S452">IF(D452="","",IFERROR(_xlfn.SWITCH(B452,"Semana 1",IFERROR(INDEX('🔄 Rotação Duplas'!$D$8:$D$17,MATCH(D452,'🔄 Rotação Duplas'!$C$8:$C$17,0)),INDEX('🔄 Rotação Duplas'!$C$8:$C$17,MATCH(D452,'🔄 Rotação Duplas'!$D$8:$D$17,0))),"Semana 2",IFERROR(INDEX('🔄 Rotação Duplas'!$D$22:$D$31,MATCH(D452,'🔄 Rotação Duplas'!$C$22:$C$31,0)),INDEX('🔄 Rotação Duplas'!$C$22:$C$31,MATCH(D452,'🔄 Rotação Duplas'!$D$22:$D$31,0))),"Semana 3",IFERROR(INDEX('🔄 Rotação Duplas'!$D$36:$D$45,MATCH(D452,'🔄 Rotação Duplas'!$C$36:$C$45,0)),INDEX('🔄 Rotação Duplas'!$C$36:$C$45,MATCH(D452,'🔄 Rotação Duplas'!$D$36:$D$45,0))),"Semana 4",IFERROR(INDEX('🔄 Rotação Duplas'!$D$50:$D$59,MATCH(D452,'🔄 Rotação Duplas'!$C$50:$C$59,0)),INDEX('🔄 Rotação Duplas'!$C$50:$C$59,MATCH(D452,'🔄 Rotação Duplas'!$D$50:$D$59,0))),"Semana 5",IFERROR(INDEX('🔄 Rotação Duplas'!$D$64:$D$73,MATCH(D452,'🔄 Rotação Duplas'!$C$64:$C$73,0)),INDEX('🔄 Rotação Duplas'!$C$64:$C$73,MATCH(D452,'🔄 Rotação Duplas'!$D$64:$D$73,0))),"Semana 6",IFERROR(INDEX('🔄 Rotação Duplas'!$D$78:$D$87,MATCH(D452,'🔄 Rotação Duplas'!$C$78:$C$87,0)),INDEX('🔄 Rotação Duplas'!$C$78:$C$87,MATCH(D452,'🔄 Rotação Duplas'!$D$78:$D$87,0))),"Semana 7",IFERROR(INDEX('🔄 Rotação Duplas'!$D$92:$D$101,MATCH(D452,'🔄 Rotação Duplas'!$C$92:$C$101,0)),INDEX('🔄 Rotação Duplas'!$C$92:$C$101,MATCH(D452,'🔄 Rotação Duplas'!$D$92:$D$101,0))),"Semana 8",IFERROR(INDEX('🔄 Rotação Duplas'!$D$106:$D$115,MATCH(D452,'🔄 Rotação Duplas'!$C$106:$C$115,0)),INDEX('🔄 Rotação Duplas'!$C$106:$C$115,MATCH(D452,'🔄 Rotação Duplas'!$D$106:$D$115,0)))),""))</f>
        <v/>
      </c>
      <c r="T452">
        <f t="shared" si="35"/>
        <v>0</v>
      </c>
    </row>
    <row r="453" spans="2:20" ht="18" customHeight="1" x14ac:dyDescent="0.2">
      <c r="B453" s="78" t="s">
        <v>109</v>
      </c>
      <c r="C453" s="79" t="str">
        <f t="shared" si="38"/>
        <v>Desafio 23</v>
      </c>
      <c r="D453" s="80" t="str">
        <f>'⚙️ Configuração'!C36</f>
        <v>Alexandra Correia</v>
      </c>
      <c r="E453" s="50">
        <v>0</v>
      </c>
      <c r="F453" s="50">
        <v>0</v>
      </c>
      <c r="G453" s="50">
        <v>0</v>
      </c>
      <c r="H453" s="50">
        <v>0</v>
      </c>
      <c r="I453" s="50">
        <v>0</v>
      </c>
      <c r="J453" s="89">
        <v>0</v>
      </c>
      <c r="K453" s="81">
        <f>(E453*'⚙️ Configuração'!$C$6+F453*'⚙️ Configuração'!$C$7+G453*'⚙️ Configuração'!$C$8+H453*'⚙️ Configuração'!$C$9+I453*'⚙️ Configuração'!$C$10+J453*'⚙️ Configuração'!$C$11)*IF(N453="S",2,1)</f>
        <v>0</v>
      </c>
      <c r="L453" s="90" t="s">
        <v>167</v>
      </c>
      <c r="M453" s="82">
        <f>IF(L453="AT1",'⚙️ Configuração'!$C$14,IF(L453="AT2",'⚙️ Configuração'!$C$15,IF(L453="FI",'⚙️ Configuração'!$C$16,IF(L453="FJ",'⚙️ Configuração'!$C$17,0))))</f>
        <v>0</v>
      </c>
      <c r="N453" s="91" t="s">
        <v>167</v>
      </c>
      <c r="O453" s="92"/>
      <c r="P453" s="83">
        <f>IF(O453="1",'⚙️ Configuração'!$C$21,IF(O453="2",'⚙️ Configuração'!$C$22,IF(O453="3",'⚙️ Configuração'!$C$23,IF(O453="Outro",'⚙️ Configuração'!$C$24,0))))</f>
        <v>0</v>
      </c>
      <c r="Q453" s="84">
        <f t="shared" si="34"/>
        <v>0</v>
      </c>
      <c r="R453" s="40" t="str">
        <f t="shared" si="22"/>
        <v>Semana 1 — ver 🔄</v>
      </c>
      <c r="S453" t="str" cm="1">
        <f t="array" ref="S453">IF(D453="","",IFERROR(_xlfn.SWITCH(B453,"Semana 1",IFERROR(INDEX('🔄 Rotação Duplas'!$D$8:$D$17,MATCH(D453,'🔄 Rotação Duplas'!$C$8:$C$17,0)),INDEX('🔄 Rotação Duplas'!$C$8:$C$17,MATCH(D453,'🔄 Rotação Duplas'!$D$8:$D$17,0))),"Semana 2",IFERROR(INDEX('🔄 Rotação Duplas'!$D$22:$D$31,MATCH(D453,'🔄 Rotação Duplas'!$C$22:$C$31,0)),INDEX('🔄 Rotação Duplas'!$C$22:$C$31,MATCH(D453,'🔄 Rotação Duplas'!$D$22:$D$31,0))),"Semana 3",IFERROR(INDEX('🔄 Rotação Duplas'!$D$36:$D$45,MATCH(D453,'🔄 Rotação Duplas'!$C$36:$C$45,0)),INDEX('🔄 Rotação Duplas'!$C$36:$C$45,MATCH(D453,'🔄 Rotação Duplas'!$D$36:$D$45,0))),"Semana 4",IFERROR(INDEX('🔄 Rotação Duplas'!$D$50:$D$59,MATCH(D453,'🔄 Rotação Duplas'!$C$50:$C$59,0)),INDEX('🔄 Rotação Duplas'!$C$50:$C$59,MATCH(D453,'🔄 Rotação Duplas'!$D$50:$D$59,0))),"Semana 5",IFERROR(INDEX('🔄 Rotação Duplas'!$D$64:$D$73,MATCH(D453,'🔄 Rotação Duplas'!$C$64:$C$73,0)),INDEX('🔄 Rotação Duplas'!$C$64:$C$73,MATCH(D453,'🔄 Rotação Duplas'!$D$64:$D$73,0))),"Semana 6",IFERROR(INDEX('🔄 Rotação Duplas'!$D$78:$D$87,MATCH(D453,'🔄 Rotação Duplas'!$C$78:$C$87,0)),INDEX('🔄 Rotação Duplas'!$C$78:$C$87,MATCH(D453,'🔄 Rotação Duplas'!$D$78:$D$87,0))),"Semana 7",IFERROR(INDEX('🔄 Rotação Duplas'!$D$92:$D$101,MATCH(D453,'🔄 Rotação Duplas'!$C$92:$C$101,0)),INDEX('🔄 Rotação Duplas'!$C$92:$C$101,MATCH(D453,'🔄 Rotação Duplas'!$D$92:$D$101,0))),"Semana 8",IFERROR(INDEX('🔄 Rotação Duplas'!$D$106:$D$115,MATCH(D453,'🔄 Rotação Duplas'!$C$106:$C$115,0)),INDEX('🔄 Rotação Duplas'!$C$106:$C$115,MATCH(D453,'🔄 Rotação Duplas'!$D$106:$D$115,0)))),""))</f>
        <v/>
      </c>
      <c r="T453">
        <f t="shared" si="35"/>
        <v>0</v>
      </c>
    </row>
    <row r="454" spans="2:20" ht="18" customHeight="1" x14ac:dyDescent="0.2">
      <c r="B454" s="85" t="s">
        <v>109</v>
      </c>
      <c r="C454" s="86" t="str">
        <f t="shared" si="38"/>
        <v>Desafio 23</v>
      </c>
      <c r="D454" s="87" t="str">
        <f>'⚙️ Configuração'!C37</f>
        <v>Carla Barata</v>
      </c>
      <c r="E454" s="50">
        <v>0</v>
      </c>
      <c r="F454" s="50">
        <v>0</v>
      </c>
      <c r="G454" s="50">
        <v>0</v>
      </c>
      <c r="H454" s="50">
        <v>0</v>
      </c>
      <c r="I454" s="50">
        <v>0</v>
      </c>
      <c r="J454" s="89">
        <v>0</v>
      </c>
      <c r="K454" s="81">
        <f>(E454*'⚙️ Configuração'!$C$6+F454*'⚙️ Configuração'!$C$7+G454*'⚙️ Configuração'!$C$8+H454*'⚙️ Configuração'!$C$9+I454*'⚙️ Configuração'!$C$10+J454*'⚙️ Configuração'!$C$11)*IF(N454="S",2,1)</f>
        <v>0</v>
      </c>
      <c r="L454" s="90" t="s">
        <v>167</v>
      </c>
      <c r="M454" s="82">
        <f>IF(L454="AT1",'⚙️ Configuração'!$C$14,IF(L454="AT2",'⚙️ Configuração'!$C$15,IF(L454="FI",'⚙️ Configuração'!$C$16,IF(L454="FJ",'⚙️ Configuração'!$C$17,0))))</f>
        <v>0</v>
      </c>
      <c r="N454" s="91" t="s">
        <v>167</v>
      </c>
      <c r="O454" s="92"/>
      <c r="P454" s="83">
        <f>IF(O454="1",'⚙️ Configuração'!$C$21,IF(O454="2",'⚙️ Configuração'!$C$22,IF(O454="3",'⚙️ Configuração'!$C$23,IF(O454="Outro",'⚙️ Configuração'!$C$24,0))))</f>
        <v>0</v>
      </c>
      <c r="Q454" s="84">
        <f t="shared" si="34"/>
        <v>0</v>
      </c>
      <c r="R454" s="40" t="str">
        <f t="shared" si="22"/>
        <v>Semana 1 — ver 🔄</v>
      </c>
      <c r="S454" t="str" cm="1">
        <f t="array" ref="S454">IF(D454="","",IFERROR(_xlfn.SWITCH(B454,"Semana 1",IFERROR(INDEX('🔄 Rotação Duplas'!$D$8:$D$17,MATCH(D454,'🔄 Rotação Duplas'!$C$8:$C$17,0)),INDEX('🔄 Rotação Duplas'!$C$8:$C$17,MATCH(D454,'🔄 Rotação Duplas'!$D$8:$D$17,0))),"Semana 2",IFERROR(INDEX('🔄 Rotação Duplas'!$D$22:$D$31,MATCH(D454,'🔄 Rotação Duplas'!$C$22:$C$31,0)),INDEX('🔄 Rotação Duplas'!$C$22:$C$31,MATCH(D454,'🔄 Rotação Duplas'!$D$22:$D$31,0))),"Semana 3",IFERROR(INDEX('🔄 Rotação Duplas'!$D$36:$D$45,MATCH(D454,'🔄 Rotação Duplas'!$C$36:$C$45,0)),INDEX('🔄 Rotação Duplas'!$C$36:$C$45,MATCH(D454,'🔄 Rotação Duplas'!$D$36:$D$45,0))),"Semana 4",IFERROR(INDEX('🔄 Rotação Duplas'!$D$50:$D$59,MATCH(D454,'🔄 Rotação Duplas'!$C$50:$C$59,0)),INDEX('🔄 Rotação Duplas'!$C$50:$C$59,MATCH(D454,'🔄 Rotação Duplas'!$D$50:$D$59,0))),"Semana 5",IFERROR(INDEX('🔄 Rotação Duplas'!$D$64:$D$73,MATCH(D454,'🔄 Rotação Duplas'!$C$64:$C$73,0)),INDEX('🔄 Rotação Duplas'!$C$64:$C$73,MATCH(D454,'🔄 Rotação Duplas'!$D$64:$D$73,0))),"Semana 6",IFERROR(INDEX('🔄 Rotação Duplas'!$D$78:$D$87,MATCH(D454,'🔄 Rotação Duplas'!$C$78:$C$87,0)),INDEX('🔄 Rotação Duplas'!$C$78:$C$87,MATCH(D454,'🔄 Rotação Duplas'!$D$78:$D$87,0))),"Semana 7",IFERROR(INDEX('🔄 Rotação Duplas'!$D$92:$D$101,MATCH(D454,'🔄 Rotação Duplas'!$C$92:$C$101,0)),INDEX('🔄 Rotação Duplas'!$C$92:$C$101,MATCH(D454,'🔄 Rotação Duplas'!$D$92:$D$101,0))),"Semana 8",IFERROR(INDEX('🔄 Rotação Duplas'!$D$106:$D$115,MATCH(D454,'🔄 Rotação Duplas'!$C$106:$C$115,0)),INDEX('🔄 Rotação Duplas'!$C$106:$C$115,MATCH(D454,'🔄 Rotação Duplas'!$D$106:$D$115,0)))),""))</f>
        <v/>
      </c>
      <c r="T454">
        <f t="shared" si="35"/>
        <v>0</v>
      </c>
    </row>
    <row r="455" spans="2:20" ht="18" customHeight="1" x14ac:dyDescent="0.2">
      <c r="B455" s="78" t="s">
        <v>109</v>
      </c>
      <c r="C455" s="79" t="str">
        <f t="shared" si="38"/>
        <v>Desafio 23</v>
      </c>
      <c r="D455" s="80" t="str">
        <f>'⚙️ Configuração'!C38</f>
        <v>Denise Filipe</v>
      </c>
      <c r="E455" s="50">
        <v>0</v>
      </c>
      <c r="F455" s="50">
        <v>0</v>
      </c>
      <c r="G455" s="50">
        <v>0</v>
      </c>
      <c r="H455" s="50">
        <v>0</v>
      </c>
      <c r="I455" s="50">
        <v>0</v>
      </c>
      <c r="J455" s="89">
        <v>0</v>
      </c>
      <c r="K455" s="81">
        <f>(E455*'⚙️ Configuração'!$C$6+F455*'⚙️ Configuração'!$C$7+G455*'⚙️ Configuração'!$C$8+H455*'⚙️ Configuração'!$C$9+I455*'⚙️ Configuração'!$C$10+J455*'⚙️ Configuração'!$C$11)*IF(N455="S",2,1)</f>
        <v>0</v>
      </c>
      <c r="L455" s="90" t="s">
        <v>167</v>
      </c>
      <c r="M455" s="82">
        <f>IF(L455="AT1",'⚙️ Configuração'!$C$14,IF(L455="AT2",'⚙️ Configuração'!$C$15,IF(L455="FI",'⚙️ Configuração'!$C$16,IF(L455="FJ",'⚙️ Configuração'!$C$17,0))))</f>
        <v>0</v>
      </c>
      <c r="N455" s="91" t="s">
        <v>167</v>
      </c>
      <c r="O455" s="92"/>
      <c r="P455" s="83">
        <f>IF(O455="1",'⚙️ Configuração'!$C$21,IF(O455="2",'⚙️ Configuração'!$C$22,IF(O455="3",'⚙️ Configuração'!$C$23,IF(O455="Outro",'⚙️ Configuração'!$C$24,0))))</f>
        <v>0</v>
      </c>
      <c r="Q455" s="84">
        <f t="shared" si="34"/>
        <v>0</v>
      </c>
      <c r="R455" s="40" t="str">
        <f t="shared" si="22"/>
        <v>Semana 1 — ver 🔄</v>
      </c>
      <c r="S455" t="str" cm="1">
        <f t="array" ref="S455">IF(D455="","",IFERROR(_xlfn.SWITCH(B455,"Semana 1",IFERROR(INDEX('🔄 Rotação Duplas'!$D$8:$D$17,MATCH(D455,'🔄 Rotação Duplas'!$C$8:$C$17,0)),INDEX('🔄 Rotação Duplas'!$C$8:$C$17,MATCH(D455,'🔄 Rotação Duplas'!$D$8:$D$17,0))),"Semana 2",IFERROR(INDEX('🔄 Rotação Duplas'!$D$22:$D$31,MATCH(D455,'🔄 Rotação Duplas'!$C$22:$C$31,0)),INDEX('🔄 Rotação Duplas'!$C$22:$C$31,MATCH(D455,'🔄 Rotação Duplas'!$D$22:$D$31,0))),"Semana 3",IFERROR(INDEX('🔄 Rotação Duplas'!$D$36:$D$45,MATCH(D455,'🔄 Rotação Duplas'!$C$36:$C$45,0)),INDEX('🔄 Rotação Duplas'!$C$36:$C$45,MATCH(D455,'🔄 Rotação Duplas'!$D$36:$D$45,0))),"Semana 4",IFERROR(INDEX('🔄 Rotação Duplas'!$D$50:$D$59,MATCH(D455,'🔄 Rotação Duplas'!$C$50:$C$59,0)),INDEX('🔄 Rotação Duplas'!$C$50:$C$59,MATCH(D455,'🔄 Rotação Duplas'!$D$50:$D$59,0))),"Semana 5",IFERROR(INDEX('🔄 Rotação Duplas'!$D$64:$D$73,MATCH(D455,'🔄 Rotação Duplas'!$C$64:$C$73,0)),INDEX('🔄 Rotação Duplas'!$C$64:$C$73,MATCH(D455,'🔄 Rotação Duplas'!$D$64:$D$73,0))),"Semana 6",IFERROR(INDEX('🔄 Rotação Duplas'!$D$78:$D$87,MATCH(D455,'🔄 Rotação Duplas'!$C$78:$C$87,0)),INDEX('🔄 Rotação Duplas'!$C$78:$C$87,MATCH(D455,'🔄 Rotação Duplas'!$D$78:$D$87,0))),"Semana 7",IFERROR(INDEX('🔄 Rotação Duplas'!$D$92:$D$101,MATCH(D455,'🔄 Rotação Duplas'!$C$92:$C$101,0)),INDEX('🔄 Rotação Duplas'!$C$92:$C$101,MATCH(D455,'🔄 Rotação Duplas'!$D$92:$D$101,0))),"Semana 8",IFERROR(INDEX('🔄 Rotação Duplas'!$D$106:$D$115,MATCH(D455,'🔄 Rotação Duplas'!$C$106:$C$115,0)),INDEX('🔄 Rotação Duplas'!$C$106:$C$115,MATCH(D455,'🔄 Rotação Duplas'!$D$106:$D$115,0)))),""))</f>
        <v/>
      </c>
      <c r="T455">
        <f t="shared" si="35"/>
        <v>0</v>
      </c>
    </row>
    <row r="456" spans="2:20" ht="18" customHeight="1" x14ac:dyDescent="0.2">
      <c r="B456" s="85" t="s">
        <v>109</v>
      </c>
      <c r="C456" s="86" t="str">
        <f t="shared" si="38"/>
        <v>Desafio 23</v>
      </c>
      <c r="D456" s="87" t="str">
        <f>'⚙️ Configuração'!C39</f>
        <v>Fátima Rodriguez</v>
      </c>
      <c r="E456" s="50">
        <v>0</v>
      </c>
      <c r="F456" s="50">
        <v>0</v>
      </c>
      <c r="G456" s="50">
        <v>0</v>
      </c>
      <c r="H456" s="50">
        <v>0</v>
      </c>
      <c r="I456" s="50">
        <v>0</v>
      </c>
      <c r="J456" s="89">
        <v>0</v>
      </c>
      <c r="K456" s="81">
        <f>(E456*'⚙️ Configuração'!$C$6+F456*'⚙️ Configuração'!$C$7+G456*'⚙️ Configuração'!$C$8+H456*'⚙️ Configuração'!$C$9+I456*'⚙️ Configuração'!$C$10+J456*'⚙️ Configuração'!$C$11)*IF(N456="S",2,1)</f>
        <v>0</v>
      </c>
      <c r="L456" s="90" t="s">
        <v>167</v>
      </c>
      <c r="M456" s="82">
        <f>IF(L456="AT1",'⚙️ Configuração'!$C$14,IF(L456="AT2",'⚙️ Configuração'!$C$15,IF(L456="FI",'⚙️ Configuração'!$C$16,IF(L456="FJ",'⚙️ Configuração'!$C$17,0))))</f>
        <v>0</v>
      </c>
      <c r="N456" s="91" t="s">
        <v>167</v>
      </c>
      <c r="O456" s="92"/>
      <c r="P456" s="83">
        <f>IF(O456="1",'⚙️ Configuração'!$C$21,IF(O456="2",'⚙️ Configuração'!$C$22,IF(O456="3",'⚙️ Configuração'!$C$23,IF(O456="Outro",'⚙️ Configuração'!$C$24,0))))</f>
        <v>0</v>
      </c>
      <c r="Q456" s="84">
        <f t="shared" ref="Q456:Q519" si="39">K456+M456+P456</f>
        <v>0</v>
      </c>
      <c r="R456" s="40" t="str">
        <f t="shared" si="22"/>
        <v>Semana 1 — ver 🔄</v>
      </c>
      <c r="S456" t="str" cm="1">
        <f t="array" ref="S456">IF(D456="","",IFERROR(_xlfn.SWITCH(B456,"Semana 1",IFERROR(INDEX('🔄 Rotação Duplas'!$D$8:$D$17,MATCH(D456,'🔄 Rotação Duplas'!$C$8:$C$17,0)),INDEX('🔄 Rotação Duplas'!$C$8:$C$17,MATCH(D456,'🔄 Rotação Duplas'!$D$8:$D$17,0))),"Semana 2",IFERROR(INDEX('🔄 Rotação Duplas'!$D$22:$D$31,MATCH(D456,'🔄 Rotação Duplas'!$C$22:$C$31,0)),INDEX('🔄 Rotação Duplas'!$C$22:$C$31,MATCH(D456,'🔄 Rotação Duplas'!$D$22:$D$31,0))),"Semana 3",IFERROR(INDEX('🔄 Rotação Duplas'!$D$36:$D$45,MATCH(D456,'🔄 Rotação Duplas'!$C$36:$C$45,0)),INDEX('🔄 Rotação Duplas'!$C$36:$C$45,MATCH(D456,'🔄 Rotação Duplas'!$D$36:$D$45,0))),"Semana 4",IFERROR(INDEX('🔄 Rotação Duplas'!$D$50:$D$59,MATCH(D456,'🔄 Rotação Duplas'!$C$50:$C$59,0)),INDEX('🔄 Rotação Duplas'!$C$50:$C$59,MATCH(D456,'🔄 Rotação Duplas'!$D$50:$D$59,0))),"Semana 5",IFERROR(INDEX('🔄 Rotação Duplas'!$D$64:$D$73,MATCH(D456,'🔄 Rotação Duplas'!$C$64:$C$73,0)),INDEX('🔄 Rotação Duplas'!$C$64:$C$73,MATCH(D456,'🔄 Rotação Duplas'!$D$64:$D$73,0))),"Semana 6",IFERROR(INDEX('🔄 Rotação Duplas'!$D$78:$D$87,MATCH(D456,'🔄 Rotação Duplas'!$C$78:$C$87,0)),INDEX('🔄 Rotação Duplas'!$C$78:$C$87,MATCH(D456,'🔄 Rotação Duplas'!$D$78:$D$87,0))),"Semana 7",IFERROR(INDEX('🔄 Rotação Duplas'!$D$92:$D$101,MATCH(D456,'🔄 Rotação Duplas'!$C$92:$C$101,0)),INDEX('🔄 Rotação Duplas'!$C$92:$C$101,MATCH(D456,'🔄 Rotação Duplas'!$D$92:$D$101,0))),"Semana 8",IFERROR(INDEX('🔄 Rotação Duplas'!$D$106:$D$115,MATCH(D456,'🔄 Rotação Duplas'!$C$106:$C$115,0)),INDEX('🔄 Rotação Duplas'!$C$106:$C$115,MATCH(D456,'🔄 Rotação Duplas'!$D$106:$D$115,0)))),""))</f>
        <v/>
      </c>
      <c r="T456">
        <f t="shared" ref="T456:T519" si="40">IF(OR(D456="",D456="-",S456="",S456="-"),0,COUNTIFS($B$7:$B$646,B456,$D$7:$D$646,D456,$N$7:$N$646,"S")+COUNTIFS($B$7:$B$646,B456,$D$7:$D$646,S456,$N$7:$N$646,"S"))</f>
        <v>0</v>
      </c>
    </row>
    <row r="457" spans="2:20" ht="18" customHeight="1" x14ac:dyDescent="0.2">
      <c r="B457" s="78" t="s">
        <v>109</v>
      </c>
      <c r="C457" s="79" t="str">
        <f t="shared" si="38"/>
        <v>Desafio 23</v>
      </c>
      <c r="D457" s="80" t="str">
        <f>'⚙️ Configuração'!C40</f>
        <v>Maria João Travassos</v>
      </c>
      <c r="E457" s="50">
        <v>0</v>
      </c>
      <c r="F457" s="50">
        <v>0</v>
      </c>
      <c r="G457" s="50">
        <v>0</v>
      </c>
      <c r="H457" s="50">
        <v>0</v>
      </c>
      <c r="I457" s="50">
        <v>0</v>
      </c>
      <c r="J457" s="89">
        <v>0</v>
      </c>
      <c r="K457" s="81">
        <f>(E457*'⚙️ Configuração'!$C$6+F457*'⚙️ Configuração'!$C$7+G457*'⚙️ Configuração'!$C$8+H457*'⚙️ Configuração'!$C$9+I457*'⚙️ Configuração'!$C$10+J457*'⚙️ Configuração'!$C$11)*IF(N457="S",2,1)</f>
        <v>0</v>
      </c>
      <c r="L457" s="90" t="s">
        <v>167</v>
      </c>
      <c r="M457" s="82">
        <f>IF(L457="AT1",'⚙️ Configuração'!$C$14,IF(L457="AT2",'⚙️ Configuração'!$C$15,IF(L457="FI",'⚙️ Configuração'!$C$16,IF(L457="FJ",'⚙️ Configuração'!$C$17,0))))</f>
        <v>0</v>
      </c>
      <c r="N457" s="91" t="s">
        <v>167</v>
      </c>
      <c r="O457" s="92"/>
      <c r="P457" s="83">
        <f>IF(O457="1",'⚙️ Configuração'!$C$21,IF(O457="2",'⚙️ Configuração'!$C$22,IF(O457="3",'⚙️ Configuração'!$C$23,IF(O457="Outro",'⚙️ Configuração'!$C$24,0))))</f>
        <v>0</v>
      </c>
      <c r="Q457" s="84">
        <f t="shared" si="39"/>
        <v>0</v>
      </c>
      <c r="R457" s="40" t="str">
        <f t="shared" si="22"/>
        <v>Semana 1 — ver 🔄</v>
      </c>
      <c r="S457" t="str" cm="1">
        <f t="array" ref="S457">IF(D457="","",IFERROR(_xlfn.SWITCH(B457,"Semana 1",IFERROR(INDEX('🔄 Rotação Duplas'!$D$8:$D$17,MATCH(D457,'🔄 Rotação Duplas'!$C$8:$C$17,0)),INDEX('🔄 Rotação Duplas'!$C$8:$C$17,MATCH(D457,'🔄 Rotação Duplas'!$D$8:$D$17,0))),"Semana 2",IFERROR(INDEX('🔄 Rotação Duplas'!$D$22:$D$31,MATCH(D457,'🔄 Rotação Duplas'!$C$22:$C$31,0)),INDEX('🔄 Rotação Duplas'!$C$22:$C$31,MATCH(D457,'🔄 Rotação Duplas'!$D$22:$D$31,0))),"Semana 3",IFERROR(INDEX('🔄 Rotação Duplas'!$D$36:$D$45,MATCH(D457,'🔄 Rotação Duplas'!$C$36:$C$45,0)),INDEX('🔄 Rotação Duplas'!$C$36:$C$45,MATCH(D457,'🔄 Rotação Duplas'!$D$36:$D$45,0))),"Semana 4",IFERROR(INDEX('🔄 Rotação Duplas'!$D$50:$D$59,MATCH(D457,'🔄 Rotação Duplas'!$C$50:$C$59,0)),INDEX('🔄 Rotação Duplas'!$C$50:$C$59,MATCH(D457,'🔄 Rotação Duplas'!$D$50:$D$59,0))),"Semana 5",IFERROR(INDEX('🔄 Rotação Duplas'!$D$64:$D$73,MATCH(D457,'🔄 Rotação Duplas'!$C$64:$C$73,0)),INDEX('🔄 Rotação Duplas'!$C$64:$C$73,MATCH(D457,'🔄 Rotação Duplas'!$D$64:$D$73,0))),"Semana 6",IFERROR(INDEX('🔄 Rotação Duplas'!$D$78:$D$87,MATCH(D457,'🔄 Rotação Duplas'!$C$78:$C$87,0)),INDEX('🔄 Rotação Duplas'!$C$78:$C$87,MATCH(D457,'🔄 Rotação Duplas'!$D$78:$D$87,0))),"Semana 7",IFERROR(INDEX('🔄 Rotação Duplas'!$D$92:$D$101,MATCH(D457,'🔄 Rotação Duplas'!$C$92:$C$101,0)),INDEX('🔄 Rotação Duplas'!$C$92:$C$101,MATCH(D457,'🔄 Rotação Duplas'!$D$92:$D$101,0))),"Semana 8",IFERROR(INDEX('🔄 Rotação Duplas'!$D$106:$D$115,MATCH(D457,'🔄 Rotação Duplas'!$C$106:$C$115,0)),INDEX('🔄 Rotação Duplas'!$C$106:$C$115,MATCH(D457,'🔄 Rotação Duplas'!$D$106:$D$115,0)))),""))</f>
        <v/>
      </c>
      <c r="T457">
        <f t="shared" si="40"/>
        <v>0</v>
      </c>
    </row>
    <row r="458" spans="2:20" ht="18" customHeight="1" x14ac:dyDescent="0.2">
      <c r="B458" s="85" t="s">
        <v>109</v>
      </c>
      <c r="C458" s="86" t="str">
        <f t="shared" si="38"/>
        <v>Desafio 23</v>
      </c>
      <c r="D458" s="87" t="str">
        <f>'⚙️ Configuração'!C41</f>
        <v>Marta Torres</v>
      </c>
      <c r="E458" s="50">
        <v>0</v>
      </c>
      <c r="F458" s="50">
        <v>0</v>
      </c>
      <c r="G458" s="50">
        <v>0</v>
      </c>
      <c r="H458" s="50">
        <v>0</v>
      </c>
      <c r="I458" s="50">
        <v>0</v>
      </c>
      <c r="J458" s="89">
        <v>0</v>
      </c>
      <c r="K458" s="81">
        <f>(E458*'⚙️ Configuração'!$C$6+F458*'⚙️ Configuração'!$C$7+G458*'⚙️ Configuração'!$C$8+H458*'⚙️ Configuração'!$C$9+I458*'⚙️ Configuração'!$C$10+J458*'⚙️ Configuração'!$C$11)*IF(N458="S",2,1)</f>
        <v>0</v>
      </c>
      <c r="L458" s="90" t="s">
        <v>167</v>
      </c>
      <c r="M458" s="82">
        <f>IF(L458="AT1",'⚙️ Configuração'!$C$14,IF(L458="AT2",'⚙️ Configuração'!$C$15,IF(L458="FI",'⚙️ Configuração'!$C$16,IF(L458="FJ",'⚙️ Configuração'!$C$17,0))))</f>
        <v>0</v>
      </c>
      <c r="N458" s="91" t="s">
        <v>167</v>
      </c>
      <c r="O458" s="92"/>
      <c r="P458" s="83">
        <f>IF(O458="1",'⚙️ Configuração'!$C$21,IF(O458="2",'⚙️ Configuração'!$C$22,IF(O458="3",'⚙️ Configuração'!$C$23,IF(O458="Outro",'⚙️ Configuração'!$C$24,0))))</f>
        <v>0</v>
      </c>
      <c r="Q458" s="84">
        <f t="shared" si="39"/>
        <v>0</v>
      </c>
      <c r="R458" s="40" t="str">
        <f t="shared" si="22"/>
        <v>Semana 1 — ver 🔄</v>
      </c>
      <c r="S458" t="str" cm="1">
        <f t="array" ref="S458">IF(D458="","",IFERROR(_xlfn.SWITCH(B458,"Semana 1",IFERROR(INDEX('🔄 Rotação Duplas'!$D$8:$D$17,MATCH(D458,'🔄 Rotação Duplas'!$C$8:$C$17,0)),INDEX('🔄 Rotação Duplas'!$C$8:$C$17,MATCH(D458,'🔄 Rotação Duplas'!$D$8:$D$17,0))),"Semana 2",IFERROR(INDEX('🔄 Rotação Duplas'!$D$22:$D$31,MATCH(D458,'🔄 Rotação Duplas'!$C$22:$C$31,0)),INDEX('🔄 Rotação Duplas'!$C$22:$C$31,MATCH(D458,'🔄 Rotação Duplas'!$D$22:$D$31,0))),"Semana 3",IFERROR(INDEX('🔄 Rotação Duplas'!$D$36:$D$45,MATCH(D458,'🔄 Rotação Duplas'!$C$36:$C$45,0)),INDEX('🔄 Rotação Duplas'!$C$36:$C$45,MATCH(D458,'🔄 Rotação Duplas'!$D$36:$D$45,0))),"Semana 4",IFERROR(INDEX('🔄 Rotação Duplas'!$D$50:$D$59,MATCH(D458,'🔄 Rotação Duplas'!$C$50:$C$59,0)),INDEX('🔄 Rotação Duplas'!$C$50:$C$59,MATCH(D458,'🔄 Rotação Duplas'!$D$50:$D$59,0))),"Semana 5",IFERROR(INDEX('🔄 Rotação Duplas'!$D$64:$D$73,MATCH(D458,'🔄 Rotação Duplas'!$C$64:$C$73,0)),INDEX('🔄 Rotação Duplas'!$C$64:$C$73,MATCH(D458,'🔄 Rotação Duplas'!$D$64:$D$73,0))),"Semana 6",IFERROR(INDEX('🔄 Rotação Duplas'!$D$78:$D$87,MATCH(D458,'🔄 Rotação Duplas'!$C$78:$C$87,0)),INDEX('🔄 Rotação Duplas'!$C$78:$C$87,MATCH(D458,'🔄 Rotação Duplas'!$D$78:$D$87,0))),"Semana 7",IFERROR(INDEX('🔄 Rotação Duplas'!$D$92:$D$101,MATCH(D458,'🔄 Rotação Duplas'!$C$92:$C$101,0)),INDEX('🔄 Rotação Duplas'!$C$92:$C$101,MATCH(D458,'🔄 Rotação Duplas'!$D$92:$D$101,0))),"Semana 8",IFERROR(INDEX('🔄 Rotação Duplas'!$D$106:$D$115,MATCH(D458,'🔄 Rotação Duplas'!$C$106:$C$115,0)),INDEX('🔄 Rotação Duplas'!$C$106:$C$115,MATCH(D458,'🔄 Rotação Duplas'!$D$106:$D$115,0)))),""))</f>
        <v/>
      </c>
      <c r="T458">
        <f t="shared" si="40"/>
        <v>0</v>
      </c>
    </row>
    <row r="459" spans="2:20" ht="18" customHeight="1" x14ac:dyDescent="0.2">
      <c r="B459" s="78" t="s">
        <v>109</v>
      </c>
      <c r="C459" s="79" t="str">
        <f t="shared" si="38"/>
        <v>Desafio 23</v>
      </c>
      <c r="D459" s="80" t="str">
        <f>'⚙️ Configuração'!C42</f>
        <v>Patricia Isabel Silva</v>
      </c>
      <c r="E459" s="50">
        <v>0</v>
      </c>
      <c r="F459" s="50">
        <v>0</v>
      </c>
      <c r="G459" s="50">
        <v>0</v>
      </c>
      <c r="H459" s="50">
        <v>0</v>
      </c>
      <c r="I459" s="50">
        <v>0</v>
      </c>
      <c r="J459" s="89">
        <v>0</v>
      </c>
      <c r="K459" s="81">
        <f>(E459*'⚙️ Configuração'!$C$6+F459*'⚙️ Configuração'!$C$7+G459*'⚙️ Configuração'!$C$8+H459*'⚙️ Configuração'!$C$9+I459*'⚙️ Configuração'!$C$10+J459*'⚙️ Configuração'!$C$11)*IF(N459="S",2,1)</f>
        <v>0</v>
      </c>
      <c r="L459" s="90" t="s">
        <v>167</v>
      </c>
      <c r="M459" s="82">
        <f>IF(L459="AT1",'⚙️ Configuração'!$C$14,IF(L459="AT2",'⚙️ Configuração'!$C$15,IF(L459="FI",'⚙️ Configuração'!$C$16,IF(L459="FJ",'⚙️ Configuração'!$C$17,0))))</f>
        <v>0</v>
      </c>
      <c r="N459" s="91" t="s">
        <v>167</v>
      </c>
      <c r="O459" s="92"/>
      <c r="P459" s="83">
        <f>IF(O459="1",'⚙️ Configuração'!$C$21,IF(O459="2",'⚙️ Configuração'!$C$22,IF(O459="3",'⚙️ Configuração'!$C$23,IF(O459="Outro",'⚙️ Configuração'!$C$24,0))))</f>
        <v>0</v>
      </c>
      <c r="Q459" s="84">
        <f t="shared" si="39"/>
        <v>0</v>
      </c>
      <c r="R459" s="40" t="str">
        <f t="shared" si="22"/>
        <v>Semana 1 — ver 🔄</v>
      </c>
      <c r="S459" t="str" cm="1">
        <f t="array" ref="S459">IF(D459="","",IFERROR(_xlfn.SWITCH(B459,"Semana 1",IFERROR(INDEX('🔄 Rotação Duplas'!$D$8:$D$17,MATCH(D459,'🔄 Rotação Duplas'!$C$8:$C$17,0)),INDEX('🔄 Rotação Duplas'!$C$8:$C$17,MATCH(D459,'🔄 Rotação Duplas'!$D$8:$D$17,0))),"Semana 2",IFERROR(INDEX('🔄 Rotação Duplas'!$D$22:$D$31,MATCH(D459,'🔄 Rotação Duplas'!$C$22:$C$31,0)),INDEX('🔄 Rotação Duplas'!$C$22:$C$31,MATCH(D459,'🔄 Rotação Duplas'!$D$22:$D$31,0))),"Semana 3",IFERROR(INDEX('🔄 Rotação Duplas'!$D$36:$D$45,MATCH(D459,'🔄 Rotação Duplas'!$C$36:$C$45,0)),INDEX('🔄 Rotação Duplas'!$C$36:$C$45,MATCH(D459,'🔄 Rotação Duplas'!$D$36:$D$45,0))),"Semana 4",IFERROR(INDEX('🔄 Rotação Duplas'!$D$50:$D$59,MATCH(D459,'🔄 Rotação Duplas'!$C$50:$C$59,0)),INDEX('🔄 Rotação Duplas'!$C$50:$C$59,MATCH(D459,'🔄 Rotação Duplas'!$D$50:$D$59,0))),"Semana 5",IFERROR(INDEX('🔄 Rotação Duplas'!$D$64:$D$73,MATCH(D459,'🔄 Rotação Duplas'!$C$64:$C$73,0)),INDEX('🔄 Rotação Duplas'!$C$64:$C$73,MATCH(D459,'🔄 Rotação Duplas'!$D$64:$D$73,0))),"Semana 6",IFERROR(INDEX('🔄 Rotação Duplas'!$D$78:$D$87,MATCH(D459,'🔄 Rotação Duplas'!$C$78:$C$87,0)),INDEX('🔄 Rotação Duplas'!$C$78:$C$87,MATCH(D459,'🔄 Rotação Duplas'!$D$78:$D$87,0))),"Semana 7",IFERROR(INDEX('🔄 Rotação Duplas'!$D$92:$D$101,MATCH(D459,'🔄 Rotação Duplas'!$C$92:$C$101,0)),INDEX('🔄 Rotação Duplas'!$C$92:$C$101,MATCH(D459,'🔄 Rotação Duplas'!$D$92:$D$101,0))),"Semana 8",IFERROR(INDEX('🔄 Rotação Duplas'!$D$106:$D$115,MATCH(D459,'🔄 Rotação Duplas'!$C$106:$C$115,0)),INDEX('🔄 Rotação Duplas'!$C$106:$C$115,MATCH(D459,'🔄 Rotação Duplas'!$D$106:$D$115,0)))),""))</f>
        <v/>
      </c>
      <c r="T459">
        <f t="shared" si="40"/>
        <v>0</v>
      </c>
    </row>
    <row r="460" spans="2:20" ht="18" customHeight="1" x14ac:dyDescent="0.2">
      <c r="B460" s="85" t="s">
        <v>109</v>
      </c>
      <c r="C460" s="86" t="str">
        <f t="shared" si="38"/>
        <v>Desafio 23</v>
      </c>
      <c r="D460" s="87" t="str">
        <f>'⚙️ Configuração'!C43</f>
        <v>Paula Martins</v>
      </c>
      <c r="E460" s="50">
        <v>0</v>
      </c>
      <c r="F460" s="50">
        <v>0</v>
      </c>
      <c r="G460" s="50">
        <v>0</v>
      </c>
      <c r="H460" s="50">
        <v>0</v>
      </c>
      <c r="I460" s="50">
        <v>0</v>
      </c>
      <c r="J460" s="89">
        <v>0</v>
      </c>
      <c r="K460" s="81">
        <f>(E460*'⚙️ Configuração'!$C$6+F460*'⚙️ Configuração'!$C$7+G460*'⚙️ Configuração'!$C$8+H460*'⚙️ Configuração'!$C$9+I460*'⚙️ Configuração'!$C$10+J460*'⚙️ Configuração'!$C$11)*IF(N460="S",2,1)</f>
        <v>0</v>
      </c>
      <c r="L460" s="90" t="s">
        <v>167</v>
      </c>
      <c r="M460" s="82">
        <f>IF(L460="AT1",'⚙️ Configuração'!$C$14,IF(L460="AT2",'⚙️ Configuração'!$C$15,IF(L460="FI",'⚙️ Configuração'!$C$16,IF(L460="FJ",'⚙️ Configuração'!$C$17,0))))</f>
        <v>0</v>
      </c>
      <c r="N460" s="91" t="s">
        <v>167</v>
      </c>
      <c r="O460" s="92"/>
      <c r="P460" s="83">
        <f>IF(O460="1",'⚙️ Configuração'!$C$21,IF(O460="2",'⚙️ Configuração'!$C$22,IF(O460="3",'⚙️ Configuração'!$C$23,IF(O460="Outro",'⚙️ Configuração'!$C$24,0))))</f>
        <v>0</v>
      </c>
      <c r="Q460" s="84">
        <f t="shared" si="39"/>
        <v>0</v>
      </c>
      <c r="R460" s="40" t="str">
        <f t="shared" si="22"/>
        <v>Semana 1 — ver 🔄</v>
      </c>
      <c r="S460" t="str" cm="1">
        <f t="array" ref="S460">IF(D460="","",IFERROR(_xlfn.SWITCH(B460,"Semana 1",IFERROR(INDEX('🔄 Rotação Duplas'!$D$8:$D$17,MATCH(D460,'🔄 Rotação Duplas'!$C$8:$C$17,0)),INDEX('🔄 Rotação Duplas'!$C$8:$C$17,MATCH(D460,'🔄 Rotação Duplas'!$D$8:$D$17,0))),"Semana 2",IFERROR(INDEX('🔄 Rotação Duplas'!$D$22:$D$31,MATCH(D460,'🔄 Rotação Duplas'!$C$22:$C$31,0)),INDEX('🔄 Rotação Duplas'!$C$22:$C$31,MATCH(D460,'🔄 Rotação Duplas'!$D$22:$D$31,0))),"Semana 3",IFERROR(INDEX('🔄 Rotação Duplas'!$D$36:$D$45,MATCH(D460,'🔄 Rotação Duplas'!$C$36:$C$45,0)),INDEX('🔄 Rotação Duplas'!$C$36:$C$45,MATCH(D460,'🔄 Rotação Duplas'!$D$36:$D$45,0))),"Semana 4",IFERROR(INDEX('🔄 Rotação Duplas'!$D$50:$D$59,MATCH(D460,'🔄 Rotação Duplas'!$C$50:$C$59,0)),INDEX('🔄 Rotação Duplas'!$C$50:$C$59,MATCH(D460,'🔄 Rotação Duplas'!$D$50:$D$59,0))),"Semana 5",IFERROR(INDEX('🔄 Rotação Duplas'!$D$64:$D$73,MATCH(D460,'🔄 Rotação Duplas'!$C$64:$C$73,0)),INDEX('🔄 Rotação Duplas'!$C$64:$C$73,MATCH(D460,'🔄 Rotação Duplas'!$D$64:$D$73,0))),"Semana 6",IFERROR(INDEX('🔄 Rotação Duplas'!$D$78:$D$87,MATCH(D460,'🔄 Rotação Duplas'!$C$78:$C$87,0)),INDEX('🔄 Rotação Duplas'!$C$78:$C$87,MATCH(D460,'🔄 Rotação Duplas'!$D$78:$D$87,0))),"Semana 7",IFERROR(INDEX('🔄 Rotação Duplas'!$D$92:$D$101,MATCH(D460,'🔄 Rotação Duplas'!$C$92:$C$101,0)),INDEX('🔄 Rotação Duplas'!$C$92:$C$101,MATCH(D460,'🔄 Rotação Duplas'!$D$92:$D$101,0))),"Semana 8",IFERROR(INDEX('🔄 Rotação Duplas'!$D$106:$D$115,MATCH(D460,'🔄 Rotação Duplas'!$C$106:$C$115,0)),INDEX('🔄 Rotação Duplas'!$C$106:$C$115,MATCH(D460,'🔄 Rotação Duplas'!$D$106:$D$115,0)))),""))</f>
        <v/>
      </c>
      <c r="T460">
        <f t="shared" si="40"/>
        <v>0</v>
      </c>
    </row>
    <row r="461" spans="2:20" ht="18" customHeight="1" x14ac:dyDescent="0.2">
      <c r="B461" s="78" t="s">
        <v>109</v>
      </c>
      <c r="C461" s="79" t="str">
        <f t="shared" si="38"/>
        <v>Desafio 23</v>
      </c>
      <c r="D461" s="80" t="str">
        <f>'⚙️ Configuração'!C44</f>
        <v>Paula Miabara</v>
      </c>
      <c r="E461" s="50">
        <v>0</v>
      </c>
      <c r="F461" s="50">
        <v>0</v>
      </c>
      <c r="G461" s="50">
        <v>0</v>
      </c>
      <c r="H461" s="50">
        <v>0</v>
      </c>
      <c r="I461" s="50">
        <v>0</v>
      </c>
      <c r="J461" s="89">
        <v>0</v>
      </c>
      <c r="K461" s="81">
        <f>(E461*'⚙️ Configuração'!$C$6+F461*'⚙️ Configuração'!$C$7+G461*'⚙️ Configuração'!$C$8+H461*'⚙️ Configuração'!$C$9+I461*'⚙️ Configuração'!$C$10+J461*'⚙️ Configuração'!$C$11)*IF(N461="S",2,1)</f>
        <v>0</v>
      </c>
      <c r="L461" s="90" t="s">
        <v>167</v>
      </c>
      <c r="M461" s="82">
        <f>IF(L461="AT1",'⚙️ Configuração'!$C$14,IF(L461="AT2",'⚙️ Configuração'!$C$15,IF(L461="FI",'⚙️ Configuração'!$C$16,IF(L461="FJ",'⚙️ Configuração'!$C$17,0))))</f>
        <v>0</v>
      </c>
      <c r="N461" s="91" t="s">
        <v>167</v>
      </c>
      <c r="O461" s="92"/>
      <c r="P461" s="83">
        <f>IF(O461="1",'⚙️ Configuração'!$C$21,IF(O461="2",'⚙️ Configuração'!$C$22,IF(O461="3",'⚙️ Configuração'!$C$23,IF(O461="Outro",'⚙️ Configuração'!$C$24,0))))</f>
        <v>0</v>
      </c>
      <c r="Q461" s="84">
        <f t="shared" si="39"/>
        <v>0</v>
      </c>
      <c r="R461" s="40" t="str">
        <f t="shared" si="22"/>
        <v>Semana 1 — ver 🔄</v>
      </c>
      <c r="S461" t="str" cm="1">
        <f t="array" ref="S461">IF(D461="","",IFERROR(_xlfn.SWITCH(B461,"Semana 1",IFERROR(INDEX('🔄 Rotação Duplas'!$D$8:$D$17,MATCH(D461,'🔄 Rotação Duplas'!$C$8:$C$17,0)),INDEX('🔄 Rotação Duplas'!$C$8:$C$17,MATCH(D461,'🔄 Rotação Duplas'!$D$8:$D$17,0))),"Semana 2",IFERROR(INDEX('🔄 Rotação Duplas'!$D$22:$D$31,MATCH(D461,'🔄 Rotação Duplas'!$C$22:$C$31,0)),INDEX('🔄 Rotação Duplas'!$C$22:$C$31,MATCH(D461,'🔄 Rotação Duplas'!$D$22:$D$31,0))),"Semana 3",IFERROR(INDEX('🔄 Rotação Duplas'!$D$36:$D$45,MATCH(D461,'🔄 Rotação Duplas'!$C$36:$C$45,0)),INDEX('🔄 Rotação Duplas'!$C$36:$C$45,MATCH(D461,'🔄 Rotação Duplas'!$D$36:$D$45,0))),"Semana 4",IFERROR(INDEX('🔄 Rotação Duplas'!$D$50:$D$59,MATCH(D461,'🔄 Rotação Duplas'!$C$50:$C$59,0)),INDEX('🔄 Rotação Duplas'!$C$50:$C$59,MATCH(D461,'🔄 Rotação Duplas'!$D$50:$D$59,0))),"Semana 5",IFERROR(INDEX('🔄 Rotação Duplas'!$D$64:$D$73,MATCH(D461,'🔄 Rotação Duplas'!$C$64:$C$73,0)),INDEX('🔄 Rotação Duplas'!$C$64:$C$73,MATCH(D461,'🔄 Rotação Duplas'!$D$64:$D$73,0))),"Semana 6",IFERROR(INDEX('🔄 Rotação Duplas'!$D$78:$D$87,MATCH(D461,'🔄 Rotação Duplas'!$C$78:$C$87,0)),INDEX('🔄 Rotação Duplas'!$C$78:$C$87,MATCH(D461,'🔄 Rotação Duplas'!$D$78:$D$87,0))),"Semana 7",IFERROR(INDEX('🔄 Rotação Duplas'!$D$92:$D$101,MATCH(D461,'🔄 Rotação Duplas'!$C$92:$C$101,0)),INDEX('🔄 Rotação Duplas'!$C$92:$C$101,MATCH(D461,'🔄 Rotação Duplas'!$D$92:$D$101,0))),"Semana 8",IFERROR(INDEX('🔄 Rotação Duplas'!$D$106:$D$115,MATCH(D461,'🔄 Rotação Duplas'!$C$106:$C$115,0)),INDEX('🔄 Rotação Duplas'!$C$106:$C$115,MATCH(D461,'🔄 Rotação Duplas'!$D$106:$D$115,0)))),""))</f>
        <v/>
      </c>
      <c r="T461">
        <f t="shared" si="40"/>
        <v>0</v>
      </c>
    </row>
    <row r="462" spans="2:20" ht="18" customHeight="1" x14ac:dyDescent="0.2">
      <c r="B462" s="85" t="s">
        <v>109</v>
      </c>
      <c r="C462" s="86" t="str">
        <f t="shared" si="38"/>
        <v>Desafio 23</v>
      </c>
      <c r="D462" s="87" t="str">
        <f>'⚙️ Configuração'!C45</f>
        <v>Rita Carmo</v>
      </c>
      <c r="E462" s="50">
        <v>0</v>
      </c>
      <c r="F462" s="50">
        <v>0</v>
      </c>
      <c r="G462" s="50">
        <v>0</v>
      </c>
      <c r="H462" s="50">
        <v>0</v>
      </c>
      <c r="I462" s="50">
        <v>0</v>
      </c>
      <c r="J462" s="89">
        <v>0</v>
      </c>
      <c r="K462" s="81">
        <f>(E462*'⚙️ Configuração'!$C$6+F462*'⚙️ Configuração'!$C$7+G462*'⚙️ Configuração'!$C$8+H462*'⚙️ Configuração'!$C$9+I462*'⚙️ Configuração'!$C$10+J462*'⚙️ Configuração'!$C$11)*IF(N462="S",2,1)</f>
        <v>0</v>
      </c>
      <c r="L462" s="90" t="s">
        <v>167</v>
      </c>
      <c r="M462" s="82">
        <f>IF(L462="AT1",'⚙️ Configuração'!$C$14,IF(L462="AT2",'⚙️ Configuração'!$C$15,IF(L462="FI",'⚙️ Configuração'!$C$16,IF(L462="FJ",'⚙️ Configuração'!$C$17,0))))</f>
        <v>0</v>
      </c>
      <c r="N462" s="91" t="s">
        <v>167</v>
      </c>
      <c r="O462" s="92"/>
      <c r="P462" s="83">
        <f>IF(O462="1",'⚙️ Configuração'!$C$21,IF(O462="2",'⚙️ Configuração'!$C$22,IF(O462="3",'⚙️ Configuração'!$C$23,IF(O462="Outro",'⚙️ Configuração'!$C$24,0))))</f>
        <v>0</v>
      </c>
      <c r="Q462" s="84">
        <f t="shared" si="39"/>
        <v>0</v>
      </c>
      <c r="R462" s="40" t="str">
        <f t="shared" si="22"/>
        <v>Semana 1 — ver 🔄</v>
      </c>
      <c r="S462" t="str" cm="1">
        <f t="array" ref="S462">IF(D462="","",IFERROR(_xlfn.SWITCH(B462,"Semana 1",IFERROR(INDEX('🔄 Rotação Duplas'!$D$8:$D$17,MATCH(D462,'🔄 Rotação Duplas'!$C$8:$C$17,0)),INDEX('🔄 Rotação Duplas'!$C$8:$C$17,MATCH(D462,'🔄 Rotação Duplas'!$D$8:$D$17,0))),"Semana 2",IFERROR(INDEX('🔄 Rotação Duplas'!$D$22:$D$31,MATCH(D462,'🔄 Rotação Duplas'!$C$22:$C$31,0)),INDEX('🔄 Rotação Duplas'!$C$22:$C$31,MATCH(D462,'🔄 Rotação Duplas'!$D$22:$D$31,0))),"Semana 3",IFERROR(INDEX('🔄 Rotação Duplas'!$D$36:$D$45,MATCH(D462,'🔄 Rotação Duplas'!$C$36:$C$45,0)),INDEX('🔄 Rotação Duplas'!$C$36:$C$45,MATCH(D462,'🔄 Rotação Duplas'!$D$36:$D$45,0))),"Semana 4",IFERROR(INDEX('🔄 Rotação Duplas'!$D$50:$D$59,MATCH(D462,'🔄 Rotação Duplas'!$C$50:$C$59,0)),INDEX('🔄 Rotação Duplas'!$C$50:$C$59,MATCH(D462,'🔄 Rotação Duplas'!$D$50:$D$59,0))),"Semana 5",IFERROR(INDEX('🔄 Rotação Duplas'!$D$64:$D$73,MATCH(D462,'🔄 Rotação Duplas'!$C$64:$C$73,0)),INDEX('🔄 Rotação Duplas'!$C$64:$C$73,MATCH(D462,'🔄 Rotação Duplas'!$D$64:$D$73,0))),"Semana 6",IFERROR(INDEX('🔄 Rotação Duplas'!$D$78:$D$87,MATCH(D462,'🔄 Rotação Duplas'!$C$78:$C$87,0)),INDEX('🔄 Rotação Duplas'!$C$78:$C$87,MATCH(D462,'🔄 Rotação Duplas'!$D$78:$D$87,0))),"Semana 7",IFERROR(INDEX('🔄 Rotação Duplas'!$D$92:$D$101,MATCH(D462,'🔄 Rotação Duplas'!$C$92:$C$101,0)),INDEX('🔄 Rotação Duplas'!$C$92:$C$101,MATCH(D462,'🔄 Rotação Duplas'!$D$92:$D$101,0))),"Semana 8",IFERROR(INDEX('🔄 Rotação Duplas'!$D$106:$D$115,MATCH(D462,'🔄 Rotação Duplas'!$C$106:$C$115,0)),INDEX('🔄 Rotação Duplas'!$C$106:$C$115,MATCH(D462,'🔄 Rotação Duplas'!$D$106:$D$115,0)))),""))</f>
        <v/>
      </c>
      <c r="T462">
        <f t="shared" si="40"/>
        <v>0</v>
      </c>
    </row>
    <row r="463" spans="2:20" ht="18" customHeight="1" x14ac:dyDescent="0.2">
      <c r="B463" s="78" t="s">
        <v>109</v>
      </c>
      <c r="C463" s="79" t="str">
        <f t="shared" si="38"/>
        <v>Desafio 23</v>
      </c>
      <c r="D463" s="80" t="str">
        <f>'⚙️ Configuração'!C46</f>
        <v>William Fernandes</v>
      </c>
      <c r="E463" s="50">
        <v>0</v>
      </c>
      <c r="F463" s="50">
        <v>0</v>
      </c>
      <c r="G463" s="50">
        <v>0</v>
      </c>
      <c r="H463" s="50">
        <v>0</v>
      </c>
      <c r="I463" s="50">
        <v>0</v>
      </c>
      <c r="J463" s="89">
        <v>0</v>
      </c>
      <c r="K463" s="81">
        <f>(E463*'⚙️ Configuração'!$C$6+F463*'⚙️ Configuração'!$C$7+G463*'⚙️ Configuração'!$C$8+H463*'⚙️ Configuração'!$C$9+I463*'⚙️ Configuração'!$C$10+J463*'⚙️ Configuração'!$C$11)*IF(N463="S",2,1)</f>
        <v>0</v>
      </c>
      <c r="L463" s="90" t="s">
        <v>167</v>
      </c>
      <c r="M463" s="82">
        <f>IF(L463="AT1",'⚙️ Configuração'!$C$14,IF(L463="AT2",'⚙️ Configuração'!$C$15,IF(L463="FI",'⚙️ Configuração'!$C$16,IF(L463="FJ",'⚙️ Configuração'!$C$17,0))))</f>
        <v>0</v>
      </c>
      <c r="N463" s="91" t="s">
        <v>167</v>
      </c>
      <c r="O463" s="92"/>
      <c r="P463" s="83">
        <f>IF(O463="1",'⚙️ Configuração'!$C$21,IF(O463="2",'⚙️ Configuração'!$C$22,IF(O463="3",'⚙️ Configuração'!$C$23,IF(O463="Outro",'⚙️ Configuração'!$C$24,0))))</f>
        <v>0</v>
      </c>
      <c r="Q463" s="84">
        <f t="shared" si="39"/>
        <v>0</v>
      </c>
      <c r="R463" s="40" t="str">
        <f t="shared" si="22"/>
        <v>Semana 1 — ver 🔄</v>
      </c>
      <c r="S463" t="str" cm="1">
        <f t="array" ref="S463">IF(D463="","",IFERROR(_xlfn.SWITCH(B463,"Semana 1",IFERROR(INDEX('🔄 Rotação Duplas'!$D$8:$D$17,MATCH(D463,'🔄 Rotação Duplas'!$C$8:$C$17,0)),INDEX('🔄 Rotação Duplas'!$C$8:$C$17,MATCH(D463,'🔄 Rotação Duplas'!$D$8:$D$17,0))),"Semana 2",IFERROR(INDEX('🔄 Rotação Duplas'!$D$22:$D$31,MATCH(D463,'🔄 Rotação Duplas'!$C$22:$C$31,0)),INDEX('🔄 Rotação Duplas'!$C$22:$C$31,MATCH(D463,'🔄 Rotação Duplas'!$D$22:$D$31,0))),"Semana 3",IFERROR(INDEX('🔄 Rotação Duplas'!$D$36:$D$45,MATCH(D463,'🔄 Rotação Duplas'!$C$36:$C$45,0)),INDEX('🔄 Rotação Duplas'!$C$36:$C$45,MATCH(D463,'🔄 Rotação Duplas'!$D$36:$D$45,0))),"Semana 4",IFERROR(INDEX('🔄 Rotação Duplas'!$D$50:$D$59,MATCH(D463,'🔄 Rotação Duplas'!$C$50:$C$59,0)),INDEX('🔄 Rotação Duplas'!$C$50:$C$59,MATCH(D463,'🔄 Rotação Duplas'!$D$50:$D$59,0))),"Semana 5",IFERROR(INDEX('🔄 Rotação Duplas'!$D$64:$D$73,MATCH(D463,'🔄 Rotação Duplas'!$C$64:$C$73,0)),INDEX('🔄 Rotação Duplas'!$C$64:$C$73,MATCH(D463,'🔄 Rotação Duplas'!$D$64:$D$73,0))),"Semana 6",IFERROR(INDEX('🔄 Rotação Duplas'!$D$78:$D$87,MATCH(D463,'🔄 Rotação Duplas'!$C$78:$C$87,0)),INDEX('🔄 Rotação Duplas'!$C$78:$C$87,MATCH(D463,'🔄 Rotação Duplas'!$D$78:$D$87,0))),"Semana 7",IFERROR(INDEX('🔄 Rotação Duplas'!$D$92:$D$101,MATCH(D463,'🔄 Rotação Duplas'!$C$92:$C$101,0)),INDEX('🔄 Rotação Duplas'!$C$92:$C$101,MATCH(D463,'🔄 Rotação Duplas'!$D$92:$D$101,0))),"Semana 8",IFERROR(INDEX('🔄 Rotação Duplas'!$D$106:$D$115,MATCH(D463,'🔄 Rotação Duplas'!$C$106:$C$115,0)),INDEX('🔄 Rotação Duplas'!$C$106:$C$115,MATCH(D463,'🔄 Rotação Duplas'!$D$106:$D$115,0)))),""))</f>
        <v/>
      </c>
      <c r="T463">
        <f t="shared" si="40"/>
        <v>0</v>
      </c>
    </row>
    <row r="464" spans="2:20" ht="18" customHeight="1" x14ac:dyDescent="0.2">
      <c r="B464" s="85" t="s">
        <v>109</v>
      </c>
      <c r="C464" s="86" t="str">
        <f t="shared" si="38"/>
        <v>Desafio 23</v>
      </c>
      <c r="D464" s="87" t="str">
        <f>'⚙️ Configuração'!C47</f>
        <v>-</v>
      </c>
      <c r="E464" s="50">
        <v>0</v>
      </c>
      <c r="F464" s="50">
        <v>0</v>
      </c>
      <c r="G464" s="50">
        <v>0</v>
      </c>
      <c r="H464" s="50">
        <v>0</v>
      </c>
      <c r="I464" s="50">
        <v>0</v>
      </c>
      <c r="J464" s="89">
        <v>0</v>
      </c>
      <c r="K464" s="81">
        <f>(E464*'⚙️ Configuração'!$C$6+F464*'⚙️ Configuração'!$C$7+G464*'⚙️ Configuração'!$C$8+H464*'⚙️ Configuração'!$C$9+I464*'⚙️ Configuração'!$C$10+J464*'⚙️ Configuração'!$C$11)*IF(N464="S",2,1)</f>
        <v>0</v>
      </c>
      <c r="L464" s="90" t="s">
        <v>167</v>
      </c>
      <c r="M464" s="82">
        <f>IF(L464="AT1",'⚙️ Configuração'!$C$14,IF(L464="AT2",'⚙️ Configuração'!$C$15,IF(L464="FI",'⚙️ Configuração'!$C$16,IF(L464="FJ",'⚙️ Configuração'!$C$17,0))))</f>
        <v>0</v>
      </c>
      <c r="N464" s="91" t="s">
        <v>167</v>
      </c>
      <c r="O464" s="92"/>
      <c r="P464" s="83">
        <f>IF(O464="1",'⚙️ Configuração'!$C$21,IF(O464="2",'⚙️ Configuração'!$C$22,IF(O464="3",'⚙️ Configuração'!$C$23,IF(O464="Outro",'⚙️ Configuração'!$C$24,0))))</f>
        <v>0</v>
      </c>
      <c r="Q464" s="84">
        <f t="shared" si="39"/>
        <v>0</v>
      </c>
      <c r="R464" s="40" t="str">
        <f t="shared" si="22"/>
        <v>Semana 1 — ver 🔄</v>
      </c>
      <c r="S464" t="str" cm="1">
        <f t="array" ref="S464">IF(D464="","",IFERROR(_xlfn.SWITCH(B464,"Semana 1",IFERROR(INDEX('🔄 Rotação Duplas'!$D$8:$D$17,MATCH(D464,'🔄 Rotação Duplas'!$C$8:$C$17,0)),INDEX('🔄 Rotação Duplas'!$C$8:$C$17,MATCH(D464,'🔄 Rotação Duplas'!$D$8:$D$17,0))),"Semana 2",IFERROR(INDEX('🔄 Rotação Duplas'!$D$22:$D$31,MATCH(D464,'🔄 Rotação Duplas'!$C$22:$C$31,0)),INDEX('🔄 Rotação Duplas'!$C$22:$C$31,MATCH(D464,'🔄 Rotação Duplas'!$D$22:$D$31,0))),"Semana 3",IFERROR(INDEX('🔄 Rotação Duplas'!$D$36:$D$45,MATCH(D464,'🔄 Rotação Duplas'!$C$36:$C$45,0)),INDEX('🔄 Rotação Duplas'!$C$36:$C$45,MATCH(D464,'🔄 Rotação Duplas'!$D$36:$D$45,0))),"Semana 4",IFERROR(INDEX('🔄 Rotação Duplas'!$D$50:$D$59,MATCH(D464,'🔄 Rotação Duplas'!$C$50:$C$59,0)),INDEX('🔄 Rotação Duplas'!$C$50:$C$59,MATCH(D464,'🔄 Rotação Duplas'!$D$50:$D$59,0))),"Semana 5",IFERROR(INDEX('🔄 Rotação Duplas'!$D$64:$D$73,MATCH(D464,'🔄 Rotação Duplas'!$C$64:$C$73,0)),INDEX('🔄 Rotação Duplas'!$C$64:$C$73,MATCH(D464,'🔄 Rotação Duplas'!$D$64:$D$73,0))),"Semana 6",IFERROR(INDEX('🔄 Rotação Duplas'!$D$78:$D$87,MATCH(D464,'🔄 Rotação Duplas'!$C$78:$C$87,0)),INDEX('🔄 Rotação Duplas'!$C$78:$C$87,MATCH(D464,'🔄 Rotação Duplas'!$D$78:$D$87,0))),"Semana 7",IFERROR(INDEX('🔄 Rotação Duplas'!$D$92:$D$101,MATCH(D464,'🔄 Rotação Duplas'!$C$92:$C$101,0)),INDEX('🔄 Rotação Duplas'!$C$92:$C$101,MATCH(D464,'🔄 Rotação Duplas'!$D$92:$D$101,0))),"Semana 8",IFERROR(INDEX('🔄 Rotação Duplas'!$D$106:$D$115,MATCH(D464,'🔄 Rotação Duplas'!$C$106:$C$115,0)),INDEX('🔄 Rotação Duplas'!$C$106:$C$115,MATCH(D464,'🔄 Rotação Duplas'!$D$106:$D$115,0)))),""))</f>
        <v/>
      </c>
      <c r="T464">
        <f t="shared" si="40"/>
        <v>0</v>
      </c>
    </row>
    <row r="465" spans="2:20" ht="18" customHeight="1" x14ac:dyDescent="0.2">
      <c r="B465" s="78" t="s">
        <v>109</v>
      </c>
      <c r="C465" s="79" t="str">
        <f t="shared" si="38"/>
        <v>Desafio 23</v>
      </c>
      <c r="D465" s="80" t="str">
        <f>'⚙️ Configuração'!C48</f>
        <v>-</v>
      </c>
      <c r="E465" s="50">
        <v>0</v>
      </c>
      <c r="F465" s="50">
        <v>0</v>
      </c>
      <c r="G465" s="50">
        <v>0</v>
      </c>
      <c r="H465" s="50">
        <v>0</v>
      </c>
      <c r="I465" s="50">
        <v>0</v>
      </c>
      <c r="J465" s="89">
        <v>0</v>
      </c>
      <c r="K465" s="81">
        <f>(E465*'⚙️ Configuração'!$C$6+F465*'⚙️ Configuração'!$C$7+G465*'⚙️ Configuração'!$C$8+H465*'⚙️ Configuração'!$C$9+I465*'⚙️ Configuração'!$C$10+J465*'⚙️ Configuração'!$C$11)*IF(N465="S",2,1)</f>
        <v>0</v>
      </c>
      <c r="L465" s="90" t="s">
        <v>167</v>
      </c>
      <c r="M465" s="82">
        <f>IF(L465="AT1",'⚙️ Configuração'!$C$14,IF(L465="AT2",'⚙️ Configuração'!$C$15,IF(L465="FI",'⚙️ Configuração'!$C$16,IF(L465="FJ",'⚙️ Configuração'!$C$17,0))))</f>
        <v>0</v>
      </c>
      <c r="N465" s="91" t="s">
        <v>167</v>
      </c>
      <c r="O465" s="92"/>
      <c r="P465" s="83">
        <f>IF(O465="1",'⚙️ Configuração'!$C$21,IF(O465="2",'⚙️ Configuração'!$C$22,IF(O465="3",'⚙️ Configuração'!$C$23,IF(O465="Outro",'⚙️ Configuração'!$C$24,0))))</f>
        <v>0</v>
      </c>
      <c r="Q465" s="84">
        <f t="shared" si="39"/>
        <v>0</v>
      </c>
      <c r="R465" s="40" t="str">
        <f t="shared" si="22"/>
        <v>Semana 1 — ver 🔄</v>
      </c>
      <c r="S465" t="str" cm="1">
        <f t="array" ref="S465">IF(D465="","",IFERROR(_xlfn.SWITCH(B465,"Semana 1",IFERROR(INDEX('🔄 Rotação Duplas'!$D$8:$D$17,MATCH(D465,'🔄 Rotação Duplas'!$C$8:$C$17,0)),INDEX('🔄 Rotação Duplas'!$C$8:$C$17,MATCH(D465,'🔄 Rotação Duplas'!$D$8:$D$17,0))),"Semana 2",IFERROR(INDEX('🔄 Rotação Duplas'!$D$22:$D$31,MATCH(D465,'🔄 Rotação Duplas'!$C$22:$C$31,0)),INDEX('🔄 Rotação Duplas'!$C$22:$C$31,MATCH(D465,'🔄 Rotação Duplas'!$D$22:$D$31,0))),"Semana 3",IFERROR(INDEX('🔄 Rotação Duplas'!$D$36:$D$45,MATCH(D465,'🔄 Rotação Duplas'!$C$36:$C$45,0)),INDEX('🔄 Rotação Duplas'!$C$36:$C$45,MATCH(D465,'🔄 Rotação Duplas'!$D$36:$D$45,0))),"Semana 4",IFERROR(INDEX('🔄 Rotação Duplas'!$D$50:$D$59,MATCH(D465,'🔄 Rotação Duplas'!$C$50:$C$59,0)),INDEX('🔄 Rotação Duplas'!$C$50:$C$59,MATCH(D465,'🔄 Rotação Duplas'!$D$50:$D$59,0))),"Semana 5",IFERROR(INDEX('🔄 Rotação Duplas'!$D$64:$D$73,MATCH(D465,'🔄 Rotação Duplas'!$C$64:$C$73,0)),INDEX('🔄 Rotação Duplas'!$C$64:$C$73,MATCH(D465,'🔄 Rotação Duplas'!$D$64:$D$73,0))),"Semana 6",IFERROR(INDEX('🔄 Rotação Duplas'!$D$78:$D$87,MATCH(D465,'🔄 Rotação Duplas'!$C$78:$C$87,0)),INDEX('🔄 Rotação Duplas'!$C$78:$C$87,MATCH(D465,'🔄 Rotação Duplas'!$D$78:$D$87,0))),"Semana 7",IFERROR(INDEX('🔄 Rotação Duplas'!$D$92:$D$101,MATCH(D465,'🔄 Rotação Duplas'!$C$92:$C$101,0)),INDEX('🔄 Rotação Duplas'!$C$92:$C$101,MATCH(D465,'🔄 Rotação Duplas'!$D$92:$D$101,0))),"Semana 8",IFERROR(INDEX('🔄 Rotação Duplas'!$D$106:$D$115,MATCH(D465,'🔄 Rotação Duplas'!$C$106:$C$115,0)),INDEX('🔄 Rotação Duplas'!$C$106:$C$115,MATCH(D465,'🔄 Rotação Duplas'!$D$106:$D$115,0)))),""))</f>
        <v/>
      </c>
      <c r="T465">
        <f t="shared" si="40"/>
        <v>0</v>
      </c>
    </row>
    <row r="466" spans="2:20" ht="18" customHeight="1" x14ac:dyDescent="0.2">
      <c r="B466" s="85" t="s">
        <v>109</v>
      </c>
      <c r="C466" s="86" t="str">
        <f t="shared" si="38"/>
        <v>Desafio 23</v>
      </c>
      <c r="D466" s="87" t="str">
        <f>'⚙️ Configuração'!C49</f>
        <v>-</v>
      </c>
      <c r="E466" s="50">
        <v>0</v>
      </c>
      <c r="F466" s="50">
        <v>0</v>
      </c>
      <c r="G466" s="50">
        <v>0</v>
      </c>
      <c r="H466" s="50">
        <v>0</v>
      </c>
      <c r="I466" s="50">
        <v>0</v>
      </c>
      <c r="J466" s="89">
        <v>0</v>
      </c>
      <c r="K466" s="81">
        <f>(E466*'⚙️ Configuração'!$C$6+F466*'⚙️ Configuração'!$C$7+G466*'⚙️ Configuração'!$C$8+H466*'⚙️ Configuração'!$C$9+I466*'⚙️ Configuração'!$C$10+J466*'⚙️ Configuração'!$C$11)*IF(N466="S",2,1)</f>
        <v>0</v>
      </c>
      <c r="L466" s="90" t="s">
        <v>167</v>
      </c>
      <c r="M466" s="82">
        <f>IF(L466="AT1",'⚙️ Configuração'!$C$14,IF(L466="AT2",'⚙️ Configuração'!$C$15,IF(L466="FI",'⚙️ Configuração'!$C$16,IF(L466="FJ",'⚙️ Configuração'!$C$17,0))))</f>
        <v>0</v>
      </c>
      <c r="N466" s="91" t="s">
        <v>167</v>
      </c>
      <c r="O466" s="92"/>
      <c r="P466" s="83">
        <f>IF(O466="1",'⚙️ Configuração'!$C$21,IF(O466="2",'⚙️ Configuração'!$C$22,IF(O466="3",'⚙️ Configuração'!$C$23,IF(O466="Outro",'⚙️ Configuração'!$C$24,0))))</f>
        <v>0</v>
      </c>
      <c r="Q466" s="84">
        <f t="shared" si="39"/>
        <v>0</v>
      </c>
      <c r="R466" s="40" t="str">
        <f t="shared" si="22"/>
        <v>Semana 1 — ver 🔄</v>
      </c>
      <c r="S466" t="str" cm="1">
        <f t="array" ref="S466">IF(D466="","",IFERROR(_xlfn.SWITCH(B466,"Semana 1",IFERROR(INDEX('🔄 Rotação Duplas'!$D$8:$D$17,MATCH(D466,'🔄 Rotação Duplas'!$C$8:$C$17,0)),INDEX('🔄 Rotação Duplas'!$C$8:$C$17,MATCH(D466,'🔄 Rotação Duplas'!$D$8:$D$17,0))),"Semana 2",IFERROR(INDEX('🔄 Rotação Duplas'!$D$22:$D$31,MATCH(D466,'🔄 Rotação Duplas'!$C$22:$C$31,0)),INDEX('🔄 Rotação Duplas'!$C$22:$C$31,MATCH(D466,'🔄 Rotação Duplas'!$D$22:$D$31,0))),"Semana 3",IFERROR(INDEX('🔄 Rotação Duplas'!$D$36:$D$45,MATCH(D466,'🔄 Rotação Duplas'!$C$36:$C$45,0)),INDEX('🔄 Rotação Duplas'!$C$36:$C$45,MATCH(D466,'🔄 Rotação Duplas'!$D$36:$D$45,0))),"Semana 4",IFERROR(INDEX('🔄 Rotação Duplas'!$D$50:$D$59,MATCH(D466,'🔄 Rotação Duplas'!$C$50:$C$59,0)),INDEX('🔄 Rotação Duplas'!$C$50:$C$59,MATCH(D466,'🔄 Rotação Duplas'!$D$50:$D$59,0))),"Semana 5",IFERROR(INDEX('🔄 Rotação Duplas'!$D$64:$D$73,MATCH(D466,'🔄 Rotação Duplas'!$C$64:$C$73,0)),INDEX('🔄 Rotação Duplas'!$C$64:$C$73,MATCH(D466,'🔄 Rotação Duplas'!$D$64:$D$73,0))),"Semana 6",IFERROR(INDEX('🔄 Rotação Duplas'!$D$78:$D$87,MATCH(D466,'🔄 Rotação Duplas'!$C$78:$C$87,0)),INDEX('🔄 Rotação Duplas'!$C$78:$C$87,MATCH(D466,'🔄 Rotação Duplas'!$D$78:$D$87,0))),"Semana 7",IFERROR(INDEX('🔄 Rotação Duplas'!$D$92:$D$101,MATCH(D466,'🔄 Rotação Duplas'!$C$92:$C$101,0)),INDEX('🔄 Rotação Duplas'!$C$92:$C$101,MATCH(D466,'🔄 Rotação Duplas'!$D$92:$D$101,0))),"Semana 8",IFERROR(INDEX('🔄 Rotação Duplas'!$D$106:$D$115,MATCH(D466,'🔄 Rotação Duplas'!$C$106:$C$115,0)),INDEX('🔄 Rotação Duplas'!$C$106:$C$115,MATCH(D466,'🔄 Rotação Duplas'!$D$106:$D$115,0)))),""))</f>
        <v/>
      </c>
      <c r="T466">
        <f t="shared" si="40"/>
        <v>0</v>
      </c>
    </row>
    <row r="467" spans="2:20" ht="18" customHeight="1" x14ac:dyDescent="0.2">
      <c r="B467" s="78" t="s">
        <v>109</v>
      </c>
      <c r="C467" s="79" t="str">
        <f t="shared" ref="C467:C486" si="41">"Desafio 24"</f>
        <v>Desafio 24</v>
      </c>
      <c r="D467" s="80" t="str">
        <f>'⚙️ Configuração'!C30</f>
        <v>Carla Cantante</v>
      </c>
      <c r="E467" s="50">
        <v>0</v>
      </c>
      <c r="F467" s="50">
        <v>0</v>
      </c>
      <c r="G467" s="50">
        <v>0</v>
      </c>
      <c r="H467" s="50">
        <v>0</v>
      </c>
      <c r="I467" s="50">
        <v>0</v>
      </c>
      <c r="J467" s="89">
        <v>0</v>
      </c>
      <c r="K467" s="81">
        <f>(E467*'⚙️ Configuração'!$C$6+F467*'⚙️ Configuração'!$C$7+G467*'⚙️ Configuração'!$C$8+H467*'⚙️ Configuração'!$C$9+I467*'⚙️ Configuração'!$C$10+J467*'⚙️ Configuração'!$C$11)*IF(N467="S",2,1)</f>
        <v>0</v>
      </c>
      <c r="L467" s="90" t="s">
        <v>167</v>
      </c>
      <c r="M467" s="82">
        <f>IF(L467="AT1",'⚙️ Configuração'!$C$14,IF(L467="AT2",'⚙️ Configuração'!$C$15,IF(L467="FI",'⚙️ Configuração'!$C$16,IF(L467="FJ",'⚙️ Configuração'!$C$17,0))))</f>
        <v>0</v>
      </c>
      <c r="N467" s="91" t="s">
        <v>167</v>
      </c>
      <c r="O467" s="92"/>
      <c r="P467" s="83">
        <f>IF(O467="1",'⚙️ Configuração'!$C$21,IF(O467="2",'⚙️ Configuração'!$C$22,IF(O467="3",'⚙️ Configuração'!$C$23,IF(O467="Outro",'⚙️ Configuração'!$C$24,0))))</f>
        <v>0</v>
      </c>
      <c r="Q467" s="84">
        <f t="shared" si="39"/>
        <v>0</v>
      </c>
      <c r="R467" s="40" t="str">
        <f t="shared" si="22"/>
        <v>Semana 1 — ver 🔄</v>
      </c>
      <c r="S467" t="str" cm="1">
        <f t="array" ref="S467">IF(D467="","",IFERROR(_xlfn.SWITCH(B467,"Semana 1",IFERROR(INDEX('🔄 Rotação Duplas'!$D$8:$D$17,MATCH(D467,'🔄 Rotação Duplas'!$C$8:$C$17,0)),INDEX('🔄 Rotação Duplas'!$C$8:$C$17,MATCH(D467,'🔄 Rotação Duplas'!$D$8:$D$17,0))),"Semana 2",IFERROR(INDEX('🔄 Rotação Duplas'!$D$22:$D$31,MATCH(D467,'🔄 Rotação Duplas'!$C$22:$C$31,0)),INDEX('🔄 Rotação Duplas'!$C$22:$C$31,MATCH(D467,'🔄 Rotação Duplas'!$D$22:$D$31,0))),"Semana 3",IFERROR(INDEX('🔄 Rotação Duplas'!$D$36:$D$45,MATCH(D467,'🔄 Rotação Duplas'!$C$36:$C$45,0)),INDEX('🔄 Rotação Duplas'!$C$36:$C$45,MATCH(D467,'🔄 Rotação Duplas'!$D$36:$D$45,0))),"Semana 4",IFERROR(INDEX('🔄 Rotação Duplas'!$D$50:$D$59,MATCH(D467,'🔄 Rotação Duplas'!$C$50:$C$59,0)),INDEX('🔄 Rotação Duplas'!$C$50:$C$59,MATCH(D467,'🔄 Rotação Duplas'!$D$50:$D$59,0))),"Semana 5",IFERROR(INDEX('🔄 Rotação Duplas'!$D$64:$D$73,MATCH(D467,'🔄 Rotação Duplas'!$C$64:$C$73,0)),INDEX('🔄 Rotação Duplas'!$C$64:$C$73,MATCH(D467,'🔄 Rotação Duplas'!$D$64:$D$73,0))),"Semana 6",IFERROR(INDEX('🔄 Rotação Duplas'!$D$78:$D$87,MATCH(D467,'🔄 Rotação Duplas'!$C$78:$C$87,0)),INDEX('🔄 Rotação Duplas'!$C$78:$C$87,MATCH(D467,'🔄 Rotação Duplas'!$D$78:$D$87,0))),"Semana 7",IFERROR(INDEX('🔄 Rotação Duplas'!$D$92:$D$101,MATCH(D467,'🔄 Rotação Duplas'!$C$92:$C$101,0)),INDEX('🔄 Rotação Duplas'!$C$92:$C$101,MATCH(D467,'🔄 Rotação Duplas'!$D$92:$D$101,0))),"Semana 8",IFERROR(INDEX('🔄 Rotação Duplas'!$D$106:$D$115,MATCH(D467,'🔄 Rotação Duplas'!$C$106:$C$115,0)),INDEX('🔄 Rotação Duplas'!$C$106:$C$115,MATCH(D467,'🔄 Rotação Duplas'!$D$106:$D$115,0)))),""))</f>
        <v/>
      </c>
      <c r="T467">
        <f t="shared" si="40"/>
        <v>0</v>
      </c>
    </row>
    <row r="468" spans="2:20" ht="18" customHeight="1" x14ac:dyDescent="0.2">
      <c r="B468" s="85" t="s">
        <v>109</v>
      </c>
      <c r="C468" s="86" t="str">
        <f t="shared" si="41"/>
        <v>Desafio 24</v>
      </c>
      <c r="D468" s="87" t="str">
        <f>'⚙️ Configuração'!C31</f>
        <v>Elisabete Mendes</v>
      </c>
      <c r="E468" s="50">
        <v>0</v>
      </c>
      <c r="F468" s="50">
        <v>0</v>
      </c>
      <c r="G468" s="50">
        <v>0</v>
      </c>
      <c r="H468" s="50">
        <v>0</v>
      </c>
      <c r="I468" s="50">
        <v>0</v>
      </c>
      <c r="J468" s="89">
        <v>0</v>
      </c>
      <c r="K468" s="81">
        <f>(E468*'⚙️ Configuração'!$C$6+F468*'⚙️ Configuração'!$C$7+G468*'⚙️ Configuração'!$C$8+H468*'⚙️ Configuração'!$C$9+I468*'⚙️ Configuração'!$C$10+J468*'⚙️ Configuração'!$C$11)*IF(N468="S",2,1)</f>
        <v>0</v>
      </c>
      <c r="L468" s="90" t="s">
        <v>167</v>
      </c>
      <c r="M468" s="82">
        <f>IF(L468="AT1",'⚙️ Configuração'!$C$14,IF(L468="AT2",'⚙️ Configuração'!$C$15,IF(L468="FI",'⚙️ Configuração'!$C$16,IF(L468="FJ",'⚙️ Configuração'!$C$17,0))))</f>
        <v>0</v>
      </c>
      <c r="N468" s="91" t="s">
        <v>167</v>
      </c>
      <c r="O468" s="92"/>
      <c r="P468" s="83">
        <f>IF(O468="1",'⚙️ Configuração'!$C$21,IF(O468="2",'⚙️ Configuração'!$C$22,IF(O468="3",'⚙️ Configuração'!$C$23,IF(O468="Outro",'⚙️ Configuração'!$C$24,0))))</f>
        <v>0</v>
      </c>
      <c r="Q468" s="84">
        <f t="shared" si="39"/>
        <v>0</v>
      </c>
      <c r="R468" s="40" t="str">
        <f t="shared" si="22"/>
        <v>Semana 1 — ver 🔄</v>
      </c>
      <c r="S468" t="str" cm="1">
        <f t="array" ref="S468">IF(D468="","",IFERROR(_xlfn.SWITCH(B468,"Semana 1",IFERROR(INDEX('🔄 Rotação Duplas'!$D$8:$D$17,MATCH(D468,'🔄 Rotação Duplas'!$C$8:$C$17,0)),INDEX('🔄 Rotação Duplas'!$C$8:$C$17,MATCH(D468,'🔄 Rotação Duplas'!$D$8:$D$17,0))),"Semana 2",IFERROR(INDEX('🔄 Rotação Duplas'!$D$22:$D$31,MATCH(D468,'🔄 Rotação Duplas'!$C$22:$C$31,0)),INDEX('🔄 Rotação Duplas'!$C$22:$C$31,MATCH(D468,'🔄 Rotação Duplas'!$D$22:$D$31,0))),"Semana 3",IFERROR(INDEX('🔄 Rotação Duplas'!$D$36:$D$45,MATCH(D468,'🔄 Rotação Duplas'!$C$36:$C$45,0)),INDEX('🔄 Rotação Duplas'!$C$36:$C$45,MATCH(D468,'🔄 Rotação Duplas'!$D$36:$D$45,0))),"Semana 4",IFERROR(INDEX('🔄 Rotação Duplas'!$D$50:$D$59,MATCH(D468,'🔄 Rotação Duplas'!$C$50:$C$59,0)),INDEX('🔄 Rotação Duplas'!$C$50:$C$59,MATCH(D468,'🔄 Rotação Duplas'!$D$50:$D$59,0))),"Semana 5",IFERROR(INDEX('🔄 Rotação Duplas'!$D$64:$D$73,MATCH(D468,'🔄 Rotação Duplas'!$C$64:$C$73,0)),INDEX('🔄 Rotação Duplas'!$C$64:$C$73,MATCH(D468,'🔄 Rotação Duplas'!$D$64:$D$73,0))),"Semana 6",IFERROR(INDEX('🔄 Rotação Duplas'!$D$78:$D$87,MATCH(D468,'🔄 Rotação Duplas'!$C$78:$C$87,0)),INDEX('🔄 Rotação Duplas'!$C$78:$C$87,MATCH(D468,'🔄 Rotação Duplas'!$D$78:$D$87,0))),"Semana 7",IFERROR(INDEX('🔄 Rotação Duplas'!$D$92:$D$101,MATCH(D468,'🔄 Rotação Duplas'!$C$92:$C$101,0)),INDEX('🔄 Rotação Duplas'!$C$92:$C$101,MATCH(D468,'🔄 Rotação Duplas'!$D$92:$D$101,0))),"Semana 8",IFERROR(INDEX('🔄 Rotação Duplas'!$D$106:$D$115,MATCH(D468,'🔄 Rotação Duplas'!$C$106:$C$115,0)),INDEX('🔄 Rotação Duplas'!$C$106:$C$115,MATCH(D468,'🔄 Rotação Duplas'!$D$106:$D$115,0)))),""))</f>
        <v/>
      </c>
      <c r="T468">
        <f t="shared" si="40"/>
        <v>0</v>
      </c>
    </row>
    <row r="469" spans="2:20" ht="18" customHeight="1" x14ac:dyDescent="0.2">
      <c r="B469" s="78" t="s">
        <v>109</v>
      </c>
      <c r="C469" s="79" t="str">
        <f t="shared" si="41"/>
        <v>Desafio 24</v>
      </c>
      <c r="D469" s="80" t="str">
        <f>'⚙️ Configuração'!C32</f>
        <v>Filipa Cunha</v>
      </c>
      <c r="E469" s="50">
        <v>0</v>
      </c>
      <c r="F469" s="50">
        <v>0</v>
      </c>
      <c r="G469" s="50">
        <v>0</v>
      </c>
      <c r="H469" s="50">
        <v>0</v>
      </c>
      <c r="I469" s="50">
        <v>0</v>
      </c>
      <c r="J469" s="89">
        <v>0</v>
      </c>
      <c r="K469" s="81">
        <f>(E469*'⚙️ Configuração'!$C$6+F469*'⚙️ Configuração'!$C$7+G469*'⚙️ Configuração'!$C$8+H469*'⚙️ Configuração'!$C$9+I469*'⚙️ Configuração'!$C$10+J469*'⚙️ Configuração'!$C$11)*IF(N469="S",2,1)</f>
        <v>0</v>
      </c>
      <c r="L469" s="90" t="s">
        <v>167</v>
      </c>
      <c r="M469" s="82">
        <f>IF(L469="AT1",'⚙️ Configuração'!$C$14,IF(L469="AT2",'⚙️ Configuração'!$C$15,IF(L469="FI",'⚙️ Configuração'!$C$16,IF(L469="FJ",'⚙️ Configuração'!$C$17,0))))</f>
        <v>0</v>
      </c>
      <c r="N469" s="91" t="s">
        <v>167</v>
      </c>
      <c r="O469" s="92"/>
      <c r="P469" s="83">
        <f>IF(O469="1",'⚙️ Configuração'!$C$21,IF(O469="2",'⚙️ Configuração'!$C$22,IF(O469="3",'⚙️ Configuração'!$C$23,IF(O469="Outro",'⚙️ Configuração'!$C$24,0))))</f>
        <v>0</v>
      </c>
      <c r="Q469" s="84">
        <f t="shared" si="39"/>
        <v>0</v>
      </c>
      <c r="R469" s="40" t="str">
        <f t="shared" si="22"/>
        <v>Semana 1 — ver 🔄</v>
      </c>
      <c r="S469" t="str" cm="1">
        <f t="array" ref="S469">IF(D469="","",IFERROR(_xlfn.SWITCH(B469,"Semana 1",IFERROR(INDEX('🔄 Rotação Duplas'!$D$8:$D$17,MATCH(D469,'🔄 Rotação Duplas'!$C$8:$C$17,0)),INDEX('🔄 Rotação Duplas'!$C$8:$C$17,MATCH(D469,'🔄 Rotação Duplas'!$D$8:$D$17,0))),"Semana 2",IFERROR(INDEX('🔄 Rotação Duplas'!$D$22:$D$31,MATCH(D469,'🔄 Rotação Duplas'!$C$22:$C$31,0)),INDEX('🔄 Rotação Duplas'!$C$22:$C$31,MATCH(D469,'🔄 Rotação Duplas'!$D$22:$D$31,0))),"Semana 3",IFERROR(INDEX('🔄 Rotação Duplas'!$D$36:$D$45,MATCH(D469,'🔄 Rotação Duplas'!$C$36:$C$45,0)),INDEX('🔄 Rotação Duplas'!$C$36:$C$45,MATCH(D469,'🔄 Rotação Duplas'!$D$36:$D$45,0))),"Semana 4",IFERROR(INDEX('🔄 Rotação Duplas'!$D$50:$D$59,MATCH(D469,'🔄 Rotação Duplas'!$C$50:$C$59,0)),INDEX('🔄 Rotação Duplas'!$C$50:$C$59,MATCH(D469,'🔄 Rotação Duplas'!$D$50:$D$59,0))),"Semana 5",IFERROR(INDEX('🔄 Rotação Duplas'!$D$64:$D$73,MATCH(D469,'🔄 Rotação Duplas'!$C$64:$C$73,0)),INDEX('🔄 Rotação Duplas'!$C$64:$C$73,MATCH(D469,'🔄 Rotação Duplas'!$D$64:$D$73,0))),"Semana 6",IFERROR(INDEX('🔄 Rotação Duplas'!$D$78:$D$87,MATCH(D469,'🔄 Rotação Duplas'!$C$78:$C$87,0)),INDEX('🔄 Rotação Duplas'!$C$78:$C$87,MATCH(D469,'🔄 Rotação Duplas'!$D$78:$D$87,0))),"Semana 7",IFERROR(INDEX('🔄 Rotação Duplas'!$D$92:$D$101,MATCH(D469,'🔄 Rotação Duplas'!$C$92:$C$101,0)),INDEX('🔄 Rotação Duplas'!$C$92:$C$101,MATCH(D469,'🔄 Rotação Duplas'!$D$92:$D$101,0))),"Semana 8",IFERROR(INDEX('🔄 Rotação Duplas'!$D$106:$D$115,MATCH(D469,'🔄 Rotação Duplas'!$C$106:$C$115,0)),INDEX('🔄 Rotação Duplas'!$C$106:$C$115,MATCH(D469,'🔄 Rotação Duplas'!$D$106:$D$115,0)))),""))</f>
        <v/>
      </c>
      <c r="T469">
        <f t="shared" si="40"/>
        <v>0</v>
      </c>
    </row>
    <row r="470" spans="2:20" ht="18" customHeight="1" x14ac:dyDescent="0.2">
      <c r="B470" s="85" t="s">
        <v>109</v>
      </c>
      <c r="C470" s="86" t="str">
        <f t="shared" si="41"/>
        <v>Desafio 24</v>
      </c>
      <c r="D470" s="87" t="str">
        <f>'⚙️ Configuração'!C33</f>
        <v>Helena Rocha</v>
      </c>
      <c r="E470" s="50">
        <v>0</v>
      </c>
      <c r="F470" s="50">
        <v>0</v>
      </c>
      <c r="G470" s="50">
        <v>0</v>
      </c>
      <c r="H470" s="50">
        <v>0</v>
      </c>
      <c r="I470" s="50">
        <v>0</v>
      </c>
      <c r="J470" s="89">
        <v>0</v>
      </c>
      <c r="K470" s="81">
        <f>(E470*'⚙️ Configuração'!$C$6+F470*'⚙️ Configuração'!$C$7+G470*'⚙️ Configuração'!$C$8+H470*'⚙️ Configuração'!$C$9+I470*'⚙️ Configuração'!$C$10+J470*'⚙️ Configuração'!$C$11)*IF(N470="S",2,1)</f>
        <v>0</v>
      </c>
      <c r="L470" s="90" t="s">
        <v>167</v>
      </c>
      <c r="M470" s="82">
        <f>IF(L470="AT1",'⚙️ Configuração'!$C$14,IF(L470="AT2",'⚙️ Configuração'!$C$15,IF(L470="FI",'⚙️ Configuração'!$C$16,IF(L470="FJ",'⚙️ Configuração'!$C$17,0))))</f>
        <v>0</v>
      </c>
      <c r="N470" s="91" t="s">
        <v>167</v>
      </c>
      <c r="O470" s="92"/>
      <c r="P470" s="83">
        <f>IF(O470="1",'⚙️ Configuração'!$C$21,IF(O470="2",'⚙️ Configuração'!$C$22,IF(O470="3",'⚙️ Configuração'!$C$23,IF(O470="Outro",'⚙️ Configuração'!$C$24,0))))</f>
        <v>0</v>
      </c>
      <c r="Q470" s="84">
        <f t="shared" si="39"/>
        <v>0</v>
      </c>
      <c r="R470" s="40" t="str">
        <f t="shared" si="22"/>
        <v>Semana 1 — ver 🔄</v>
      </c>
      <c r="S470" t="str" cm="1">
        <f t="array" ref="S470">IF(D470="","",IFERROR(_xlfn.SWITCH(B470,"Semana 1",IFERROR(INDEX('🔄 Rotação Duplas'!$D$8:$D$17,MATCH(D470,'🔄 Rotação Duplas'!$C$8:$C$17,0)),INDEX('🔄 Rotação Duplas'!$C$8:$C$17,MATCH(D470,'🔄 Rotação Duplas'!$D$8:$D$17,0))),"Semana 2",IFERROR(INDEX('🔄 Rotação Duplas'!$D$22:$D$31,MATCH(D470,'🔄 Rotação Duplas'!$C$22:$C$31,0)),INDEX('🔄 Rotação Duplas'!$C$22:$C$31,MATCH(D470,'🔄 Rotação Duplas'!$D$22:$D$31,0))),"Semana 3",IFERROR(INDEX('🔄 Rotação Duplas'!$D$36:$D$45,MATCH(D470,'🔄 Rotação Duplas'!$C$36:$C$45,0)),INDEX('🔄 Rotação Duplas'!$C$36:$C$45,MATCH(D470,'🔄 Rotação Duplas'!$D$36:$D$45,0))),"Semana 4",IFERROR(INDEX('🔄 Rotação Duplas'!$D$50:$D$59,MATCH(D470,'🔄 Rotação Duplas'!$C$50:$C$59,0)),INDEX('🔄 Rotação Duplas'!$C$50:$C$59,MATCH(D470,'🔄 Rotação Duplas'!$D$50:$D$59,0))),"Semana 5",IFERROR(INDEX('🔄 Rotação Duplas'!$D$64:$D$73,MATCH(D470,'🔄 Rotação Duplas'!$C$64:$C$73,0)),INDEX('🔄 Rotação Duplas'!$C$64:$C$73,MATCH(D470,'🔄 Rotação Duplas'!$D$64:$D$73,0))),"Semana 6",IFERROR(INDEX('🔄 Rotação Duplas'!$D$78:$D$87,MATCH(D470,'🔄 Rotação Duplas'!$C$78:$C$87,0)),INDEX('🔄 Rotação Duplas'!$C$78:$C$87,MATCH(D470,'🔄 Rotação Duplas'!$D$78:$D$87,0))),"Semana 7",IFERROR(INDEX('🔄 Rotação Duplas'!$D$92:$D$101,MATCH(D470,'🔄 Rotação Duplas'!$C$92:$C$101,0)),INDEX('🔄 Rotação Duplas'!$C$92:$C$101,MATCH(D470,'🔄 Rotação Duplas'!$D$92:$D$101,0))),"Semana 8",IFERROR(INDEX('🔄 Rotação Duplas'!$D$106:$D$115,MATCH(D470,'🔄 Rotação Duplas'!$C$106:$C$115,0)),INDEX('🔄 Rotação Duplas'!$C$106:$C$115,MATCH(D470,'🔄 Rotação Duplas'!$D$106:$D$115,0)))),""))</f>
        <v/>
      </c>
      <c r="T470">
        <f t="shared" si="40"/>
        <v>0</v>
      </c>
    </row>
    <row r="471" spans="2:20" ht="18" customHeight="1" x14ac:dyDescent="0.2">
      <c r="B471" s="78" t="s">
        <v>109</v>
      </c>
      <c r="C471" s="79" t="str">
        <f t="shared" si="41"/>
        <v>Desafio 24</v>
      </c>
      <c r="D471" s="80" t="str">
        <f>'⚙️ Configuração'!C34</f>
        <v>João Xavier</v>
      </c>
      <c r="E471" s="50">
        <v>0</v>
      </c>
      <c r="F471" s="50">
        <v>0</v>
      </c>
      <c r="G471" s="50">
        <v>0</v>
      </c>
      <c r="H471" s="50">
        <v>0</v>
      </c>
      <c r="I471" s="50">
        <v>0</v>
      </c>
      <c r="J471" s="89">
        <v>0</v>
      </c>
      <c r="K471" s="81">
        <f>(E471*'⚙️ Configuração'!$C$6+F471*'⚙️ Configuração'!$C$7+G471*'⚙️ Configuração'!$C$8+H471*'⚙️ Configuração'!$C$9+I471*'⚙️ Configuração'!$C$10+J471*'⚙️ Configuração'!$C$11)*IF(N471="S",2,1)</f>
        <v>0</v>
      </c>
      <c r="L471" s="90" t="s">
        <v>167</v>
      </c>
      <c r="M471" s="82">
        <f>IF(L471="AT1",'⚙️ Configuração'!$C$14,IF(L471="AT2",'⚙️ Configuração'!$C$15,IF(L471="FI",'⚙️ Configuração'!$C$16,IF(L471="FJ",'⚙️ Configuração'!$C$17,0))))</f>
        <v>0</v>
      </c>
      <c r="N471" s="91" t="s">
        <v>167</v>
      </c>
      <c r="O471" s="92"/>
      <c r="P471" s="83">
        <f>IF(O471="1",'⚙️ Configuração'!$C$21,IF(O471="2",'⚙️ Configuração'!$C$22,IF(O471="3",'⚙️ Configuração'!$C$23,IF(O471="Outro",'⚙️ Configuração'!$C$24,0))))</f>
        <v>0</v>
      </c>
      <c r="Q471" s="84">
        <f t="shared" si="39"/>
        <v>0</v>
      </c>
      <c r="R471" s="40" t="str">
        <f t="shared" si="22"/>
        <v>Semana 1 — ver 🔄</v>
      </c>
      <c r="S471" t="str" cm="1">
        <f t="array" ref="S471">IF(D471="","",IFERROR(_xlfn.SWITCH(B471,"Semana 1",IFERROR(INDEX('🔄 Rotação Duplas'!$D$8:$D$17,MATCH(D471,'🔄 Rotação Duplas'!$C$8:$C$17,0)),INDEX('🔄 Rotação Duplas'!$C$8:$C$17,MATCH(D471,'🔄 Rotação Duplas'!$D$8:$D$17,0))),"Semana 2",IFERROR(INDEX('🔄 Rotação Duplas'!$D$22:$D$31,MATCH(D471,'🔄 Rotação Duplas'!$C$22:$C$31,0)),INDEX('🔄 Rotação Duplas'!$C$22:$C$31,MATCH(D471,'🔄 Rotação Duplas'!$D$22:$D$31,0))),"Semana 3",IFERROR(INDEX('🔄 Rotação Duplas'!$D$36:$D$45,MATCH(D471,'🔄 Rotação Duplas'!$C$36:$C$45,0)),INDEX('🔄 Rotação Duplas'!$C$36:$C$45,MATCH(D471,'🔄 Rotação Duplas'!$D$36:$D$45,0))),"Semana 4",IFERROR(INDEX('🔄 Rotação Duplas'!$D$50:$D$59,MATCH(D471,'🔄 Rotação Duplas'!$C$50:$C$59,0)),INDEX('🔄 Rotação Duplas'!$C$50:$C$59,MATCH(D471,'🔄 Rotação Duplas'!$D$50:$D$59,0))),"Semana 5",IFERROR(INDEX('🔄 Rotação Duplas'!$D$64:$D$73,MATCH(D471,'🔄 Rotação Duplas'!$C$64:$C$73,0)),INDEX('🔄 Rotação Duplas'!$C$64:$C$73,MATCH(D471,'🔄 Rotação Duplas'!$D$64:$D$73,0))),"Semana 6",IFERROR(INDEX('🔄 Rotação Duplas'!$D$78:$D$87,MATCH(D471,'🔄 Rotação Duplas'!$C$78:$C$87,0)),INDEX('🔄 Rotação Duplas'!$C$78:$C$87,MATCH(D471,'🔄 Rotação Duplas'!$D$78:$D$87,0))),"Semana 7",IFERROR(INDEX('🔄 Rotação Duplas'!$D$92:$D$101,MATCH(D471,'🔄 Rotação Duplas'!$C$92:$C$101,0)),INDEX('🔄 Rotação Duplas'!$C$92:$C$101,MATCH(D471,'🔄 Rotação Duplas'!$D$92:$D$101,0))),"Semana 8",IFERROR(INDEX('🔄 Rotação Duplas'!$D$106:$D$115,MATCH(D471,'🔄 Rotação Duplas'!$C$106:$C$115,0)),INDEX('🔄 Rotação Duplas'!$C$106:$C$115,MATCH(D471,'🔄 Rotação Duplas'!$D$106:$D$115,0)))),""))</f>
        <v/>
      </c>
      <c r="T471">
        <f t="shared" si="40"/>
        <v>0</v>
      </c>
    </row>
    <row r="472" spans="2:20" ht="18" customHeight="1" x14ac:dyDescent="0.2">
      <c r="B472" s="85" t="s">
        <v>109</v>
      </c>
      <c r="C472" s="86" t="str">
        <f t="shared" si="41"/>
        <v>Desafio 24</v>
      </c>
      <c r="D472" s="87" t="str">
        <f>'⚙️ Configuração'!C35</f>
        <v>Tomás Carlos</v>
      </c>
      <c r="E472" s="50">
        <v>0</v>
      </c>
      <c r="F472" s="50">
        <v>0</v>
      </c>
      <c r="G472" s="50">
        <v>0</v>
      </c>
      <c r="H472" s="50">
        <v>0</v>
      </c>
      <c r="I472" s="50">
        <v>0</v>
      </c>
      <c r="J472" s="89">
        <v>0</v>
      </c>
      <c r="K472" s="81">
        <f>(E472*'⚙️ Configuração'!$C$6+F472*'⚙️ Configuração'!$C$7+G472*'⚙️ Configuração'!$C$8+H472*'⚙️ Configuração'!$C$9+I472*'⚙️ Configuração'!$C$10+J472*'⚙️ Configuração'!$C$11)*IF(N472="S",2,1)</f>
        <v>0</v>
      </c>
      <c r="L472" s="90" t="s">
        <v>167</v>
      </c>
      <c r="M472" s="82">
        <f>IF(L472="AT1",'⚙️ Configuração'!$C$14,IF(L472="AT2",'⚙️ Configuração'!$C$15,IF(L472="FI",'⚙️ Configuração'!$C$16,IF(L472="FJ",'⚙️ Configuração'!$C$17,0))))</f>
        <v>0</v>
      </c>
      <c r="N472" s="91" t="s">
        <v>167</v>
      </c>
      <c r="O472" s="92"/>
      <c r="P472" s="83">
        <f>IF(O472="1",'⚙️ Configuração'!$C$21,IF(O472="2",'⚙️ Configuração'!$C$22,IF(O472="3",'⚙️ Configuração'!$C$23,IF(O472="Outro",'⚙️ Configuração'!$C$24,0))))</f>
        <v>0</v>
      </c>
      <c r="Q472" s="84">
        <f t="shared" si="39"/>
        <v>0</v>
      </c>
      <c r="R472" s="40" t="str">
        <f t="shared" si="22"/>
        <v>Semana 1 — ver 🔄</v>
      </c>
      <c r="S472" t="str" cm="1">
        <f t="array" ref="S472">IF(D472="","",IFERROR(_xlfn.SWITCH(B472,"Semana 1",IFERROR(INDEX('🔄 Rotação Duplas'!$D$8:$D$17,MATCH(D472,'🔄 Rotação Duplas'!$C$8:$C$17,0)),INDEX('🔄 Rotação Duplas'!$C$8:$C$17,MATCH(D472,'🔄 Rotação Duplas'!$D$8:$D$17,0))),"Semana 2",IFERROR(INDEX('🔄 Rotação Duplas'!$D$22:$D$31,MATCH(D472,'🔄 Rotação Duplas'!$C$22:$C$31,0)),INDEX('🔄 Rotação Duplas'!$C$22:$C$31,MATCH(D472,'🔄 Rotação Duplas'!$D$22:$D$31,0))),"Semana 3",IFERROR(INDEX('🔄 Rotação Duplas'!$D$36:$D$45,MATCH(D472,'🔄 Rotação Duplas'!$C$36:$C$45,0)),INDEX('🔄 Rotação Duplas'!$C$36:$C$45,MATCH(D472,'🔄 Rotação Duplas'!$D$36:$D$45,0))),"Semana 4",IFERROR(INDEX('🔄 Rotação Duplas'!$D$50:$D$59,MATCH(D472,'🔄 Rotação Duplas'!$C$50:$C$59,0)),INDEX('🔄 Rotação Duplas'!$C$50:$C$59,MATCH(D472,'🔄 Rotação Duplas'!$D$50:$D$59,0))),"Semana 5",IFERROR(INDEX('🔄 Rotação Duplas'!$D$64:$D$73,MATCH(D472,'🔄 Rotação Duplas'!$C$64:$C$73,0)),INDEX('🔄 Rotação Duplas'!$C$64:$C$73,MATCH(D472,'🔄 Rotação Duplas'!$D$64:$D$73,0))),"Semana 6",IFERROR(INDEX('🔄 Rotação Duplas'!$D$78:$D$87,MATCH(D472,'🔄 Rotação Duplas'!$C$78:$C$87,0)),INDEX('🔄 Rotação Duplas'!$C$78:$C$87,MATCH(D472,'🔄 Rotação Duplas'!$D$78:$D$87,0))),"Semana 7",IFERROR(INDEX('🔄 Rotação Duplas'!$D$92:$D$101,MATCH(D472,'🔄 Rotação Duplas'!$C$92:$C$101,0)),INDEX('🔄 Rotação Duplas'!$C$92:$C$101,MATCH(D472,'🔄 Rotação Duplas'!$D$92:$D$101,0))),"Semana 8",IFERROR(INDEX('🔄 Rotação Duplas'!$D$106:$D$115,MATCH(D472,'🔄 Rotação Duplas'!$C$106:$C$115,0)),INDEX('🔄 Rotação Duplas'!$C$106:$C$115,MATCH(D472,'🔄 Rotação Duplas'!$D$106:$D$115,0)))),""))</f>
        <v/>
      </c>
      <c r="T472">
        <f t="shared" si="40"/>
        <v>0</v>
      </c>
    </row>
    <row r="473" spans="2:20" ht="18" customHeight="1" x14ac:dyDescent="0.2">
      <c r="B473" s="78" t="s">
        <v>109</v>
      </c>
      <c r="C473" s="79" t="str">
        <f t="shared" si="41"/>
        <v>Desafio 24</v>
      </c>
      <c r="D473" s="80" t="str">
        <f>'⚙️ Configuração'!C36</f>
        <v>Alexandra Correia</v>
      </c>
      <c r="E473" s="50">
        <v>0</v>
      </c>
      <c r="F473" s="50">
        <v>0</v>
      </c>
      <c r="G473" s="50">
        <v>0</v>
      </c>
      <c r="H473" s="50">
        <v>0</v>
      </c>
      <c r="I473" s="50">
        <v>0</v>
      </c>
      <c r="J473" s="89">
        <v>0</v>
      </c>
      <c r="K473" s="81">
        <f>(E473*'⚙️ Configuração'!$C$6+F473*'⚙️ Configuração'!$C$7+G473*'⚙️ Configuração'!$C$8+H473*'⚙️ Configuração'!$C$9+I473*'⚙️ Configuração'!$C$10+J473*'⚙️ Configuração'!$C$11)*IF(N473="S",2,1)</f>
        <v>0</v>
      </c>
      <c r="L473" s="90" t="s">
        <v>167</v>
      </c>
      <c r="M473" s="82">
        <f>IF(L473="AT1",'⚙️ Configuração'!$C$14,IF(L473="AT2",'⚙️ Configuração'!$C$15,IF(L473="FI",'⚙️ Configuração'!$C$16,IF(L473="FJ",'⚙️ Configuração'!$C$17,0))))</f>
        <v>0</v>
      </c>
      <c r="N473" s="91" t="s">
        <v>167</v>
      </c>
      <c r="O473" s="92"/>
      <c r="P473" s="83">
        <f>IF(O473="1",'⚙️ Configuração'!$C$21,IF(O473="2",'⚙️ Configuração'!$C$22,IF(O473="3",'⚙️ Configuração'!$C$23,IF(O473="Outro",'⚙️ Configuração'!$C$24,0))))</f>
        <v>0</v>
      </c>
      <c r="Q473" s="84">
        <f t="shared" si="39"/>
        <v>0</v>
      </c>
      <c r="R473" s="40" t="str">
        <f t="shared" si="22"/>
        <v>Semana 1 — ver 🔄</v>
      </c>
      <c r="S473" t="str" cm="1">
        <f t="array" ref="S473">IF(D473="","",IFERROR(_xlfn.SWITCH(B473,"Semana 1",IFERROR(INDEX('🔄 Rotação Duplas'!$D$8:$D$17,MATCH(D473,'🔄 Rotação Duplas'!$C$8:$C$17,0)),INDEX('🔄 Rotação Duplas'!$C$8:$C$17,MATCH(D473,'🔄 Rotação Duplas'!$D$8:$D$17,0))),"Semana 2",IFERROR(INDEX('🔄 Rotação Duplas'!$D$22:$D$31,MATCH(D473,'🔄 Rotação Duplas'!$C$22:$C$31,0)),INDEX('🔄 Rotação Duplas'!$C$22:$C$31,MATCH(D473,'🔄 Rotação Duplas'!$D$22:$D$31,0))),"Semana 3",IFERROR(INDEX('🔄 Rotação Duplas'!$D$36:$D$45,MATCH(D473,'🔄 Rotação Duplas'!$C$36:$C$45,0)),INDEX('🔄 Rotação Duplas'!$C$36:$C$45,MATCH(D473,'🔄 Rotação Duplas'!$D$36:$D$45,0))),"Semana 4",IFERROR(INDEX('🔄 Rotação Duplas'!$D$50:$D$59,MATCH(D473,'🔄 Rotação Duplas'!$C$50:$C$59,0)),INDEX('🔄 Rotação Duplas'!$C$50:$C$59,MATCH(D473,'🔄 Rotação Duplas'!$D$50:$D$59,0))),"Semana 5",IFERROR(INDEX('🔄 Rotação Duplas'!$D$64:$D$73,MATCH(D473,'🔄 Rotação Duplas'!$C$64:$C$73,0)),INDEX('🔄 Rotação Duplas'!$C$64:$C$73,MATCH(D473,'🔄 Rotação Duplas'!$D$64:$D$73,0))),"Semana 6",IFERROR(INDEX('🔄 Rotação Duplas'!$D$78:$D$87,MATCH(D473,'🔄 Rotação Duplas'!$C$78:$C$87,0)),INDEX('🔄 Rotação Duplas'!$C$78:$C$87,MATCH(D473,'🔄 Rotação Duplas'!$D$78:$D$87,0))),"Semana 7",IFERROR(INDEX('🔄 Rotação Duplas'!$D$92:$D$101,MATCH(D473,'🔄 Rotação Duplas'!$C$92:$C$101,0)),INDEX('🔄 Rotação Duplas'!$C$92:$C$101,MATCH(D473,'🔄 Rotação Duplas'!$D$92:$D$101,0))),"Semana 8",IFERROR(INDEX('🔄 Rotação Duplas'!$D$106:$D$115,MATCH(D473,'🔄 Rotação Duplas'!$C$106:$C$115,0)),INDEX('🔄 Rotação Duplas'!$C$106:$C$115,MATCH(D473,'🔄 Rotação Duplas'!$D$106:$D$115,0)))),""))</f>
        <v/>
      </c>
      <c r="T473">
        <f t="shared" si="40"/>
        <v>0</v>
      </c>
    </row>
    <row r="474" spans="2:20" ht="18" customHeight="1" x14ac:dyDescent="0.2">
      <c r="B474" s="85" t="s">
        <v>109</v>
      </c>
      <c r="C474" s="86" t="str">
        <f t="shared" si="41"/>
        <v>Desafio 24</v>
      </c>
      <c r="D474" s="87" t="str">
        <f>'⚙️ Configuração'!C37</f>
        <v>Carla Barata</v>
      </c>
      <c r="E474" s="50">
        <v>0</v>
      </c>
      <c r="F474" s="50">
        <v>0</v>
      </c>
      <c r="G474" s="50">
        <v>0</v>
      </c>
      <c r="H474" s="50">
        <v>0</v>
      </c>
      <c r="I474" s="50">
        <v>0</v>
      </c>
      <c r="J474" s="89">
        <v>0</v>
      </c>
      <c r="K474" s="81">
        <f>(E474*'⚙️ Configuração'!$C$6+F474*'⚙️ Configuração'!$C$7+G474*'⚙️ Configuração'!$C$8+H474*'⚙️ Configuração'!$C$9+I474*'⚙️ Configuração'!$C$10+J474*'⚙️ Configuração'!$C$11)*IF(N474="S",2,1)</f>
        <v>0</v>
      </c>
      <c r="L474" s="90" t="s">
        <v>167</v>
      </c>
      <c r="M474" s="82">
        <f>IF(L474="AT1",'⚙️ Configuração'!$C$14,IF(L474="AT2",'⚙️ Configuração'!$C$15,IF(L474="FI",'⚙️ Configuração'!$C$16,IF(L474="FJ",'⚙️ Configuração'!$C$17,0))))</f>
        <v>0</v>
      </c>
      <c r="N474" s="91" t="s">
        <v>167</v>
      </c>
      <c r="O474" s="92"/>
      <c r="P474" s="83">
        <f>IF(O474="1",'⚙️ Configuração'!$C$21,IF(O474="2",'⚙️ Configuração'!$C$22,IF(O474="3",'⚙️ Configuração'!$C$23,IF(O474="Outro",'⚙️ Configuração'!$C$24,0))))</f>
        <v>0</v>
      </c>
      <c r="Q474" s="84">
        <f t="shared" si="39"/>
        <v>0</v>
      </c>
      <c r="R474" s="40" t="str">
        <f t="shared" si="22"/>
        <v>Semana 1 — ver 🔄</v>
      </c>
      <c r="S474" t="str" cm="1">
        <f t="array" ref="S474">IF(D474="","",IFERROR(_xlfn.SWITCH(B474,"Semana 1",IFERROR(INDEX('🔄 Rotação Duplas'!$D$8:$D$17,MATCH(D474,'🔄 Rotação Duplas'!$C$8:$C$17,0)),INDEX('🔄 Rotação Duplas'!$C$8:$C$17,MATCH(D474,'🔄 Rotação Duplas'!$D$8:$D$17,0))),"Semana 2",IFERROR(INDEX('🔄 Rotação Duplas'!$D$22:$D$31,MATCH(D474,'🔄 Rotação Duplas'!$C$22:$C$31,0)),INDEX('🔄 Rotação Duplas'!$C$22:$C$31,MATCH(D474,'🔄 Rotação Duplas'!$D$22:$D$31,0))),"Semana 3",IFERROR(INDEX('🔄 Rotação Duplas'!$D$36:$D$45,MATCH(D474,'🔄 Rotação Duplas'!$C$36:$C$45,0)),INDEX('🔄 Rotação Duplas'!$C$36:$C$45,MATCH(D474,'🔄 Rotação Duplas'!$D$36:$D$45,0))),"Semana 4",IFERROR(INDEX('🔄 Rotação Duplas'!$D$50:$D$59,MATCH(D474,'🔄 Rotação Duplas'!$C$50:$C$59,0)),INDEX('🔄 Rotação Duplas'!$C$50:$C$59,MATCH(D474,'🔄 Rotação Duplas'!$D$50:$D$59,0))),"Semana 5",IFERROR(INDEX('🔄 Rotação Duplas'!$D$64:$D$73,MATCH(D474,'🔄 Rotação Duplas'!$C$64:$C$73,0)),INDEX('🔄 Rotação Duplas'!$C$64:$C$73,MATCH(D474,'🔄 Rotação Duplas'!$D$64:$D$73,0))),"Semana 6",IFERROR(INDEX('🔄 Rotação Duplas'!$D$78:$D$87,MATCH(D474,'🔄 Rotação Duplas'!$C$78:$C$87,0)),INDEX('🔄 Rotação Duplas'!$C$78:$C$87,MATCH(D474,'🔄 Rotação Duplas'!$D$78:$D$87,0))),"Semana 7",IFERROR(INDEX('🔄 Rotação Duplas'!$D$92:$D$101,MATCH(D474,'🔄 Rotação Duplas'!$C$92:$C$101,0)),INDEX('🔄 Rotação Duplas'!$C$92:$C$101,MATCH(D474,'🔄 Rotação Duplas'!$D$92:$D$101,0))),"Semana 8",IFERROR(INDEX('🔄 Rotação Duplas'!$D$106:$D$115,MATCH(D474,'🔄 Rotação Duplas'!$C$106:$C$115,0)),INDEX('🔄 Rotação Duplas'!$C$106:$C$115,MATCH(D474,'🔄 Rotação Duplas'!$D$106:$D$115,0)))),""))</f>
        <v/>
      </c>
      <c r="T474">
        <f t="shared" si="40"/>
        <v>0</v>
      </c>
    </row>
    <row r="475" spans="2:20" ht="18" customHeight="1" x14ac:dyDescent="0.2">
      <c r="B475" s="78" t="s">
        <v>109</v>
      </c>
      <c r="C475" s="79" t="str">
        <f t="shared" si="41"/>
        <v>Desafio 24</v>
      </c>
      <c r="D475" s="80" t="str">
        <f>'⚙️ Configuração'!C38</f>
        <v>Denise Filipe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89">
        <v>0</v>
      </c>
      <c r="K475" s="81">
        <f>(E475*'⚙️ Configuração'!$C$6+F475*'⚙️ Configuração'!$C$7+G475*'⚙️ Configuração'!$C$8+H475*'⚙️ Configuração'!$C$9+I475*'⚙️ Configuração'!$C$10+J475*'⚙️ Configuração'!$C$11)*IF(N475="S",2,1)</f>
        <v>0</v>
      </c>
      <c r="L475" s="90" t="s">
        <v>167</v>
      </c>
      <c r="M475" s="82">
        <f>IF(L475="AT1",'⚙️ Configuração'!$C$14,IF(L475="AT2",'⚙️ Configuração'!$C$15,IF(L475="FI",'⚙️ Configuração'!$C$16,IF(L475="FJ",'⚙️ Configuração'!$C$17,0))))</f>
        <v>0</v>
      </c>
      <c r="N475" s="91" t="s">
        <v>167</v>
      </c>
      <c r="O475" s="92"/>
      <c r="P475" s="83">
        <f>IF(O475="1",'⚙️ Configuração'!$C$21,IF(O475="2",'⚙️ Configuração'!$C$22,IF(O475="3",'⚙️ Configuração'!$C$23,IF(O475="Outro",'⚙️ Configuração'!$C$24,0))))</f>
        <v>0</v>
      </c>
      <c r="Q475" s="84">
        <f t="shared" si="39"/>
        <v>0</v>
      </c>
      <c r="R475" s="40" t="str">
        <f t="shared" si="22"/>
        <v>Semana 1 — ver 🔄</v>
      </c>
      <c r="S475" t="str" cm="1">
        <f t="array" ref="S475">IF(D475="","",IFERROR(_xlfn.SWITCH(B475,"Semana 1",IFERROR(INDEX('🔄 Rotação Duplas'!$D$8:$D$17,MATCH(D475,'🔄 Rotação Duplas'!$C$8:$C$17,0)),INDEX('🔄 Rotação Duplas'!$C$8:$C$17,MATCH(D475,'🔄 Rotação Duplas'!$D$8:$D$17,0))),"Semana 2",IFERROR(INDEX('🔄 Rotação Duplas'!$D$22:$D$31,MATCH(D475,'🔄 Rotação Duplas'!$C$22:$C$31,0)),INDEX('🔄 Rotação Duplas'!$C$22:$C$31,MATCH(D475,'🔄 Rotação Duplas'!$D$22:$D$31,0))),"Semana 3",IFERROR(INDEX('🔄 Rotação Duplas'!$D$36:$D$45,MATCH(D475,'🔄 Rotação Duplas'!$C$36:$C$45,0)),INDEX('🔄 Rotação Duplas'!$C$36:$C$45,MATCH(D475,'🔄 Rotação Duplas'!$D$36:$D$45,0))),"Semana 4",IFERROR(INDEX('🔄 Rotação Duplas'!$D$50:$D$59,MATCH(D475,'🔄 Rotação Duplas'!$C$50:$C$59,0)),INDEX('🔄 Rotação Duplas'!$C$50:$C$59,MATCH(D475,'🔄 Rotação Duplas'!$D$50:$D$59,0))),"Semana 5",IFERROR(INDEX('🔄 Rotação Duplas'!$D$64:$D$73,MATCH(D475,'🔄 Rotação Duplas'!$C$64:$C$73,0)),INDEX('🔄 Rotação Duplas'!$C$64:$C$73,MATCH(D475,'🔄 Rotação Duplas'!$D$64:$D$73,0))),"Semana 6",IFERROR(INDEX('🔄 Rotação Duplas'!$D$78:$D$87,MATCH(D475,'🔄 Rotação Duplas'!$C$78:$C$87,0)),INDEX('🔄 Rotação Duplas'!$C$78:$C$87,MATCH(D475,'🔄 Rotação Duplas'!$D$78:$D$87,0))),"Semana 7",IFERROR(INDEX('🔄 Rotação Duplas'!$D$92:$D$101,MATCH(D475,'🔄 Rotação Duplas'!$C$92:$C$101,0)),INDEX('🔄 Rotação Duplas'!$C$92:$C$101,MATCH(D475,'🔄 Rotação Duplas'!$D$92:$D$101,0))),"Semana 8",IFERROR(INDEX('🔄 Rotação Duplas'!$D$106:$D$115,MATCH(D475,'🔄 Rotação Duplas'!$C$106:$C$115,0)),INDEX('🔄 Rotação Duplas'!$C$106:$C$115,MATCH(D475,'🔄 Rotação Duplas'!$D$106:$D$115,0)))),""))</f>
        <v/>
      </c>
      <c r="T475">
        <f t="shared" si="40"/>
        <v>0</v>
      </c>
    </row>
    <row r="476" spans="2:20" ht="18" customHeight="1" x14ac:dyDescent="0.2">
      <c r="B476" s="85" t="s">
        <v>109</v>
      </c>
      <c r="C476" s="86" t="str">
        <f t="shared" si="41"/>
        <v>Desafio 24</v>
      </c>
      <c r="D476" s="87" t="str">
        <f>'⚙️ Configuração'!C39</f>
        <v>Fátima Rodriguez</v>
      </c>
      <c r="E476" s="50">
        <v>0</v>
      </c>
      <c r="F476" s="50">
        <v>0</v>
      </c>
      <c r="G476" s="50">
        <v>0</v>
      </c>
      <c r="H476" s="50">
        <v>0</v>
      </c>
      <c r="I476" s="50">
        <v>0</v>
      </c>
      <c r="J476" s="89">
        <v>0</v>
      </c>
      <c r="K476" s="81">
        <f>(E476*'⚙️ Configuração'!$C$6+F476*'⚙️ Configuração'!$C$7+G476*'⚙️ Configuração'!$C$8+H476*'⚙️ Configuração'!$C$9+I476*'⚙️ Configuração'!$C$10+J476*'⚙️ Configuração'!$C$11)*IF(N476="S",2,1)</f>
        <v>0</v>
      </c>
      <c r="L476" s="90" t="s">
        <v>167</v>
      </c>
      <c r="M476" s="82">
        <f>IF(L476="AT1",'⚙️ Configuração'!$C$14,IF(L476="AT2",'⚙️ Configuração'!$C$15,IF(L476="FI",'⚙️ Configuração'!$C$16,IF(L476="FJ",'⚙️ Configuração'!$C$17,0))))</f>
        <v>0</v>
      </c>
      <c r="N476" s="91" t="s">
        <v>167</v>
      </c>
      <c r="O476" s="92"/>
      <c r="P476" s="83">
        <f>IF(O476="1",'⚙️ Configuração'!$C$21,IF(O476="2",'⚙️ Configuração'!$C$22,IF(O476="3",'⚙️ Configuração'!$C$23,IF(O476="Outro",'⚙️ Configuração'!$C$24,0))))</f>
        <v>0</v>
      </c>
      <c r="Q476" s="84">
        <f t="shared" si="39"/>
        <v>0</v>
      </c>
      <c r="R476" s="40" t="str">
        <f t="shared" si="22"/>
        <v>Semana 1 — ver 🔄</v>
      </c>
      <c r="S476" t="str" cm="1">
        <f t="array" ref="S476">IF(D476="","",IFERROR(_xlfn.SWITCH(B476,"Semana 1",IFERROR(INDEX('🔄 Rotação Duplas'!$D$8:$D$17,MATCH(D476,'🔄 Rotação Duplas'!$C$8:$C$17,0)),INDEX('🔄 Rotação Duplas'!$C$8:$C$17,MATCH(D476,'🔄 Rotação Duplas'!$D$8:$D$17,0))),"Semana 2",IFERROR(INDEX('🔄 Rotação Duplas'!$D$22:$D$31,MATCH(D476,'🔄 Rotação Duplas'!$C$22:$C$31,0)),INDEX('🔄 Rotação Duplas'!$C$22:$C$31,MATCH(D476,'🔄 Rotação Duplas'!$D$22:$D$31,0))),"Semana 3",IFERROR(INDEX('🔄 Rotação Duplas'!$D$36:$D$45,MATCH(D476,'🔄 Rotação Duplas'!$C$36:$C$45,0)),INDEX('🔄 Rotação Duplas'!$C$36:$C$45,MATCH(D476,'🔄 Rotação Duplas'!$D$36:$D$45,0))),"Semana 4",IFERROR(INDEX('🔄 Rotação Duplas'!$D$50:$D$59,MATCH(D476,'🔄 Rotação Duplas'!$C$50:$C$59,0)),INDEX('🔄 Rotação Duplas'!$C$50:$C$59,MATCH(D476,'🔄 Rotação Duplas'!$D$50:$D$59,0))),"Semana 5",IFERROR(INDEX('🔄 Rotação Duplas'!$D$64:$D$73,MATCH(D476,'🔄 Rotação Duplas'!$C$64:$C$73,0)),INDEX('🔄 Rotação Duplas'!$C$64:$C$73,MATCH(D476,'🔄 Rotação Duplas'!$D$64:$D$73,0))),"Semana 6",IFERROR(INDEX('🔄 Rotação Duplas'!$D$78:$D$87,MATCH(D476,'🔄 Rotação Duplas'!$C$78:$C$87,0)),INDEX('🔄 Rotação Duplas'!$C$78:$C$87,MATCH(D476,'🔄 Rotação Duplas'!$D$78:$D$87,0))),"Semana 7",IFERROR(INDEX('🔄 Rotação Duplas'!$D$92:$D$101,MATCH(D476,'🔄 Rotação Duplas'!$C$92:$C$101,0)),INDEX('🔄 Rotação Duplas'!$C$92:$C$101,MATCH(D476,'🔄 Rotação Duplas'!$D$92:$D$101,0))),"Semana 8",IFERROR(INDEX('🔄 Rotação Duplas'!$D$106:$D$115,MATCH(D476,'🔄 Rotação Duplas'!$C$106:$C$115,0)),INDEX('🔄 Rotação Duplas'!$C$106:$C$115,MATCH(D476,'🔄 Rotação Duplas'!$D$106:$D$115,0)))),""))</f>
        <v/>
      </c>
      <c r="T476">
        <f t="shared" si="40"/>
        <v>0</v>
      </c>
    </row>
    <row r="477" spans="2:20" ht="18" customHeight="1" x14ac:dyDescent="0.2">
      <c r="B477" s="78" t="s">
        <v>109</v>
      </c>
      <c r="C477" s="79" t="str">
        <f t="shared" si="41"/>
        <v>Desafio 24</v>
      </c>
      <c r="D477" s="80" t="str">
        <f>'⚙️ Configuração'!C40</f>
        <v>Maria João Travassos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89">
        <v>0</v>
      </c>
      <c r="K477" s="81">
        <f>(E477*'⚙️ Configuração'!$C$6+F477*'⚙️ Configuração'!$C$7+G477*'⚙️ Configuração'!$C$8+H477*'⚙️ Configuração'!$C$9+I477*'⚙️ Configuração'!$C$10+J477*'⚙️ Configuração'!$C$11)*IF(N477="S",2,1)</f>
        <v>0</v>
      </c>
      <c r="L477" s="90" t="s">
        <v>167</v>
      </c>
      <c r="M477" s="82">
        <f>IF(L477="AT1",'⚙️ Configuração'!$C$14,IF(L477="AT2",'⚙️ Configuração'!$C$15,IF(L477="FI",'⚙️ Configuração'!$C$16,IF(L477="FJ",'⚙️ Configuração'!$C$17,0))))</f>
        <v>0</v>
      </c>
      <c r="N477" s="91" t="s">
        <v>167</v>
      </c>
      <c r="O477" s="92"/>
      <c r="P477" s="83">
        <f>IF(O477="1",'⚙️ Configuração'!$C$21,IF(O477="2",'⚙️ Configuração'!$C$22,IF(O477="3",'⚙️ Configuração'!$C$23,IF(O477="Outro",'⚙️ Configuração'!$C$24,0))))</f>
        <v>0</v>
      </c>
      <c r="Q477" s="84">
        <f t="shared" si="39"/>
        <v>0</v>
      </c>
      <c r="R477" s="40" t="str">
        <f t="shared" si="22"/>
        <v>Semana 1 — ver 🔄</v>
      </c>
      <c r="S477" t="str" cm="1">
        <f t="array" ref="S477">IF(D477="","",IFERROR(_xlfn.SWITCH(B477,"Semana 1",IFERROR(INDEX('🔄 Rotação Duplas'!$D$8:$D$17,MATCH(D477,'🔄 Rotação Duplas'!$C$8:$C$17,0)),INDEX('🔄 Rotação Duplas'!$C$8:$C$17,MATCH(D477,'🔄 Rotação Duplas'!$D$8:$D$17,0))),"Semana 2",IFERROR(INDEX('🔄 Rotação Duplas'!$D$22:$D$31,MATCH(D477,'🔄 Rotação Duplas'!$C$22:$C$31,0)),INDEX('🔄 Rotação Duplas'!$C$22:$C$31,MATCH(D477,'🔄 Rotação Duplas'!$D$22:$D$31,0))),"Semana 3",IFERROR(INDEX('🔄 Rotação Duplas'!$D$36:$D$45,MATCH(D477,'🔄 Rotação Duplas'!$C$36:$C$45,0)),INDEX('🔄 Rotação Duplas'!$C$36:$C$45,MATCH(D477,'🔄 Rotação Duplas'!$D$36:$D$45,0))),"Semana 4",IFERROR(INDEX('🔄 Rotação Duplas'!$D$50:$D$59,MATCH(D477,'🔄 Rotação Duplas'!$C$50:$C$59,0)),INDEX('🔄 Rotação Duplas'!$C$50:$C$59,MATCH(D477,'🔄 Rotação Duplas'!$D$50:$D$59,0))),"Semana 5",IFERROR(INDEX('🔄 Rotação Duplas'!$D$64:$D$73,MATCH(D477,'🔄 Rotação Duplas'!$C$64:$C$73,0)),INDEX('🔄 Rotação Duplas'!$C$64:$C$73,MATCH(D477,'🔄 Rotação Duplas'!$D$64:$D$73,0))),"Semana 6",IFERROR(INDEX('🔄 Rotação Duplas'!$D$78:$D$87,MATCH(D477,'🔄 Rotação Duplas'!$C$78:$C$87,0)),INDEX('🔄 Rotação Duplas'!$C$78:$C$87,MATCH(D477,'🔄 Rotação Duplas'!$D$78:$D$87,0))),"Semana 7",IFERROR(INDEX('🔄 Rotação Duplas'!$D$92:$D$101,MATCH(D477,'🔄 Rotação Duplas'!$C$92:$C$101,0)),INDEX('🔄 Rotação Duplas'!$C$92:$C$101,MATCH(D477,'🔄 Rotação Duplas'!$D$92:$D$101,0))),"Semana 8",IFERROR(INDEX('🔄 Rotação Duplas'!$D$106:$D$115,MATCH(D477,'🔄 Rotação Duplas'!$C$106:$C$115,0)),INDEX('🔄 Rotação Duplas'!$C$106:$C$115,MATCH(D477,'🔄 Rotação Duplas'!$D$106:$D$115,0)))),""))</f>
        <v/>
      </c>
      <c r="T477">
        <f t="shared" si="40"/>
        <v>0</v>
      </c>
    </row>
    <row r="478" spans="2:20" ht="18" customHeight="1" x14ac:dyDescent="0.2">
      <c r="B478" s="85" t="s">
        <v>109</v>
      </c>
      <c r="C478" s="86" t="str">
        <f t="shared" si="41"/>
        <v>Desafio 24</v>
      </c>
      <c r="D478" s="87" t="str">
        <f>'⚙️ Configuração'!C41</f>
        <v>Marta Torres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89">
        <v>0</v>
      </c>
      <c r="K478" s="81">
        <f>(E478*'⚙️ Configuração'!$C$6+F478*'⚙️ Configuração'!$C$7+G478*'⚙️ Configuração'!$C$8+H478*'⚙️ Configuração'!$C$9+I478*'⚙️ Configuração'!$C$10+J478*'⚙️ Configuração'!$C$11)*IF(N478="S",2,1)</f>
        <v>0</v>
      </c>
      <c r="L478" s="90" t="s">
        <v>167</v>
      </c>
      <c r="M478" s="82">
        <f>IF(L478="AT1",'⚙️ Configuração'!$C$14,IF(L478="AT2",'⚙️ Configuração'!$C$15,IF(L478="FI",'⚙️ Configuração'!$C$16,IF(L478="FJ",'⚙️ Configuração'!$C$17,0))))</f>
        <v>0</v>
      </c>
      <c r="N478" s="91" t="s">
        <v>167</v>
      </c>
      <c r="O478" s="92"/>
      <c r="P478" s="83">
        <f>IF(O478="1",'⚙️ Configuração'!$C$21,IF(O478="2",'⚙️ Configuração'!$C$22,IF(O478="3",'⚙️ Configuração'!$C$23,IF(O478="Outro",'⚙️ Configuração'!$C$24,0))))</f>
        <v>0</v>
      </c>
      <c r="Q478" s="84">
        <f t="shared" si="39"/>
        <v>0</v>
      </c>
      <c r="R478" s="40" t="str">
        <f t="shared" si="22"/>
        <v>Semana 1 — ver 🔄</v>
      </c>
      <c r="S478" t="str" cm="1">
        <f t="array" ref="S478">IF(D478="","",IFERROR(_xlfn.SWITCH(B478,"Semana 1",IFERROR(INDEX('🔄 Rotação Duplas'!$D$8:$D$17,MATCH(D478,'🔄 Rotação Duplas'!$C$8:$C$17,0)),INDEX('🔄 Rotação Duplas'!$C$8:$C$17,MATCH(D478,'🔄 Rotação Duplas'!$D$8:$D$17,0))),"Semana 2",IFERROR(INDEX('🔄 Rotação Duplas'!$D$22:$D$31,MATCH(D478,'🔄 Rotação Duplas'!$C$22:$C$31,0)),INDEX('🔄 Rotação Duplas'!$C$22:$C$31,MATCH(D478,'🔄 Rotação Duplas'!$D$22:$D$31,0))),"Semana 3",IFERROR(INDEX('🔄 Rotação Duplas'!$D$36:$D$45,MATCH(D478,'🔄 Rotação Duplas'!$C$36:$C$45,0)),INDEX('🔄 Rotação Duplas'!$C$36:$C$45,MATCH(D478,'🔄 Rotação Duplas'!$D$36:$D$45,0))),"Semana 4",IFERROR(INDEX('🔄 Rotação Duplas'!$D$50:$D$59,MATCH(D478,'🔄 Rotação Duplas'!$C$50:$C$59,0)),INDEX('🔄 Rotação Duplas'!$C$50:$C$59,MATCH(D478,'🔄 Rotação Duplas'!$D$50:$D$59,0))),"Semana 5",IFERROR(INDEX('🔄 Rotação Duplas'!$D$64:$D$73,MATCH(D478,'🔄 Rotação Duplas'!$C$64:$C$73,0)),INDEX('🔄 Rotação Duplas'!$C$64:$C$73,MATCH(D478,'🔄 Rotação Duplas'!$D$64:$D$73,0))),"Semana 6",IFERROR(INDEX('🔄 Rotação Duplas'!$D$78:$D$87,MATCH(D478,'🔄 Rotação Duplas'!$C$78:$C$87,0)),INDEX('🔄 Rotação Duplas'!$C$78:$C$87,MATCH(D478,'🔄 Rotação Duplas'!$D$78:$D$87,0))),"Semana 7",IFERROR(INDEX('🔄 Rotação Duplas'!$D$92:$D$101,MATCH(D478,'🔄 Rotação Duplas'!$C$92:$C$101,0)),INDEX('🔄 Rotação Duplas'!$C$92:$C$101,MATCH(D478,'🔄 Rotação Duplas'!$D$92:$D$101,0))),"Semana 8",IFERROR(INDEX('🔄 Rotação Duplas'!$D$106:$D$115,MATCH(D478,'🔄 Rotação Duplas'!$C$106:$C$115,0)),INDEX('🔄 Rotação Duplas'!$C$106:$C$115,MATCH(D478,'🔄 Rotação Duplas'!$D$106:$D$115,0)))),""))</f>
        <v/>
      </c>
      <c r="T478">
        <f t="shared" si="40"/>
        <v>0</v>
      </c>
    </row>
    <row r="479" spans="2:20" ht="18" customHeight="1" x14ac:dyDescent="0.2">
      <c r="B479" s="78" t="s">
        <v>109</v>
      </c>
      <c r="C479" s="79" t="str">
        <f t="shared" si="41"/>
        <v>Desafio 24</v>
      </c>
      <c r="D479" s="80" t="str">
        <f>'⚙️ Configuração'!C42</f>
        <v>Patricia Isabel Silva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89">
        <v>0</v>
      </c>
      <c r="K479" s="81">
        <f>(E479*'⚙️ Configuração'!$C$6+F479*'⚙️ Configuração'!$C$7+G479*'⚙️ Configuração'!$C$8+H479*'⚙️ Configuração'!$C$9+I479*'⚙️ Configuração'!$C$10+J479*'⚙️ Configuração'!$C$11)*IF(N479="S",2,1)</f>
        <v>0</v>
      </c>
      <c r="L479" s="90" t="s">
        <v>167</v>
      </c>
      <c r="M479" s="82">
        <f>IF(L479="AT1",'⚙️ Configuração'!$C$14,IF(L479="AT2",'⚙️ Configuração'!$C$15,IF(L479="FI",'⚙️ Configuração'!$C$16,IF(L479="FJ",'⚙️ Configuração'!$C$17,0))))</f>
        <v>0</v>
      </c>
      <c r="N479" s="91" t="s">
        <v>167</v>
      </c>
      <c r="O479" s="92"/>
      <c r="P479" s="83">
        <f>IF(O479="1",'⚙️ Configuração'!$C$21,IF(O479="2",'⚙️ Configuração'!$C$22,IF(O479="3",'⚙️ Configuração'!$C$23,IF(O479="Outro",'⚙️ Configuração'!$C$24,0))))</f>
        <v>0</v>
      </c>
      <c r="Q479" s="84">
        <f t="shared" si="39"/>
        <v>0</v>
      </c>
      <c r="R479" s="40" t="str">
        <f t="shared" si="22"/>
        <v>Semana 1 — ver 🔄</v>
      </c>
      <c r="S479" t="str" cm="1">
        <f t="array" ref="S479">IF(D479="","",IFERROR(_xlfn.SWITCH(B479,"Semana 1",IFERROR(INDEX('🔄 Rotação Duplas'!$D$8:$D$17,MATCH(D479,'🔄 Rotação Duplas'!$C$8:$C$17,0)),INDEX('🔄 Rotação Duplas'!$C$8:$C$17,MATCH(D479,'🔄 Rotação Duplas'!$D$8:$D$17,0))),"Semana 2",IFERROR(INDEX('🔄 Rotação Duplas'!$D$22:$D$31,MATCH(D479,'🔄 Rotação Duplas'!$C$22:$C$31,0)),INDEX('🔄 Rotação Duplas'!$C$22:$C$31,MATCH(D479,'🔄 Rotação Duplas'!$D$22:$D$31,0))),"Semana 3",IFERROR(INDEX('🔄 Rotação Duplas'!$D$36:$D$45,MATCH(D479,'🔄 Rotação Duplas'!$C$36:$C$45,0)),INDEX('🔄 Rotação Duplas'!$C$36:$C$45,MATCH(D479,'🔄 Rotação Duplas'!$D$36:$D$45,0))),"Semana 4",IFERROR(INDEX('🔄 Rotação Duplas'!$D$50:$D$59,MATCH(D479,'🔄 Rotação Duplas'!$C$50:$C$59,0)),INDEX('🔄 Rotação Duplas'!$C$50:$C$59,MATCH(D479,'🔄 Rotação Duplas'!$D$50:$D$59,0))),"Semana 5",IFERROR(INDEX('🔄 Rotação Duplas'!$D$64:$D$73,MATCH(D479,'🔄 Rotação Duplas'!$C$64:$C$73,0)),INDEX('🔄 Rotação Duplas'!$C$64:$C$73,MATCH(D479,'🔄 Rotação Duplas'!$D$64:$D$73,0))),"Semana 6",IFERROR(INDEX('🔄 Rotação Duplas'!$D$78:$D$87,MATCH(D479,'🔄 Rotação Duplas'!$C$78:$C$87,0)),INDEX('🔄 Rotação Duplas'!$C$78:$C$87,MATCH(D479,'🔄 Rotação Duplas'!$D$78:$D$87,0))),"Semana 7",IFERROR(INDEX('🔄 Rotação Duplas'!$D$92:$D$101,MATCH(D479,'🔄 Rotação Duplas'!$C$92:$C$101,0)),INDEX('🔄 Rotação Duplas'!$C$92:$C$101,MATCH(D479,'🔄 Rotação Duplas'!$D$92:$D$101,0))),"Semana 8",IFERROR(INDEX('🔄 Rotação Duplas'!$D$106:$D$115,MATCH(D479,'🔄 Rotação Duplas'!$C$106:$C$115,0)),INDEX('🔄 Rotação Duplas'!$C$106:$C$115,MATCH(D479,'🔄 Rotação Duplas'!$D$106:$D$115,0)))),""))</f>
        <v/>
      </c>
      <c r="T479">
        <f t="shared" si="40"/>
        <v>0</v>
      </c>
    </row>
    <row r="480" spans="2:20" ht="18" customHeight="1" x14ac:dyDescent="0.2">
      <c r="B480" s="85" t="s">
        <v>109</v>
      </c>
      <c r="C480" s="86" t="str">
        <f t="shared" si="41"/>
        <v>Desafio 24</v>
      </c>
      <c r="D480" s="87" t="str">
        <f>'⚙️ Configuração'!C43</f>
        <v>Paula Martins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89">
        <v>0</v>
      </c>
      <c r="K480" s="81">
        <f>(E480*'⚙️ Configuração'!$C$6+F480*'⚙️ Configuração'!$C$7+G480*'⚙️ Configuração'!$C$8+H480*'⚙️ Configuração'!$C$9+I480*'⚙️ Configuração'!$C$10+J480*'⚙️ Configuração'!$C$11)*IF(N480="S",2,1)</f>
        <v>0</v>
      </c>
      <c r="L480" s="90" t="s">
        <v>167</v>
      </c>
      <c r="M480" s="82">
        <f>IF(L480="AT1",'⚙️ Configuração'!$C$14,IF(L480="AT2",'⚙️ Configuração'!$C$15,IF(L480="FI",'⚙️ Configuração'!$C$16,IF(L480="FJ",'⚙️ Configuração'!$C$17,0))))</f>
        <v>0</v>
      </c>
      <c r="N480" s="91" t="s">
        <v>167</v>
      </c>
      <c r="O480" s="92"/>
      <c r="P480" s="83">
        <f>IF(O480="1",'⚙️ Configuração'!$C$21,IF(O480="2",'⚙️ Configuração'!$C$22,IF(O480="3",'⚙️ Configuração'!$C$23,IF(O480="Outro",'⚙️ Configuração'!$C$24,0))))</f>
        <v>0</v>
      </c>
      <c r="Q480" s="84">
        <f t="shared" si="39"/>
        <v>0</v>
      </c>
      <c r="R480" s="40" t="str">
        <f t="shared" si="22"/>
        <v>Semana 1 — ver 🔄</v>
      </c>
      <c r="S480" t="str" cm="1">
        <f t="array" ref="S480">IF(D480="","",IFERROR(_xlfn.SWITCH(B480,"Semana 1",IFERROR(INDEX('🔄 Rotação Duplas'!$D$8:$D$17,MATCH(D480,'🔄 Rotação Duplas'!$C$8:$C$17,0)),INDEX('🔄 Rotação Duplas'!$C$8:$C$17,MATCH(D480,'🔄 Rotação Duplas'!$D$8:$D$17,0))),"Semana 2",IFERROR(INDEX('🔄 Rotação Duplas'!$D$22:$D$31,MATCH(D480,'🔄 Rotação Duplas'!$C$22:$C$31,0)),INDEX('🔄 Rotação Duplas'!$C$22:$C$31,MATCH(D480,'🔄 Rotação Duplas'!$D$22:$D$31,0))),"Semana 3",IFERROR(INDEX('🔄 Rotação Duplas'!$D$36:$D$45,MATCH(D480,'🔄 Rotação Duplas'!$C$36:$C$45,0)),INDEX('🔄 Rotação Duplas'!$C$36:$C$45,MATCH(D480,'🔄 Rotação Duplas'!$D$36:$D$45,0))),"Semana 4",IFERROR(INDEX('🔄 Rotação Duplas'!$D$50:$D$59,MATCH(D480,'🔄 Rotação Duplas'!$C$50:$C$59,0)),INDEX('🔄 Rotação Duplas'!$C$50:$C$59,MATCH(D480,'🔄 Rotação Duplas'!$D$50:$D$59,0))),"Semana 5",IFERROR(INDEX('🔄 Rotação Duplas'!$D$64:$D$73,MATCH(D480,'🔄 Rotação Duplas'!$C$64:$C$73,0)),INDEX('🔄 Rotação Duplas'!$C$64:$C$73,MATCH(D480,'🔄 Rotação Duplas'!$D$64:$D$73,0))),"Semana 6",IFERROR(INDEX('🔄 Rotação Duplas'!$D$78:$D$87,MATCH(D480,'🔄 Rotação Duplas'!$C$78:$C$87,0)),INDEX('🔄 Rotação Duplas'!$C$78:$C$87,MATCH(D480,'🔄 Rotação Duplas'!$D$78:$D$87,0))),"Semana 7",IFERROR(INDEX('🔄 Rotação Duplas'!$D$92:$D$101,MATCH(D480,'🔄 Rotação Duplas'!$C$92:$C$101,0)),INDEX('🔄 Rotação Duplas'!$C$92:$C$101,MATCH(D480,'🔄 Rotação Duplas'!$D$92:$D$101,0))),"Semana 8",IFERROR(INDEX('🔄 Rotação Duplas'!$D$106:$D$115,MATCH(D480,'🔄 Rotação Duplas'!$C$106:$C$115,0)),INDEX('🔄 Rotação Duplas'!$C$106:$C$115,MATCH(D480,'🔄 Rotação Duplas'!$D$106:$D$115,0)))),""))</f>
        <v/>
      </c>
      <c r="T480">
        <f t="shared" si="40"/>
        <v>0</v>
      </c>
    </row>
    <row r="481" spans="2:20" ht="18" customHeight="1" x14ac:dyDescent="0.2">
      <c r="B481" s="78" t="s">
        <v>109</v>
      </c>
      <c r="C481" s="79" t="str">
        <f t="shared" si="41"/>
        <v>Desafio 24</v>
      </c>
      <c r="D481" s="80" t="str">
        <f>'⚙️ Configuração'!C44</f>
        <v>Paula Miabara</v>
      </c>
      <c r="E481" s="50">
        <v>0</v>
      </c>
      <c r="F481" s="50">
        <v>0</v>
      </c>
      <c r="G481" s="50">
        <v>0</v>
      </c>
      <c r="H481" s="50">
        <v>0</v>
      </c>
      <c r="I481" s="50">
        <v>0</v>
      </c>
      <c r="J481" s="89">
        <v>0</v>
      </c>
      <c r="K481" s="81">
        <f>(E481*'⚙️ Configuração'!$C$6+F481*'⚙️ Configuração'!$C$7+G481*'⚙️ Configuração'!$C$8+H481*'⚙️ Configuração'!$C$9+I481*'⚙️ Configuração'!$C$10+J481*'⚙️ Configuração'!$C$11)*IF(N481="S",2,1)</f>
        <v>0</v>
      </c>
      <c r="L481" s="90" t="s">
        <v>167</v>
      </c>
      <c r="M481" s="82">
        <f>IF(L481="AT1",'⚙️ Configuração'!$C$14,IF(L481="AT2",'⚙️ Configuração'!$C$15,IF(L481="FI",'⚙️ Configuração'!$C$16,IF(L481="FJ",'⚙️ Configuração'!$C$17,0))))</f>
        <v>0</v>
      </c>
      <c r="N481" s="91" t="s">
        <v>167</v>
      </c>
      <c r="O481" s="92"/>
      <c r="P481" s="83">
        <f>IF(O481="1",'⚙️ Configuração'!$C$21,IF(O481="2",'⚙️ Configuração'!$C$22,IF(O481="3",'⚙️ Configuração'!$C$23,IF(O481="Outro",'⚙️ Configuração'!$C$24,0))))</f>
        <v>0</v>
      </c>
      <c r="Q481" s="84">
        <f t="shared" si="39"/>
        <v>0</v>
      </c>
      <c r="R481" s="40" t="str">
        <f t="shared" si="22"/>
        <v>Semana 1 — ver 🔄</v>
      </c>
      <c r="S481" t="str" cm="1">
        <f t="array" ref="S481">IF(D481="","",IFERROR(_xlfn.SWITCH(B481,"Semana 1",IFERROR(INDEX('🔄 Rotação Duplas'!$D$8:$D$17,MATCH(D481,'🔄 Rotação Duplas'!$C$8:$C$17,0)),INDEX('🔄 Rotação Duplas'!$C$8:$C$17,MATCH(D481,'🔄 Rotação Duplas'!$D$8:$D$17,0))),"Semana 2",IFERROR(INDEX('🔄 Rotação Duplas'!$D$22:$D$31,MATCH(D481,'🔄 Rotação Duplas'!$C$22:$C$31,0)),INDEX('🔄 Rotação Duplas'!$C$22:$C$31,MATCH(D481,'🔄 Rotação Duplas'!$D$22:$D$31,0))),"Semana 3",IFERROR(INDEX('🔄 Rotação Duplas'!$D$36:$D$45,MATCH(D481,'🔄 Rotação Duplas'!$C$36:$C$45,0)),INDEX('🔄 Rotação Duplas'!$C$36:$C$45,MATCH(D481,'🔄 Rotação Duplas'!$D$36:$D$45,0))),"Semana 4",IFERROR(INDEX('🔄 Rotação Duplas'!$D$50:$D$59,MATCH(D481,'🔄 Rotação Duplas'!$C$50:$C$59,0)),INDEX('🔄 Rotação Duplas'!$C$50:$C$59,MATCH(D481,'🔄 Rotação Duplas'!$D$50:$D$59,0))),"Semana 5",IFERROR(INDEX('🔄 Rotação Duplas'!$D$64:$D$73,MATCH(D481,'🔄 Rotação Duplas'!$C$64:$C$73,0)),INDEX('🔄 Rotação Duplas'!$C$64:$C$73,MATCH(D481,'🔄 Rotação Duplas'!$D$64:$D$73,0))),"Semana 6",IFERROR(INDEX('🔄 Rotação Duplas'!$D$78:$D$87,MATCH(D481,'🔄 Rotação Duplas'!$C$78:$C$87,0)),INDEX('🔄 Rotação Duplas'!$C$78:$C$87,MATCH(D481,'🔄 Rotação Duplas'!$D$78:$D$87,0))),"Semana 7",IFERROR(INDEX('🔄 Rotação Duplas'!$D$92:$D$101,MATCH(D481,'🔄 Rotação Duplas'!$C$92:$C$101,0)),INDEX('🔄 Rotação Duplas'!$C$92:$C$101,MATCH(D481,'🔄 Rotação Duplas'!$D$92:$D$101,0))),"Semana 8",IFERROR(INDEX('🔄 Rotação Duplas'!$D$106:$D$115,MATCH(D481,'🔄 Rotação Duplas'!$C$106:$C$115,0)),INDEX('🔄 Rotação Duplas'!$C$106:$C$115,MATCH(D481,'🔄 Rotação Duplas'!$D$106:$D$115,0)))),""))</f>
        <v/>
      </c>
      <c r="T481">
        <f t="shared" si="40"/>
        <v>0</v>
      </c>
    </row>
    <row r="482" spans="2:20" ht="18" customHeight="1" x14ac:dyDescent="0.2">
      <c r="B482" s="85" t="s">
        <v>109</v>
      </c>
      <c r="C482" s="86" t="str">
        <f t="shared" si="41"/>
        <v>Desafio 24</v>
      </c>
      <c r="D482" s="87" t="str">
        <f>'⚙️ Configuração'!C45</f>
        <v>Rita Carmo</v>
      </c>
      <c r="E482" s="50">
        <v>0</v>
      </c>
      <c r="F482" s="50">
        <v>0</v>
      </c>
      <c r="G482" s="50">
        <v>0</v>
      </c>
      <c r="H482" s="50">
        <v>0</v>
      </c>
      <c r="I482" s="50">
        <v>0</v>
      </c>
      <c r="J482" s="89">
        <v>0</v>
      </c>
      <c r="K482" s="81">
        <f>(E482*'⚙️ Configuração'!$C$6+F482*'⚙️ Configuração'!$C$7+G482*'⚙️ Configuração'!$C$8+H482*'⚙️ Configuração'!$C$9+I482*'⚙️ Configuração'!$C$10+J482*'⚙️ Configuração'!$C$11)*IF(N482="S",2,1)</f>
        <v>0</v>
      </c>
      <c r="L482" s="90" t="s">
        <v>167</v>
      </c>
      <c r="M482" s="82">
        <f>IF(L482="AT1",'⚙️ Configuração'!$C$14,IF(L482="AT2",'⚙️ Configuração'!$C$15,IF(L482="FI",'⚙️ Configuração'!$C$16,IF(L482="FJ",'⚙️ Configuração'!$C$17,0))))</f>
        <v>0</v>
      </c>
      <c r="N482" s="91" t="s">
        <v>167</v>
      </c>
      <c r="O482" s="92"/>
      <c r="P482" s="83">
        <f>IF(O482="1",'⚙️ Configuração'!$C$21,IF(O482="2",'⚙️ Configuração'!$C$22,IF(O482="3",'⚙️ Configuração'!$C$23,IF(O482="Outro",'⚙️ Configuração'!$C$24,0))))</f>
        <v>0</v>
      </c>
      <c r="Q482" s="84">
        <f t="shared" si="39"/>
        <v>0</v>
      </c>
      <c r="R482" s="40" t="str">
        <f t="shared" si="22"/>
        <v>Semana 1 — ver 🔄</v>
      </c>
      <c r="S482" t="str" cm="1">
        <f t="array" ref="S482">IF(D482="","",IFERROR(_xlfn.SWITCH(B482,"Semana 1",IFERROR(INDEX('🔄 Rotação Duplas'!$D$8:$D$17,MATCH(D482,'🔄 Rotação Duplas'!$C$8:$C$17,0)),INDEX('🔄 Rotação Duplas'!$C$8:$C$17,MATCH(D482,'🔄 Rotação Duplas'!$D$8:$D$17,0))),"Semana 2",IFERROR(INDEX('🔄 Rotação Duplas'!$D$22:$D$31,MATCH(D482,'🔄 Rotação Duplas'!$C$22:$C$31,0)),INDEX('🔄 Rotação Duplas'!$C$22:$C$31,MATCH(D482,'🔄 Rotação Duplas'!$D$22:$D$31,0))),"Semana 3",IFERROR(INDEX('🔄 Rotação Duplas'!$D$36:$D$45,MATCH(D482,'🔄 Rotação Duplas'!$C$36:$C$45,0)),INDEX('🔄 Rotação Duplas'!$C$36:$C$45,MATCH(D482,'🔄 Rotação Duplas'!$D$36:$D$45,0))),"Semana 4",IFERROR(INDEX('🔄 Rotação Duplas'!$D$50:$D$59,MATCH(D482,'🔄 Rotação Duplas'!$C$50:$C$59,0)),INDEX('🔄 Rotação Duplas'!$C$50:$C$59,MATCH(D482,'🔄 Rotação Duplas'!$D$50:$D$59,0))),"Semana 5",IFERROR(INDEX('🔄 Rotação Duplas'!$D$64:$D$73,MATCH(D482,'🔄 Rotação Duplas'!$C$64:$C$73,0)),INDEX('🔄 Rotação Duplas'!$C$64:$C$73,MATCH(D482,'🔄 Rotação Duplas'!$D$64:$D$73,0))),"Semana 6",IFERROR(INDEX('🔄 Rotação Duplas'!$D$78:$D$87,MATCH(D482,'🔄 Rotação Duplas'!$C$78:$C$87,0)),INDEX('🔄 Rotação Duplas'!$C$78:$C$87,MATCH(D482,'🔄 Rotação Duplas'!$D$78:$D$87,0))),"Semana 7",IFERROR(INDEX('🔄 Rotação Duplas'!$D$92:$D$101,MATCH(D482,'🔄 Rotação Duplas'!$C$92:$C$101,0)),INDEX('🔄 Rotação Duplas'!$C$92:$C$101,MATCH(D482,'🔄 Rotação Duplas'!$D$92:$D$101,0))),"Semana 8",IFERROR(INDEX('🔄 Rotação Duplas'!$D$106:$D$115,MATCH(D482,'🔄 Rotação Duplas'!$C$106:$C$115,0)),INDEX('🔄 Rotação Duplas'!$C$106:$C$115,MATCH(D482,'🔄 Rotação Duplas'!$D$106:$D$115,0)))),""))</f>
        <v/>
      </c>
      <c r="T482">
        <f t="shared" si="40"/>
        <v>0</v>
      </c>
    </row>
    <row r="483" spans="2:20" ht="18" customHeight="1" x14ac:dyDescent="0.2">
      <c r="B483" s="78" t="s">
        <v>109</v>
      </c>
      <c r="C483" s="79" t="str">
        <f t="shared" si="41"/>
        <v>Desafio 24</v>
      </c>
      <c r="D483" s="80" t="str">
        <f>'⚙️ Configuração'!C46</f>
        <v>William Fernandes</v>
      </c>
      <c r="E483" s="50">
        <v>0</v>
      </c>
      <c r="F483" s="50">
        <v>0</v>
      </c>
      <c r="G483" s="50">
        <v>0</v>
      </c>
      <c r="H483" s="50">
        <v>0</v>
      </c>
      <c r="I483" s="50">
        <v>0</v>
      </c>
      <c r="J483" s="89">
        <v>0</v>
      </c>
      <c r="K483" s="81">
        <f>(E483*'⚙️ Configuração'!$C$6+F483*'⚙️ Configuração'!$C$7+G483*'⚙️ Configuração'!$C$8+H483*'⚙️ Configuração'!$C$9+I483*'⚙️ Configuração'!$C$10+J483*'⚙️ Configuração'!$C$11)*IF(N483="S",2,1)</f>
        <v>0</v>
      </c>
      <c r="L483" s="90" t="s">
        <v>167</v>
      </c>
      <c r="M483" s="82">
        <f>IF(L483="AT1",'⚙️ Configuração'!$C$14,IF(L483="AT2",'⚙️ Configuração'!$C$15,IF(L483="FI",'⚙️ Configuração'!$C$16,IF(L483="FJ",'⚙️ Configuração'!$C$17,0))))</f>
        <v>0</v>
      </c>
      <c r="N483" s="91" t="s">
        <v>167</v>
      </c>
      <c r="O483" s="92"/>
      <c r="P483" s="83">
        <f>IF(O483="1",'⚙️ Configuração'!$C$21,IF(O483="2",'⚙️ Configuração'!$C$22,IF(O483="3",'⚙️ Configuração'!$C$23,IF(O483="Outro",'⚙️ Configuração'!$C$24,0))))</f>
        <v>0</v>
      </c>
      <c r="Q483" s="84">
        <f t="shared" si="39"/>
        <v>0</v>
      </c>
      <c r="R483" s="40" t="str">
        <f t="shared" si="22"/>
        <v>Semana 1 — ver 🔄</v>
      </c>
      <c r="S483" t="str" cm="1">
        <f t="array" ref="S483">IF(D483="","",IFERROR(_xlfn.SWITCH(B483,"Semana 1",IFERROR(INDEX('🔄 Rotação Duplas'!$D$8:$D$17,MATCH(D483,'🔄 Rotação Duplas'!$C$8:$C$17,0)),INDEX('🔄 Rotação Duplas'!$C$8:$C$17,MATCH(D483,'🔄 Rotação Duplas'!$D$8:$D$17,0))),"Semana 2",IFERROR(INDEX('🔄 Rotação Duplas'!$D$22:$D$31,MATCH(D483,'🔄 Rotação Duplas'!$C$22:$C$31,0)),INDEX('🔄 Rotação Duplas'!$C$22:$C$31,MATCH(D483,'🔄 Rotação Duplas'!$D$22:$D$31,0))),"Semana 3",IFERROR(INDEX('🔄 Rotação Duplas'!$D$36:$D$45,MATCH(D483,'🔄 Rotação Duplas'!$C$36:$C$45,0)),INDEX('🔄 Rotação Duplas'!$C$36:$C$45,MATCH(D483,'🔄 Rotação Duplas'!$D$36:$D$45,0))),"Semana 4",IFERROR(INDEX('🔄 Rotação Duplas'!$D$50:$D$59,MATCH(D483,'🔄 Rotação Duplas'!$C$50:$C$59,0)),INDEX('🔄 Rotação Duplas'!$C$50:$C$59,MATCH(D483,'🔄 Rotação Duplas'!$D$50:$D$59,0))),"Semana 5",IFERROR(INDEX('🔄 Rotação Duplas'!$D$64:$D$73,MATCH(D483,'🔄 Rotação Duplas'!$C$64:$C$73,0)),INDEX('🔄 Rotação Duplas'!$C$64:$C$73,MATCH(D483,'🔄 Rotação Duplas'!$D$64:$D$73,0))),"Semana 6",IFERROR(INDEX('🔄 Rotação Duplas'!$D$78:$D$87,MATCH(D483,'🔄 Rotação Duplas'!$C$78:$C$87,0)),INDEX('🔄 Rotação Duplas'!$C$78:$C$87,MATCH(D483,'🔄 Rotação Duplas'!$D$78:$D$87,0))),"Semana 7",IFERROR(INDEX('🔄 Rotação Duplas'!$D$92:$D$101,MATCH(D483,'🔄 Rotação Duplas'!$C$92:$C$101,0)),INDEX('🔄 Rotação Duplas'!$C$92:$C$101,MATCH(D483,'🔄 Rotação Duplas'!$D$92:$D$101,0))),"Semana 8",IFERROR(INDEX('🔄 Rotação Duplas'!$D$106:$D$115,MATCH(D483,'🔄 Rotação Duplas'!$C$106:$C$115,0)),INDEX('🔄 Rotação Duplas'!$C$106:$C$115,MATCH(D483,'🔄 Rotação Duplas'!$D$106:$D$115,0)))),""))</f>
        <v/>
      </c>
      <c r="T483">
        <f t="shared" si="40"/>
        <v>0</v>
      </c>
    </row>
    <row r="484" spans="2:20" ht="18" customHeight="1" x14ac:dyDescent="0.2">
      <c r="B484" s="85" t="s">
        <v>109</v>
      </c>
      <c r="C484" s="86" t="str">
        <f t="shared" si="41"/>
        <v>Desafio 24</v>
      </c>
      <c r="D484" s="87" t="str">
        <f>'⚙️ Configuração'!C47</f>
        <v>-</v>
      </c>
      <c r="E484" s="50">
        <v>0</v>
      </c>
      <c r="F484" s="50">
        <v>0</v>
      </c>
      <c r="G484" s="50">
        <v>0</v>
      </c>
      <c r="H484" s="50">
        <v>0</v>
      </c>
      <c r="I484" s="50">
        <v>0</v>
      </c>
      <c r="J484" s="89">
        <v>0</v>
      </c>
      <c r="K484" s="81">
        <f>(E484*'⚙️ Configuração'!$C$6+F484*'⚙️ Configuração'!$C$7+G484*'⚙️ Configuração'!$C$8+H484*'⚙️ Configuração'!$C$9+I484*'⚙️ Configuração'!$C$10+J484*'⚙️ Configuração'!$C$11)*IF(N484="S",2,1)</f>
        <v>0</v>
      </c>
      <c r="L484" s="90" t="s">
        <v>167</v>
      </c>
      <c r="M484" s="82">
        <f>IF(L484="AT1",'⚙️ Configuração'!$C$14,IF(L484="AT2",'⚙️ Configuração'!$C$15,IF(L484="FI",'⚙️ Configuração'!$C$16,IF(L484="FJ",'⚙️ Configuração'!$C$17,0))))</f>
        <v>0</v>
      </c>
      <c r="N484" s="91" t="s">
        <v>167</v>
      </c>
      <c r="O484" s="92"/>
      <c r="P484" s="83">
        <f>IF(O484="1",'⚙️ Configuração'!$C$21,IF(O484="2",'⚙️ Configuração'!$C$22,IF(O484="3",'⚙️ Configuração'!$C$23,IF(O484="Outro",'⚙️ Configuração'!$C$24,0))))</f>
        <v>0</v>
      </c>
      <c r="Q484" s="84">
        <f t="shared" si="39"/>
        <v>0</v>
      </c>
      <c r="R484" s="40" t="str">
        <f t="shared" si="22"/>
        <v>Semana 1 — ver 🔄</v>
      </c>
      <c r="S484" t="str" cm="1">
        <f t="array" ref="S484">IF(D484="","",IFERROR(_xlfn.SWITCH(B484,"Semana 1",IFERROR(INDEX('🔄 Rotação Duplas'!$D$8:$D$17,MATCH(D484,'🔄 Rotação Duplas'!$C$8:$C$17,0)),INDEX('🔄 Rotação Duplas'!$C$8:$C$17,MATCH(D484,'🔄 Rotação Duplas'!$D$8:$D$17,0))),"Semana 2",IFERROR(INDEX('🔄 Rotação Duplas'!$D$22:$D$31,MATCH(D484,'🔄 Rotação Duplas'!$C$22:$C$31,0)),INDEX('🔄 Rotação Duplas'!$C$22:$C$31,MATCH(D484,'🔄 Rotação Duplas'!$D$22:$D$31,0))),"Semana 3",IFERROR(INDEX('🔄 Rotação Duplas'!$D$36:$D$45,MATCH(D484,'🔄 Rotação Duplas'!$C$36:$C$45,0)),INDEX('🔄 Rotação Duplas'!$C$36:$C$45,MATCH(D484,'🔄 Rotação Duplas'!$D$36:$D$45,0))),"Semana 4",IFERROR(INDEX('🔄 Rotação Duplas'!$D$50:$D$59,MATCH(D484,'🔄 Rotação Duplas'!$C$50:$C$59,0)),INDEX('🔄 Rotação Duplas'!$C$50:$C$59,MATCH(D484,'🔄 Rotação Duplas'!$D$50:$D$59,0))),"Semana 5",IFERROR(INDEX('🔄 Rotação Duplas'!$D$64:$D$73,MATCH(D484,'🔄 Rotação Duplas'!$C$64:$C$73,0)),INDEX('🔄 Rotação Duplas'!$C$64:$C$73,MATCH(D484,'🔄 Rotação Duplas'!$D$64:$D$73,0))),"Semana 6",IFERROR(INDEX('🔄 Rotação Duplas'!$D$78:$D$87,MATCH(D484,'🔄 Rotação Duplas'!$C$78:$C$87,0)),INDEX('🔄 Rotação Duplas'!$C$78:$C$87,MATCH(D484,'🔄 Rotação Duplas'!$D$78:$D$87,0))),"Semana 7",IFERROR(INDEX('🔄 Rotação Duplas'!$D$92:$D$101,MATCH(D484,'🔄 Rotação Duplas'!$C$92:$C$101,0)),INDEX('🔄 Rotação Duplas'!$C$92:$C$101,MATCH(D484,'🔄 Rotação Duplas'!$D$92:$D$101,0))),"Semana 8",IFERROR(INDEX('🔄 Rotação Duplas'!$D$106:$D$115,MATCH(D484,'🔄 Rotação Duplas'!$C$106:$C$115,0)),INDEX('🔄 Rotação Duplas'!$C$106:$C$115,MATCH(D484,'🔄 Rotação Duplas'!$D$106:$D$115,0)))),""))</f>
        <v/>
      </c>
      <c r="T484">
        <f t="shared" si="40"/>
        <v>0</v>
      </c>
    </row>
    <row r="485" spans="2:20" ht="18" customHeight="1" x14ac:dyDescent="0.2">
      <c r="B485" s="78" t="s">
        <v>109</v>
      </c>
      <c r="C485" s="79" t="str">
        <f t="shared" si="41"/>
        <v>Desafio 24</v>
      </c>
      <c r="D485" s="80" t="str">
        <f>'⚙️ Configuração'!C48</f>
        <v>-</v>
      </c>
      <c r="E485" s="50">
        <v>0</v>
      </c>
      <c r="F485" s="50">
        <v>0</v>
      </c>
      <c r="G485" s="50">
        <v>0</v>
      </c>
      <c r="H485" s="50">
        <v>0</v>
      </c>
      <c r="I485" s="50">
        <v>0</v>
      </c>
      <c r="J485" s="89">
        <v>0</v>
      </c>
      <c r="K485" s="81">
        <f>(E485*'⚙️ Configuração'!$C$6+F485*'⚙️ Configuração'!$C$7+G485*'⚙️ Configuração'!$C$8+H485*'⚙️ Configuração'!$C$9+I485*'⚙️ Configuração'!$C$10+J485*'⚙️ Configuração'!$C$11)*IF(N485="S",2,1)</f>
        <v>0</v>
      </c>
      <c r="L485" s="90" t="s">
        <v>167</v>
      </c>
      <c r="M485" s="82">
        <f>IF(L485="AT1",'⚙️ Configuração'!$C$14,IF(L485="AT2",'⚙️ Configuração'!$C$15,IF(L485="FI",'⚙️ Configuração'!$C$16,IF(L485="FJ",'⚙️ Configuração'!$C$17,0))))</f>
        <v>0</v>
      </c>
      <c r="N485" s="91" t="s">
        <v>167</v>
      </c>
      <c r="O485" s="92"/>
      <c r="P485" s="83">
        <f>IF(O485="1",'⚙️ Configuração'!$C$21,IF(O485="2",'⚙️ Configuração'!$C$22,IF(O485="3",'⚙️ Configuração'!$C$23,IF(O485="Outro",'⚙️ Configuração'!$C$24,0))))</f>
        <v>0</v>
      </c>
      <c r="Q485" s="84">
        <f t="shared" si="39"/>
        <v>0</v>
      </c>
      <c r="R485" s="40" t="str">
        <f t="shared" si="22"/>
        <v>Semana 1 — ver 🔄</v>
      </c>
      <c r="S485" t="str" cm="1">
        <f t="array" ref="S485">IF(D485="","",IFERROR(_xlfn.SWITCH(B485,"Semana 1",IFERROR(INDEX('🔄 Rotação Duplas'!$D$8:$D$17,MATCH(D485,'🔄 Rotação Duplas'!$C$8:$C$17,0)),INDEX('🔄 Rotação Duplas'!$C$8:$C$17,MATCH(D485,'🔄 Rotação Duplas'!$D$8:$D$17,0))),"Semana 2",IFERROR(INDEX('🔄 Rotação Duplas'!$D$22:$D$31,MATCH(D485,'🔄 Rotação Duplas'!$C$22:$C$31,0)),INDEX('🔄 Rotação Duplas'!$C$22:$C$31,MATCH(D485,'🔄 Rotação Duplas'!$D$22:$D$31,0))),"Semana 3",IFERROR(INDEX('🔄 Rotação Duplas'!$D$36:$D$45,MATCH(D485,'🔄 Rotação Duplas'!$C$36:$C$45,0)),INDEX('🔄 Rotação Duplas'!$C$36:$C$45,MATCH(D485,'🔄 Rotação Duplas'!$D$36:$D$45,0))),"Semana 4",IFERROR(INDEX('🔄 Rotação Duplas'!$D$50:$D$59,MATCH(D485,'🔄 Rotação Duplas'!$C$50:$C$59,0)),INDEX('🔄 Rotação Duplas'!$C$50:$C$59,MATCH(D485,'🔄 Rotação Duplas'!$D$50:$D$59,0))),"Semana 5",IFERROR(INDEX('🔄 Rotação Duplas'!$D$64:$D$73,MATCH(D485,'🔄 Rotação Duplas'!$C$64:$C$73,0)),INDEX('🔄 Rotação Duplas'!$C$64:$C$73,MATCH(D485,'🔄 Rotação Duplas'!$D$64:$D$73,0))),"Semana 6",IFERROR(INDEX('🔄 Rotação Duplas'!$D$78:$D$87,MATCH(D485,'🔄 Rotação Duplas'!$C$78:$C$87,0)),INDEX('🔄 Rotação Duplas'!$C$78:$C$87,MATCH(D485,'🔄 Rotação Duplas'!$D$78:$D$87,0))),"Semana 7",IFERROR(INDEX('🔄 Rotação Duplas'!$D$92:$D$101,MATCH(D485,'🔄 Rotação Duplas'!$C$92:$C$101,0)),INDEX('🔄 Rotação Duplas'!$C$92:$C$101,MATCH(D485,'🔄 Rotação Duplas'!$D$92:$D$101,0))),"Semana 8",IFERROR(INDEX('🔄 Rotação Duplas'!$D$106:$D$115,MATCH(D485,'🔄 Rotação Duplas'!$C$106:$C$115,0)),INDEX('🔄 Rotação Duplas'!$C$106:$C$115,MATCH(D485,'🔄 Rotação Duplas'!$D$106:$D$115,0)))),""))</f>
        <v/>
      </c>
      <c r="T485">
        <f t="shared" si="40"/>
        <v>0</v>
      </c>
    </row>
    <row r="486" spans="2:20" ht="18" customHeight="1" x14ac:dyDescent="0.2">
      <c r="B486" s="85" t="s">
        <v>109</v>
      </c>
      <c r="C486" s="86" t="str">
        <f t="shared" si="41"/>
        <v>Desafio 24</v>
      </c>
      <c r="D486" s="87" t="str">
        <f>'⚙️ Configuração'!C49</f>
        <v>-</v>
      </c>
      <c r="E486" s="50">
        <v>0</v>
      </c>
      <c r="F486" s="50">
        <v>0</v>
      </c>
      <c r="G486" s="50">
        <v>0</v>
      </c>
      <c r="H486" s="50">
        <v>0</v>
      </c>
      <c r="I486" s="50">
        <v>0</v>
      </c>
      <c r="J486" s="89">
        <v>0</v>
      </c>
      <c r="K486" s="81">
        <f>(E486*'⚙️ Configuração'!$C$6+F486*'⚙️ Configuração'!$C$7+G486*'⚙️ Configuração'!$C$8+H486*'⚙️ Configuração'!$C$9+I486*'⚙️ Configuração'!$C$10+J486*'⚙️ Configuração'!$C$11)*IF(N486="S",2,1)</f>
        <v>0</v>
      </c>
      <c r="L486" s="90" t="s">
        <v>167</v>
      </c>
      <c r="M486" s="82">
        <f>IF(L486="AT1",'⚙️ Configuração'!$C$14,IF(L486="AT2",'⚙️ Configuração'!$C$15,IF(L486="FI",'⚙️ Configuração'!$C$16,IF(L486="FJ",'⚙️ Configuração'!$C$17,0))))</f>
        <v>0</v>
      </c>
      <c r="N486" s="91" t="s">
        <v>167</v>
      </c>
      <c r="O486" s="92"/>
      <c r="P486" s="83">
        <f>IF(O486="1",'⚙️ Configuração'!$C$21,IF(O486="2",'⚙️ Configuração'!$C$22,IF(O486="3",'⚙️ Configuração'!$C$23,IF(O486="Outro",'⚙️ Configuração'!$C$24,0))))</f>
        <v>0</v>
      </c>
      <c r="Q486" s="84">
        <f t="shared" si="39"/>
        <v>0</v>
      </c>
      <c r="R486" s="40" t="str">
        <f t="shared" si="22"/>
        <v>Semana 1 — ver 🔄</v>
      </c>
      <c r="S486" t="str" cm="1">
        <f t="array" ref="S486">IF(D486="","",IFERROR(_xlfn.SWITCH(B486,"Semana 1",IFERROR(INDEX('🔄 Rotação Duplas'!$D$8:$D$17,MATCH(D486,'🔄 Rotação Duplas'!$C$8:$C$17,0)),INDEX('🔄 Rotação Duplas'!$C$8:$C$17,MATCH(D486,'🔄 Rotação Duplas'!$D$8:$D$17,0))),"Semana 2",IFERROR(INDEX('🔄 Rotação Duplas'!$D$22:$D$31,MATCH(D486,'🔄 Rotação Duplas'!$C$22:$C$31,0)),INDEX('🔄 Rotação Duplas'!$C$22:$C$31,MATCH(D486,'🔄 Rotação Duplas'!$D$22:$D$31,0))),"Semana 3",IFERROR(INDEX('🔄 Rotação Duplas'!$D$36:$D$45,MATCH(D486,'🔄 Rotação Duplas'!$C$36:$C$45,0)),INDEX('🔄 Rotação Duplas'!$C$36:$C$45,MATCH(D486,'🔄 Rotação Duplas'!$D$36:$D$45,0))),"Semana 4",IFERROR(INDEX('🔄 Rotação Duplas'!$D$50:$D$59,MATCH(D486,'🔄 Rotação Duplas'!$C$50:$C$59,0)),INDEX('🔄 Rotação Duplas'!$C$50:$C$59,MATCH(D486,'🔄 Rotação Duplas'!$D$50:$D$59,0))),"Semana 5",IFERROR(INDEX('🔄 Rotação Duplas'!$D$64:$D$73,MATCH(D486,'🔄 Rotação Duplas'!$C$64:$C$73,0)),INDEX('🔄 Rotação Duplas'!$C$64:$C$73,MATCH(D486,'🔄 Rotação Duplas'!$D$64:$D$73,0))),"Semana 6",IFERROR(INDEX('🔄 Rotação Duplas'!$D$78:$D$87,MATCH(D486,'🔄 Rotação Duplas'!$C$78:$C$87,0)),INDEX('🔄 Rotação Duplas'!$C$78:$C$87,MATCH(D486,'🔄 Rotação Duplas'!$D$78:$D$87,0))),"Semana 7",IFERROR(INDEX('🔄 Rotação Duplas'!$D$92:$D$101,MATCH(D486,'🔄 Rotação Duplas'!$C$92:$C$101,0)),INDEX('🔄 Rotação Duplas'!$C$92:$C$101,MATCH(D486,'🔄 Rotação Duplas'!$D$92:$D$101,0))),"Semana 8",IFERROR(INDEX('🔄 Rotação Duplas'!$D$106:$D$115,MATCH(D486,'🔄 Rotação Duplas'!$C$106:$C$115,0)),INDEX('🔄 Rotação Duplas'!$C$106:$C$115,MATCH(D486,'🔄 Rotação Duplas'!$D$106:$D$115,0)))),""))</f>
        <v/>
      </c>
      <c r="T486">
        <f t="shared" si="40"/>
        <v>0</v>
      </c>
    </row>
    <row r="487" spans="2:20" ht="18" customHeight="1" x14ac:dyDescent="0.2">
      <c r="B487" s="78" t="s">
        <v>119</v>
      </c>
      <c r="C487" s="79" t="str">
        <f t="shared" ref="C487:C506" si="42">"Desafio 25"</f>
        <v>Desafio 25</v>
      </c>
      <c r="D487" s="80" t="str">
        <f>'⚙️ Configuração'!C30</f>
        <v>Carla Cantante</v>
      </c>
      <c r="E487" s="50">
        <v>0</v>
      </c>
      <c r="F487" s="50">
        <v>0</v>
      </c>
      <c r="G487" s="50">
        <v>0</v>
      </c>
      <c r="H487" s="50">
        <v>0</v>
      </c>
      <c r="I487" s="50">
        <v>0</v>
      </c>
      <c r="J487" s="89">
        <v>0</v>
      </c>
      <c r="K487" s="81">
        <f>(E487*'⚙️ Configuração'!$C$6+F487*'⚙️ Configuração'!$C$7+G487*'⚙️ Configuração'!$C$8+H487*'⚙️ Configuração'!$C$9+I487*'⚙️ Configuração'!$C$10+J487*'⚙️ Configuração'!$C$11)*IF(N487="S",2,1)</f>
        <v>0</v>
      </c>
      <c r="L487" s="90" t="s">
        <v>167</v>
      </c>
      <c r="M487" s="82">
        <f>IF(L487="AT1",'⚙️ Configuração'!$C$14,IF(L487="AT2",'⚙️ Configuração'!$C$15,IF(L487="FI",'⚙️ Configuração'!$C$16,IF(L487="FJ",'⚙️ Configuração'!$C$17,0))))</f>
        <v>0</v>
      </c>
      <c r="N487" s="91" t="s">
        <v>167</v>
      </c>
      <c r="O487" s="92"/>
      <c r="P487" s="83">
        <f>IF(O487="1",'⚙️ Configuração'!$C$21,IF(O487="2",'⚙️ Configuração'!$C$22,IF(O487="3",'⚙️ Configuração'!$C$23,IF(O487="Outro",'⚙️ Configuração'!$C$24,0))))</f>
        <v>0</v>
      </c>
      <c r="Q487" s="84">
        <f t="shared" si="39"/>
        <v>0</v>
      </c>
      <c r="R487" s="40" t="str">
        <f t="shared" si="22"/>
        <v>Semana 1 — ver 🔄</v>
      </c>
      <c r="S487" t="str" cm="1">
        <f t="array" ref="S487">IF(D487="","",IFERROR(_xlfn.SWITCH(B487,"Semana 1",IFERROR(INDEX('🔄 Rotação Duplas'!$D$8:$D$17,MATCH(D487,'🔄 Rotação Duplas'!$C$8:$C$17,0)),INDEX('🔄 Rotação Duplas'!$C$8:$C$17,MATCH(D487,'🔄 Rotação Duplas'!$D$8:$D$17,0))),"Semana 2",IFERROR(INDEX('🔄 Rotação Duplas'!$D$22:$D$31,MATCH(D487,'🔄 Rotação Duplas'!$C$22:$C$31,0)),INDEX('🔄 Rotação Duplas'!$C$22:$C$31,MATCH(D487,'🔄 Rotação Duplas'!$D$22:$D$31,0))),"Semana 3",IFERROR(INDEX('🔄 Rotação Duplas'!$D$36:$D$45,MATCH(D487,'🔄 Rotação Duplas'!$C$36:$C$45,0)),INDEX('🔄 Rotação Duplas'!$C$36:$C$45,MATCH(D487,'🔄 Rotação Duplas'!$D$36:$D$45,0))),"Semana 4",IFERROR(INDEX('🔄 Rotação Duplas'!$D$50:$D$59,MATCH(D487,'🔄 Rotação Duplas'!$C$50:$C$59,0)),INDEX('🔄 Rotação Duplas'!$C$50:$C$59,MATCH(D487,'🔄 Rotação Duplas'!$D$50:$D$59,0))),"Semana 5",IFERROR(INDEX('🔄 Rotação Duplas'!$D$64:$D$73,MATCH(D487,'🔄 Rotação Duplas'!$C$64:$C$73,0)),INDEX('🔄 Rotação Duplas'!$C$64:$C$73,MATCH(D487,'🔄 Rotação Duplas'!$D$64:$D$73,0))),"Semana 6",IFERROR(INDEX('🔄 Rotação Duplas'!$D$78:$D$87,MATCH(D487,'🔄 Rotação Duplas'!$C$78:$C$87,0)),INDEX('🔄 Rotação Duplas'!$C$78:$C$87,MATCH(D487,'🔄 Rotação Duplas'!$D$78:$D$87,0))),"Semana 7",IFERROR(INDEX('🔄 Rotação Duplas'!$D$92:$D$101,MATCH(D487,'🔄 Rotação Duplas'!$C$92:$C$101,0)),INDEX('🔄 Rotação Duplas'!$C$92:$C$101,MATCH(D487,'🔄 Rotação Duplas'!$D$92:$D$101,0))),"Semana 8",IFERROR(INDEX('🔄 Rotação Duplas'!$D$106:$D$115,MATCH(D487,'🔄 Rotação Duplas'!$C$106:$C$115,0)),INDEX('🔄 Rotação Duplas'!$C$106:$C$115,MATCH(D487,'🔄 Rotação Duplas'!$D$106:$D$115,0)))),""))</f>
        <v/>
      </c>
      <c r="T487">
        <f t="shared" si="40"/>
        <v>0</v>
      </c>
    </row>
    <row r="488" spans="2:20" ht="18" customHeight="1" x14ac:dyDescent="0.2">
      <c r="B488" s="85" t="s">
        <v>119</v>
      </c>
      <c r="C488" s="86" t="str">
        <f t="shared" si="42"/>
        <v>Desafio 25</v>
      </c>
      <c r="D488" s="87" t="str">
        <f>'⚙️ Configuração'!C31</f>
        <v>Elisabete Mendes</v>
      </c>
      <c r="E488" s="50">
        <v>0</v>
      </c>
      <c r="F488" s="50">
        <v>0</v>
      </c>
      <c r="G488" s="50">
        <v>0</v>
      </c>
      <c r="H488" s="50">
        <v>0</v>
      </c>
      <c r="I488" s="50">
        <v>0</v>
      </c>
      <c r="J488" s="89">
        <v>0</v>
      </c>
      <c r="K488" s="81">
        <f>(E488*'⚙️ Configuração'!$C$6+F488*'⚙️ Configuração'!$C$7+G488*'⚙️ Configuração'!$C$8+H488*'⚙️ Configuração'!$C$9+I488*'⚙️ Configuração'!$C$10+J488*'⚙️ Configuração'!$C$11)*IF(N488="S",2,1)</f>
        <v>0</v>
      </c>
      <c r="L488" s="90" t="s">
        <v>167</v>
      </c>
      <c r="M488" s="82">
        <f>IF(L488="AT1",'⚙️ Configuração'!$C$14,IF(L488="AT2",'⚙️ Configuração'!$C$15,IF(L488="FI",'⚙️ Configuração'!$C$16,IF(L488="FJ",'⚙️ Configuração'!$C$17,0))))</f>
        <v>0</v>
      </c>
      <c r="N488" s="91" t="s">
        <v>167</v>
      </c>
      <c r="O488" s="92"/>
      <c r="P488" s="83">
        <f>IF(O488="1",'⚙️ Configuração'!$C$21,IF(O488="2",'⚙️ Configuração'!$C$22,IF(O488="3",'⚙️ Configuração'!$C$23,IF(O488="Outro",'⚙️ Configuração'!$C$24,0))))</f>
        <v>0</v>
      </c>
      <c r="Q488" s="84">
        <f t="shared" si="39"/>
        <v>0</v>
      </c>
      <c r="R488" s="40" t="str">
        <f t="shared" si="22"/>
        <v>Semana 1 — ver 🔄</v>
      </c>
      <c r="S488" t="str" cm="1">
        <f t="array" ref="S488">IF(D488="","",IFERROR(_xlfn.SWITCH(B488,"Semana 1",IFERROR(INDEX('🔄 Rotação Duplas'!$D$8:$D$17,MATCH(D488,'🔄 Rotação Duplas'!$C$8:$C$17,0)),INDEX('🔄 Rotação Duplas'!$C$8:$C$17,MATCH(D488,'🔄 Rotação Duplas'!$D$8:$D$17,0))),"Semana 2",IFERROR(INDEX('🔄 Rotação Duplas'!$D$22:$D$31,MATCH(D488,'🔄 Rotação Duplas'!$C$22:$C$31,0)),INDEX('🔄 Rotação Duplas'!$C$22:$C$31,MATCH(D488,'🔄 Rotação Duplas'!$D$22:$D$31,0))),"Semana 3",IFERROR(INDEX('🔄 Rotação Duplas'!$D$36:$D$45,MATCH(D488,'🔄 Rotação Duplas'!$C$36:$C$45,0)),INDEX('🔄 Rotação Duplas'!$C$36:$C$45,MATCH(D488,'🔄 Rotação Duplas'!$D$36:$D$45,0))),"Semana 4",IFERROR(INDEX('🔄 Rotação Duplas'!$D$50:$D$59,MATCH(D488,'🔄 Rotação Duplas'!$C$50:$C$59,0)),INDEX('🔄 Rotação Duplas'!$C$50:$C$59,MATCH(D488,'🔄 Rotação Duplas'!$D$50:$D$59,0))),"Semana 5",IFERROR(INDEX('🔄 Rotação Duplas'!$D$64:$D$73,MATCH(D488,'🔄 Rotação Duplas'!$C$64:$C$73,0)),INDEX('🔄 Rotação Duplas'!$C$64:$C$73,MATCH(D488,'🔄 Rotação Duplas'!$D$64:$D$73,0))),"Semana 6",IFERROR(INDEX('🔄 Rotação Duplas'!$D$78:$D$87,MATCH(D488,'🔄 Rotação Duplas'!$C$78:$C$87,0)),INDEX('🔄 Rotação Duplas'!$C$78:$C$87,MATCH(D488,'🔄 Rotação Duplas'!$D$78:$D$87,0))),"Semana 7",IFERROR(INDEX('🔄 Rotação Duplas'!$D$92:$D$101,MATCH(D488,'🔄 Rotação Duplas'!$C$92:$C$101,0)),INDEX('🔄 Rotação Duplas'!$C$92:$C$101,MATCH(D488,'🔄 Rotação Duplas'!$D$92:$D$101,0))),"Semana 8",IFERROR(INDEX('🔄 Rotação Duplas'!$D$106:$D$115,MATCH(D488,'🔄 Rotação Duplas'!$C$106:$C$115,0)),INDEX('🔄 Rotação Duplas'!$C$106:$C$115,MATCH(D488,'🔄 Rotação Duplas'!$D$106:$D$115,0)))),""))</f>
        <v/>
      </c>
      <c r="T488">
        <f t="shared" si="40"/>
        <v>0</v>
      </c>
    </row>
    <row r="489" spans="2:20" ht="18" customHeight="1" x14ac:dyDescent="0.2">
      <c r="B489" s="78" t="s">
        <v>119</v>
      </c>
      <c r="C489" s="79" t="str">
        <f t="shared" si="42"/>
        <v>Desafio 25</v>
      </c>
      <c r="D489" s="80" t="str">
        <f>'⚙️ Configuração'!C32</f>
        <v>Filipa Cunha</v>
      </c>
      <c r="E489" s="50">
        <v>0</v>
      </c>
      <c r="F489" s="50">
        <v>0</v>
      </c>
      <c r="G489" s="50">
        <v>0</v>
      </c>
      <c r="H489" s="50">
        <v>0</v>
      </c>
      <c r="I489" s="50">
        <v>0</v>
      </c>
      <c r="J489" s="89">
        <v>0</v>
      </c>
      <c r="K489" s="81">
        <f>(E489*'⚙️ Configuração'!$C$6+F489*'⚙️ Configuração'!$C$7+G489*'⚙️ Configuração'!$C$8+H489*'⚙️ Configuração'!$C$9+I489*'⚙️ Configuração'!$C$10+J489*'⚙️ Configuração'!$C$11)*IF(N489="S",2,1)</f>
        <v>0</v>
      </c>
      <c r="L489" s="90" t="s">
        <v>167</v>
      </c>
      <c r="M489" s="82">
        <f>IF(L489="AT1",'⚙️ Configuração'!$C$14,IF(L489="AT2",'⚙️ Configuração'!$C$15,IF(L489="FI",'⚙️ Configuração'!$C$16,IF(L489="FJ",'⚙️ Configuração'!$C$17,0))))</f>
        <v>0</v>
      </c>
      <c r="N489" s="91" t="s">
        <v>167</v>
      </c>
      <c r="O489" s="92"/>
      <c r="P489" s="83">
        <f>IF(O489="1",'⚙️ Configuração'!$C$21,IF(O489="2",'⚙️ Configuração'!$C$22,IF(O489="3",'⚙️ Configuração'!$C$23,IF(O489="Outro",'⚙️ Configuração'!$C$24,0))))</f>
        <v>0</v>
      </c>
      <c r="Q489" s="84">
        <f t="shared" si="39"/>
        <v>0</v>
      </c>
      <c r="R489" s="40" t="str">
        <f t="shared" si="22"/>
        <v>Semana 1 — ver 🔄</v>
      </c>
      <c r="S489" t="str" cm="1">
        <f t="array" ref="S489">IF(D489="","",IFERROR(_xlfn.SWITCH(B489,"Semana 1",IFERROR(INDEX('🔄 Rotação Duplas'!$D$8:$D$17,MATCH(D489,'🔄 Rotação Duplas'!$C$8:$C$17,0)),INDEX('🔄 Rotação Duplas'!$C$8:$C$17,MATCH(D489,'🔄 Rotação Duplas'!$D$8:$D$17,0))),"Semana 2",IFERROR(INDEX('🔄 Rotação Duplas'!$D$22:$D$31,MATCH(D489,'🔄 Rotação Duplas'!$C$22:$C$31,0)),INDEX('🔄 Rotação Duplas'!$C$22:$C$31,MATCH(D489,'🔄 Rotação Duplas'!$D$22:$D$31,0))),"Semana 3",IFERROR(INDEX('🔄 Rotação Duplas'!$D$36:$D$45,MATCH(D489,'🔄 Rotação Duplas'!$C$36:$C$45,0)),INDEX('🔄 Rotação Duplas'!$C$36:$C$45,MATCH(D489,'🔄 Rotação Duplas'!$D$36:$D$45,0))),"Semana 4",IFERROR(INDEX('🔄 Rotação Duplas'!$D$50:$D$59,MATCH(D489,'🔄 Rotação Duplas'!$C$50:$C$59,0)),INDEX('🔄 Rotação Duplas'!$C$50:$C$59,MATCH(D489,'🔄 Rotação Duplas'!$D$50:$D$59,0))),"Semana 5",IFERROR(INDEX('🔄 Rotação Duplas'!$D$64:$D$73,MATCH(D489,'🔄 Rotação Duplas'!$C$64:$C$73,0)),INDEX('🔄 Rotação Duplas'!$C$64:$C$73,MATCH(D489,'🔄 Rotação Duplas'!$D$64:$D$73,0))),"Semana 6",IFERROR(INDEX('🔄 Rotação Duplas'!$D$78:$D$87,MATCH(D489,'🔄 Rotação Duplas'!$C$78:$C$87,0)),INDEX('🔄 Rotação Duplas'!$C$78:$C$87,MATCH(D489,'🔄 Rotação Duplas'!$D$78:$D$87,0))),"Semana 7",IFERROR(INDEX('🔄 Rotação Duplas'!$D$92:$D$101,MATCH(D489,'🔄 Rotação Duplas'!$C$92:$C$101,0)),INDEX('🔄 Rotação Duplas'!$C$92:$C$101,MATCH(D489,'🔄 Rotação Duplas'!$D$92:$D$101,0))),"Semana 8",IFERROR(INDEX('🔄 Rotação Duplas'!$D$106:$D$115,MATCH(D489,'🔄 Rotação Duplas'!$C$106:$C$115,0)),INDEX('🔄 Rotação Duplas'!$C$106:$C$115,MATCH(D489,'🔄 Rotação Duplas'!$D$106:$D$115,0)))),""))</f>
        <v/>
      </c>
      <c r="T489">
        <f t="shared" si="40"/>
        <v>0</v>
      </c>
    </row>
    <row r="490" spans="2:20" ht="18" customHeight="1" x14ac:dyDescent="0.2">
      <c r="B490" s="85" t="s">
        <v>119</v>
      </c>
      <c r="C490" s="86" t="str">
        <f t="shared" si="42"/>
        <v>Desafio 25</v>
      </c>
      <c r="D490" s="87" t="str">
        <f>'⚙️ Configuração'!C33</f>
        <v>Helena Rocha</v>
      </c>
      <c r="E490" s="50">
        <v>0</v>
      </c>
      <c r="F490" s="50">
        <v>0</v>
      </c>
      <c r="G490" s="50">
        <v>0</v>
      </c>
      <c r="H490" s="50">
        <v>0</v>
      </c>
      <c r="I490" s="50">
        <v>0</v>
      </c>
      <c r="J490" s="89">
        <v>0</v>
      </c>
      <c r="K490" s="81">
        <f>(E490*'⚙️ Configuração'!$C$6+F490*'⚙️ Configuração'!$C$7+G490*'⚙️ Configuração'!$C$8+H490*'⚙️ Configuração'!$C$9+I490*'⚙️ Configuração'!$C$10+J490*'⚙️ Configuração'!$C$11)*IF(N490="S",2,1)</f>
        <v>0</v>
      </c>
      <c r="L490" s="90" t="s">
        <v>167</v>
      </c>
      <c r="M490" s="82">
        <f>IF(L490="AT1",'⚙️ Configuração'!$C$14,IF(L490="AT2",'⚙️ Configuração'!$C$15,IF(L490="FI",'⚙️ Configuração'!$C$16,IF(L490="FJ",'⚙️ Configuração'!$C$17,0))))</f>
        <v>0</v>
      </c>
      <c r="N490" s="91" t="s">
        <v>167</v>
      </c>
      <c r="O490" s="92"/>
      <c r="P490" s="83">
        <f>IF(O490="1",'⚙️ Configuração'!$C$21,IF(O490="2",'⚙️ Configuração'!$C$22,IF(O490="3",'⚙️ Configuração'!$C$23,IF(O490="Outro",'⚙️ Configuração'!$C$24,0))))</f>
        <v>0</v>
      </c>
      <c r="Q490" s="84">
        <f t="shared" si="39"/>
        <v>0</v>
      </c>
      <c r="R490" s="40" t="str">
        <f t="shared" si="22"/>
        <v>Semana 1 — ver 🔄</v>
      </c>
      <c r="S490" t="str" cm="1">
        <f t="array" ref="S490">IF(D490="","",IFERROR(_xlfn.SWITCH(B490,"Semana 1",IFERROR(INDEX('🔄 Rotação Duplas'!$D$8:$D$17,MATCH(D490,'🔄 Rotação Duplas'!$C$8:$C$17,0)),INDEX('🔄 Rotação Duplas'!$C$8:$C$17,MATCH(D490,'🔄 Rotação Duplas'!$D$8:$D$17,0))),"Semana 2",IFERROR(INDEX('🔄 Rotação Duplas'!$D$22:$D$31,MATCH(D490,'🔄 Rotação Duplas'!$C$22:$C$31,0)),INDEX('🔄 Rotação Duplas'!$C$22:$C$31,MATCH(D490,'🔄 Rotação Duplas'!$D$22:$D$31,0))),"Semana 3",IFERROR(INDEX('🔄 Rotação Duplas'!$D$36:$D$45,MATCH(D490,'🔄 Rotação Duplas'!$C$36:$C$45,0)),INDEX('🔄 Rotação Duplas'!$C$36:$C$45,MATCH(D490,'🔄 Rotação Duplas'!$D$36:$D$45,0))),"Semana 4",IFERROR(INDEX('🔄 Rotação Duplas'!$D$50:$D$59,MATCH(D490,'🔄 Rotação Duplas'!$C$50:$C$59,0)),INDEX('🔄 Rotação Duplas'!$C$50:$C$59,MATCH(D490,'🔄 Rotação Duplas'!$D$50:$D$59,0))),"Semana 5",IFERROR(INDEX('🔄 Rotação Duplas'!$D$64:$D$73,MATCH(D490,'🔄 Rotação Duplas'!$C$64:$C$73,0)),INDEX('🔄 Rotação Duplas'!$C$64:$C$73,MATCH(D490,'🔄 Rotação Duplas'!$D$64:$D$73,0))),"Semana 6",IFERROR(INDEX('🔄 Rotação Duplas'!$D$78:$D$87,MATCH(D490,'🔄 Rotação Duplas'!$C$78:$C$87,0)),INDEX('🔄 Rotação Duplas'!$C$78:$C$87,MATCH(D490,'🔄 Rotação Duplas'!$D$78:$D$87,0))),"Semana 7",IFERROR(INDEX('🔄 Rotação Duplas'!$D$92:$D$101,MATCH(D490,'🔄 Rotação Duplas'!$C$92:$C$101,0)),INDEX('🔄 Rotação Duplas'!$C$92:$C$101,MATCH(D490,'🔄 Rotação Duplas'!$D$92:$D$101,0))),"Semana 8",IFERROR(INDEX('🔄 Rotação Duplas'!$D$106:$D$115,MATCH(D490,'🔄 Rotação Duplas'!$C$106:$C$115,0)),INDEX('🔄 Rotação Duplas'!$C$106:$C$115,MATCH(D490,'🔄 Rotação Duplas'!$D$106:$D$115,0)))),""))</f>
        <v/>
      </c>
      <c r="T490">
        <f t="shared" si="40"/>
        <v>0</v>
      </c>
    </row>
    <row r="491" spans="2:20" ht="18" customHeight="1" x14ac:dyDescent="0.2">
      <c r="B491" s="78" t="s">
        <v>119</v>
      </c>
      <c r="C491" s="79" t="str">
        <f t="shared" si="42"/>
        <v>Desafio 25</v>
      </c>
      <c r="D491" s="80" t="str">
        <f>'⚙️ Configuração'!C34</f>
        <v>João Xavier</v>
      </c>
      <c r="E491" s="50">
        <v>0</v>
      </c>
      <c r="F491" s="50">
        <v>0</v>
      </c>
      <c r="G491" s="50">
        <v>0</v>
      </c>
      <c r="H491" s="50">
        <v>0</v>
      </c>
      <c r="I491" s="50">
        <v>0</v>
      </c>
      <c r="J491" s="89">
        <v>0</v>
      </c>
      <c r="K491" s="81">
        <f>(E491*'⚙️ Configuração'!$C$6+F491*'⚙️ Configuração'!$C$7+G491*'⚙️ Configuração'!$C$8+H491*'⚙️ Configuração'!$C$9+I491*'⚙️ Configuração'!$C$10+J491*'⚙️ Configuração'!$C$11)*IF(N491="S",2,1)</f>
        <v>0</v>
      </c>
      <c r="L491" s="90" t="s">
        <v>167</v>
      </c>
      <c r="M491" s="82">
        <f>IF(L491="AT1",'⚙️ Configuração'!$C$14,IF(L491="AT2",'⚙️ Configuração'!$C$15,IF(L491="FI",'⚙️ Configuração'!$C$16,IF(L491="FJ",'⚙️ Configuração'!$C$17,0))))</f>
        <v>0</v>
      </c>
      <c r="N491" s="91" t="s">
        <v>167</v>
      </c>
      <c r="O491" s="92"/>
      <c r="P491" s="83">
        <f>IF(O491="1",'⚙️ Configuração'!$C$21,IF(O491="2",'⚙️ Configuração'!$C$22,IF(O491="3",'⚙️ Configuração'!$C$23,IF(O491="Outro",'⚙️ Configuração'!$C$24,0))))</f>
        <v>0</v>
      </c>
      <c r="Q491" s="84">
        <f t="shared" si="39"/>
        <v>0</v>
      </c>
      <c r="R491" s="40" t="str">
        <f t="shared" si="22"/>
        <v>Semana 1 — ver 🔄</v>
      </c>
      <c r="S491" t="str" cm="1">
        <f t="array" ref="S491">IF(D491="","",IFERROR(_xlfn.SWITCH(B491,"Semana 1",IFERROR(INDEX('🔄 Rotação Duplas'!$D$8:$D$17,MATCH(D491,'🔄 Rotação Duplas'!$C$8:$C$17,0)),INDEX('🔄 Rotação Duplas'!$C$8:$C$17,MATCH(D491,'🔄 Rotação Duplas'!$D$8:$D$17,0))),"Semana 2",IFERROR(INDEX('🔄 Rotação Duplas'!$D$22:$D$31,MATCH(D491,'🔄 Rotação Duplas'!$C$22:$C$31,0)),INDEX('🔄 Rotação Duplas'!$C$22:$C$31,MATCH(D491,'🔄 Rotação Duplas'!$D$22:$D$31,0))),"Semana 3",IFERROR(INDEX('🔄 Rotação Duplas'!$D$36:$D$45,MATCH(D491,'🔄 Rotação Duplas'!$C$36:$C$45,0)),INDEX('🔄 Rotação Duplas'!$C$36:$C$45,MATCH(D491,'🔄 Rotação Duplas'!$D$36:$D$45,0))),"Semana 4",IFERROR(INDEX('🔄 Rotação Duplas'!$D$50:$D$59,MATCH(D491,'🔄 Rotação Duplas'!$C$50:$C$59,0)),INDEX('🔄 Rotação Duplas'!$C$50:$C$59,MATCH(D491,'🔄 Rotação Duplas'!$D$50:$D$59,0))),"Semana 5",IFERROR(INDEX('🔄 Rotação Duplas'!$D$64:$D$73,MATCH(D491,'🔄 Rotação Duplas'!$C$64:$C$73,0)),INDEX('🔄 Rotação Duplas'!$C$64:$C$73,MATCH(D491,'🔄 Rotação Duplas'!$D$64:$D$73,0))),"Semana 6",IFERROR(INDEX('🔄 Rotação Duplas'!$D$78:$D$87,MATCH(D491,'🔄 Rotação Duplas'!$C$78:$C$87,0)),INDEX('🔄 Rotação Duplas'!$C$78:$C$87,MATCH(D491,'🔄 Rotação Duplas'!$D$78:$D$87,0))),"Semana 7",IFERROR(INDEX('🔄 Rotação Duplas'!$D$92:$D$101,MATCH(D491,'🔄 Rotação Duplas'!$C$92:$C$101,0)),INDEX('🔄 Rotação Duplas'!$C$92:$C$101,MATCH(D491,'🔄 Rotação Duplas'!$D$92:$D$101,0))),"Semana 8",IFERROR(INDEX('🔄 Rotação Duplas'!$D$106:$D$115,MATCH(D491,'🔄 Rotação Duplas'!$C$106:$C$115,0)),INDEX('🔄 Rotação Duplas'!$C$106:$C$115,MATCH(D491,'🔄 Rotação Duplas'!$D$106:$D$115,0)))),""))</f>
        <v/>
      </c>
      <c r="T491">
        <f t="shared" si="40"/>
        <v>0</v>
      </c>
    </row>
    <row r="492" spans="2:20" ht="18" customHeight="1" x14ac:dyDescent="0.2">
      <c r="B492" s="85" t="s">
        <v>119</v>
      </c>
      <c r="C492" s="86" t="str">
        <f t="shared" si="42"/>
        <v>Desafio 25</v>
      </c>
      <c r="D492" s="87" t="str">
        <f>'⚙️ Configuração'!C35</f>
        <v>Tomás Carlos</v>
      </c>
      <c r="E492" s="50">
        <v>0</v>
      </c>
      <c r="F492" s="50">
        <v>0</v>
      </c>
      <c r="G492" s="50">
        <v>0</v>
      </c>
      <c r="H492" s="50">
        <v>0</v>
      </c>
      <c r="I492" s="50">
        <v>0</v>
      </c>
      <c r="J492" s="89">
        <v>0</v>
      </c>
      <c r="K492" s="81">
        <f>(E492*'⚙️ Configuração'!$C$6+F492*'⚙️ Configuração'!$C$7+G492*'⚙️ Configuração'!$C$8+H492*'⚙️ Configuração'!$C$9+I492*'⚙️ Configuração'!$C$10+J492*'⚙️ Configuração'!$C$11)*IF(N492="S",2,1)</f>
        <v>0</v>
      </c>
      <c r="L492" s="90" t="s">
        <v>167</v>
      </c>
      <c r="M492" s="82">
        <f>IF(L492="AT1",'⚙️ Configuração'!$C$14,IF(L492="AT2",'⚙️ Configuração'!$C$15,IF(L492="FI",'⚙️ Configuração'!$C$16,IF(L492="FJ",'⚙️ Configuração'!$C$17,0))))</f>
        <v>0</v>
      </c>
      <c r="N492" s="91" t="s">
        <v>167</v>
      </c>
      <c r="O492" s="92"/>
      <c r="P492" s="83">
        <f>IF(O492="1",'⚙️ Configuração'!$C$21,IF(O492="2",'⚙️ Configuração'!$C$22,IF(O492="3",'⚙️ Configuração'!$C$23,IF(O492="Outro",'⚙️ Configuração'!$C$24,0))))</f>
        <v>0</v>
      </c>
      <c r="Q492" s="84">
        <f t="shared" si="39"/>
        <v>0</v>
      </c>
      <c r="R492" s="40" t="str">
        <f t="shared" si="22"/>
        <v>Semana 1 — ver 🔄</v>
      </c>
      <c r="S492" t="str" cm="1">
        <f t="array" ref="S492">IF(D492="","",IFERROR(_xlfn.SWITCH(B492,"Semana 1",IFERROR(INDEX('🔄 Rotação Duplas'!$D$8:$D$17,MATCH(D492,'🔄 Rotação Duplas'!$C$8:$C$17,0)),INDEX('🔄 Rotação Duplas'!$C$8:$C$17,MATCH(D492,'🔄 Rotação Duplas'!$D$8:$D$17,0))),"Semana 2",IFERROR(INDEX('🔄 Rotação Duplas'!$D$22:$D$31,MATCH(D492,'🔄 Rotação Duplas'!$C$22:$C$31,0)),INDEX('🔄 Rotação Duplas'!$C$22:$C$31,MATCH(D492,'🔄 Rotação Duplas'!$D$22:$D$31,0))),"Semana 3",IFERROR(INDEX('🔄 Rotação Duplas'!$D$36:$D$45,MATCH(D492,'🔄 Rotação Duplas'!$C$36:$C$45,0)),INDEX('🔄 Rotação Duplas'!$C$36:$C$45,MATCH(D492,'🔄 Rotação Duplas'!$D$36:$D$45,0))),"Semana 4",IFERROR(INDEX('🔄 Rotação Duplas'!$D$50:$D$59,MATCH(D492,'🔄 Rotação Duplas'!$C$50:$C$59,0)),INDEX('🔄 Rotação Duplas'!$C$50:$C$59,MATCH(D492,'🔄 Rotação Duplas'!$D$50:$D$59,0))),"Semana 5",IFERROR(INDEX('🔄 Rotação Duplas'!$D$64:$D$73,MATCH(D492,'🔄 Rotação Duplas'!$C$64:$C$73,0)),INDEX('🔄 Rotação Duplas'!$C$64:$C$73,MATCH(D492,'🔄 Rotação Duplas'!$D$64:$D$73,0))),"Semana 6",IFERROR(INDEX('🔄 Rotação Duplas'!$D$78:$D$87,MATCH(D492,'🔄 Rotação Duplas'!$C$78:$C$87,0)),INDEX('🔄 Rotação Duplas'!$C$78:$C$87,MATCH(D492,'🔄 Rotação Duplas'!$D$78:$D$87,0))),"Semana 7",IFERROR(INDEX('🔄 Rotação Duplas'!$D$92:$D$101,MATCH(D492,'🔄 Rotação Duplas'!$C$92:$C$101,0)),INDEX('🔄 Rotação Duplas'!$C$92:$C$101,MATCH(D492,'🔄 Rotação Duplas'!$D$92:$D$101,0))),"Semana 8",IFERROR(INDEX('🔄 Rotação Duplas'!$D$106:$D$115,MATCH(D492,'🔄 Rotação Duplas'!$C$106:$C$115,0)),INDEX('🔄 Rotação Duplas'!$C$106:$C$115,MATCH(D492,'🔄 Rotação Duplas'!$D$106:$D$115,0)))),""))</f>
        <v/>
      </c>
      <c r="T492">
        <f t="shared" si="40"/>
        <v>0</v>
      </c>
    </row>
    <row r="493" spans="2:20" ht="18" customHeight="1" x14ac:dyDescent="0.2">
      <c r="B493" s="78" t="s">
        <v>119</v>
      </c>
      <c r="C493" s="79" t="str">
        <f t="shared" si="42"/>
        <v>Desafio 25</v>
      </c>
      <c r="D493" s="80" t="str">
        <f>'⚙️ Configuração'!C36</f>
        <v>Alexandra Correia</v>
      </c>
      <c r="E493" s="50">
        <v>0</v>
      </c>
      <c r="F493" s="50">
        <v>0</v>
      </c>
      <c r="G493" s="50">
        <v>0</v>
      </c>
      <c r="H493" s="50">
        <v>0</v>
      </c>
      <c r="I493" s="50">
        <v>0</v>
      </c>
      <c r="J493" s="89">
        <v>0</v>
      </c>
      <c r="K493" s="81">
        <f>(E493*'⚙️ Configuração'!$C$6+F493*'⚙️ Configuração'!$C$7+G493*'⚙️ Configuração'!$C$8+H493*'⚙️ Configuração'!$C$9+I493*'⚙️ Configuração'!$C$10+J493*'⚙️ Configuração'!$C$11)*IF(N493="S",2,1)</f>
        <v>0</v>
      </c>
      <c r="L493" s="90" t="s">
        <v>167</v>
      </c>
      <c r="M493" s="82">
        <f>IF(L493="AT1",'⚙️ Configuração'!$C$14,IF(L493="AT2",'⚙️ Configuração'!$C$15,IF(L493="FI",'⚙️ Configuração'!$C$16,IF(L493="FJ",'⚙️ Configuração'!$C$17,0))))</f>
        <v>0</v>
      </c>
      <c r="N493" s="91" t="s">
        <v>167</v>
      </c>
      <c r="O493" s="92"/>
      <c r="P493" s="83">
        <f>IF(O493="1",'⚙️ Configuração'!$C$21,IF(O493="2",'⚙️ Configuração'!$C$22,IF(O493="3",'⚙️ Configuração'!$C$23,IF(O493="Outro",'⚙️ Configuração'!$C$24,0))))</f>
        <v>0</v>
      </c>
      <c r="Q493" s="84">
        <f t="shared" si="39"/>
        <v>0</v>
      </c>
      <c r="R493" s="40" t="str">
        <f t="shared" si="22"/>
        <v>Semana 1 — ver 🔄</v>
      </c>
      <c r="S493" t="str" cm="1">
        <f t="array" ref="S493">IF(D493="","",IFERROR(_xlfn.SWITCH(B493,"Semana 1",IFERROR(INDEX('🔄 Rotação Duplas'!$D$8:$D$17,MATCH(D493,'🔄 Rotação Duplas'!$C$8:$C$17,0)),INDEX('🔄 Rotação Duplas'!$C$8:$C$17,MATCH(D493,'🔄 Rotação Duplas'!$D$8:$D$17,0))),"Semana 2",IFERROR(INDEX('🔄 Rotação Duplas'!$D$22:$D$31,MATCH(D493,'🔄 Rotação Duplas'!$C$22:$C$31,0)),INDEX('🔄 Rotação Duplas'!$C$22:$C$31,MATCH(D493,'🔄 Rotação Duplas'!$D$22:$D$31,0))),"Semana 3",IFERROR(INDEX('🔄 Rotação Duplas'!$D$36:$D$45,MATCH(D493,'🔄 Rotação Duplas'!$C$36:$C$45,0)),INDEX('🔄 Rotação Duplas'!$C$36:$C$45,MATCH(D493,'🔄 Rotação Duplas'!$D$36:$D$45,0))),"Semana 4",IFERROR(INDEX('🔄 Rotação Duplas'!$D$50:$D$59,MATCH(D493,'🔄 Rotação Duplas'!$C$50:$C$59,0)),INDEX('🔄 Rotação Duplas'!$C$50:$C$59,MATCH(D493,'🔄 Rotação Duplas'!$D$50:$D$59,0))),"Semana 5",IFERROR(INDEX('🔄 Rotação Duplas'!$D$64:$D$73,MATCH(D493,'🔄 Rotação Duplas'!$C$64:$C$73,0)),INDEX('🔄 Rotação Duplas'!$C$64:$C$73,MATCH(D493,'🔄 Rotação Duplas'!$D$64:$D$73,0))),"Semana 6",IFERROR(INDEX('🔄 Rotação Duplas'!$D$78:$D$87,MATCH(D493,'🔄 Rotação Duplas'!$C$78:$C$87,0)),INDEX('🔄 Rotação Duplas'!$C$78:$C$87,MATCH(D493,'🔄 Rotação Duplas'!$D$78:$D$87,0))),"Semana 7",IFERROR(INDEX('🔄 Rotação Duplas'!$D$92:$D$101,MATCH(D493,'🔄 Rotação Duplas'!$C$92:$C$101,0)),INDEX('🔄 Rotação Duplas'!$C$92:$C$101,MATCH(D493,'🔄 Rotação Duplas'!$D$92:$D$101,0))),"Semana 8",IFERROR(INDEX('🔄 Rotação Duplas'!$D$106:$D$115,MATCH(D493,'🔄 Rotação Duplas'!$C$106:$C$115,0)),INDEX('🔄 Rotação Duplas'!$C$106:$C$115,MATCH(D493,'🔄 Rotação Duplas'!$D$106:$D$115,0)))),""))</f>
        <v/>
      </c>
      <c r="T493">
        <f t="shared" si="40"/>
        <v>0</v>
      </c>
    </row>
    <row r="494" spans="2:20" ht="18" customHeight="1" x14ac:dyDescent="0.2">
      <c r="B494" s="85" t="s">
        <v>119</v>
      </c>
      <c r="C494" s="86" t="str">
        <f t="shared" si="42"/>
        <v>Desafio 25</v>
      </c>
      <c r="D494" s="87" t="str">
        <f>'⚙️ Configuração'!C37</f>
        <v>Carla Barata</v>
      </c>
      <c r="E494" s="50">
        <v>0</v>
      </c>
      <c r="F494" s="50">
        <v>0</v>
      </c>
      <c r="G494" s="50">
        <v>0</v>
      </c>
      <c r="H494" s="50">
        <v>0</v>
      </c>
      <c r="I494" s="50">
        <v>0</v>
      </c>
      <c r="J494" s="89">
        <v>0</v>
      </c>
      <c r="K494" s="81">
        <f>(E494*'⚙️ Configuração'!$C$6+F494*'⚙️ Configuração'!$C$7+G494*'⚙️ Configuração'!$C$8+H494*'⚙️ Configuração'!$C$9+I494*'⚙️ Configuração'!$C$10+J494*'⚙️ Configuração'!$C$11)*IF(N494="S",2,1)</f>
        <v>0</v>
      </c>
      <c r="L494" s="90" t="s">
        <v>167</v>
      </c>
      <c r="M494" s="82">
        <f>IF(L494="AT1",'⚙️ Configuração'!$C$14,IF(L494="AT2",'⚙️ Configuração'!$C$15,IF(L494="FI",'⚙️ Configuração'!$C$16,IF(L494="FJ",'⚙️ Configuração'!$C$17,0))))</f>
        <v>0</v>
      </c>
      <c r="N494" s="91" t="s">
        <v>167</v>
      </c>
      <c r="O494" s="92"/>
      <c r="P494" s="83">
        <f>IF(O494="1",'⚙️ Configuração'!$C$21,IF(O494="2",'⚙️ Configuração'!$C$22,IF(O494="3",'⚙️ Configuração'!$C$23,IF(O494="Outro",'⚙️ Configuração'!$C$24,0))))</f>
        <v>0</v>
      </c>
      <c r="Q494" s="84">
        <f t="shared" si="39"/>
        <v>0</v>
      </c>
      <c r="R494" s="40" t="str">
        <f t="shared" si="22"/>
        <v>Semana 1 — ver 🔄</v>
      </c>
      <c r="S494" t="str" cm="1">
        <f t="array" ref="S494">IF(D494="","",IFERROR(_xlfn.SWITCH(B494,"Semana 1",IFERROR(INDEX('🔄 Rotação Duplas'!$D$8:$D$17,MATCH(D494,'🔄 Rotação Duplas'!$C$8:$C$17,0)),INDEX('🔄 Rotação Duplas'!$C$8:$C$17,MATCH(D494,'🔄 Rotação Duplas'!$D$8:$D$17,0))),"Semana 2",IFERROR(INDEX('🔄 Rotação Duplas'!$D$22:$D$31,MATCH(D494,'🔄 Rotação Duplas'!$C$22:$C$31,0)),INDEX('🔄 Rotação Duplas'!$C$22:$C$31,MATCH(D494,'🔄 Rotação Duplas'!$D$22:$D$31,0))),"Semana 3",IFERROR(INDEX('🔄 Rotação Duplas'!$D$36:$D$45,MATCH(D494,'🔄 Rotação Duplas'!$C$36:$C$45,0)),INDEX('🔄 Rotação Duplas'!$C$36:$C$45,MATCH(D494,'🔄 Rotação Duplas'!$D$36:$D$45,0))),"Semana 4",IFERROR(INDEX('🔄 Rotação Duplas'!$D$50:$D$59,MATCH(D494,'🔄 Rotação Duplas'!$C$50:$C$59,0)),INDEX('🔄 Rotação Duplas'!$C$50:$C$59,MATCH(D494,'🔄 Rotação Duplas'!$D$50:$D$59,0))),"Semana 5",IFERROR(INDEX('🔄 Rotação Duplas'!$D$64:$D$73,MATCH(D494,'🔄 Rotação Duplas'!$C$64:$C$73,0)),INDEX('🔄 Rotação Duplas'!$C$64:$C$73,MATCH(D494,'🔄 Rotação Duplas'!$D$64:$D$73,0))),"Semana 6",IFERROR(INDEX('🔄 Rotação Duplas'!$D$78:$D$87,MATCH(D494,'🔄 Rotação Duplas'!$C$78:$C$87,0)),INDEX('🔄 Rotação Duplas'!$C$78:$C$87,MATCH(D494,'🔄 Rotação Duplas'!$D$78:$D$87,0))),"Semana 7",IFERROR(INDEX('🔄 Rotação Duplas'!$D$92:$D$101,MATCH(D494,'🔄 Rotação Duplas'!$C$92:$C$101,0)),INDEX('🔄 Rotação Duplas'!$C$92:$C$101,MATCH(D494,'🔄 Rotação Duplas'!$D$92:$D$101,0))),"Semana 8",IFERROR(INDEX('🔄 Rotação Duplas'!$D$106:$D$115,MATCH(D494,'🔄 Rotação Duplas'!$C$106:$C$115,0)),INDEX('🔄 Rotação Duplas'!$C$106:$C$115,MATCH(D494,'🔄 Rotação Duplas'!$D$106:$D$115,0)))),""))</f>
        <v/>
      </c>
      <c r="T494">
        <f t="shared" si="40"/>
        <v>0</v>
      </c>
    </row>
    <row r="495" spans="2:20" ht="18" customHeight="1" x14ac:dyDescent="0.2">
      <c r="B495" s="78" t="s">
        <v>119</v>
      </c>
      <c r="C495" s="79" t="str">
        <f t="shared" si="42"/>
        <v>Desafio 25</v>
      </c>
      <c r="D495" s="80" t="str">
        <f>'⚙️ Configuração'!C38</f>
        <v>Denise Filipe</v>
      </c>
      <c r="E495" s="50">
        <v>0</v>
      </c>
      <c r="F495" s="50">
        <v>0</v>
      </c>
      <c r="G495" s="50">
        <v>0</v>
      </c>
      <c r="H495" s="50">
        <v>0</v>
      </c>
      <c r="I495" s="50">
        <v>0</v>
      </c>
      <c r="J495" s="89">
        <v>0</v>
      </c>
      <c r="K495" s="81">
        <f>(E495*'⚙️ Configuração'!$C$6+F495*'⚙️ Configuração'!$C$7+G495*'⚙️ Configuração'!$C$8+H495*'⚙️ Configuração'!$C$9+I495*'⚙️ Configuração'!$C$10+J495*'⚙️ Configuração'!$C$11)*IF(N495="S",2,1)</f>
        <v>0</v>
      </c>
      <c r="L495" s="90" t="s">
        <v>167</v>
      </c>
      <c r="M495" s="82">
        <f>IF(L495="AT1",'⚙️ Configuração'!$C$14,IF(L495="AT2",'⚙️ Configuração'!$C$15,IF(L495="FI",'⚙️ Configuração'!$C$16,IF(L495="FJ",'⚙️ Configuração'!$C$17,0))))</f>
        <v>0</v>
      </c>
      <c r="N495" s="91" t="s">
        <v>167</v>
      </c>
      <c r="O495" s="92"/>
      <c r="P495" s="83">
        <f>IF(O495="1",'⚙️ Configuração'!$C$21,IF(O495="2",'⚙️ Configuração'!$C$22,IF(O495="3",'⚙️ Configuração'!$C$23,IF(O495="Outro",'⚙️ Configuração'!$C$24,0))))</f>
        <v>0</v>
      </c>
      <c r="Q495" s="84">
        <f t="shared" si="39"/>
        <v>0</v>
      </c>
      <c r="R495" s="40" t="str">
        <f t="shared" si="22"/>
        <v>Semana 1 — ver 🔄</v>
      </c>
      <c r="S495" t="str" cm="1">
        <f t="array" ref="S495">IF(D495="","",IFERROR(_xlfn.SWITCH(B495,"Semana 1",IFERROR(INDEX('🔄 Rotação Duplas'!$D$8:$D$17,MATCH(D495,'🔄 Rotação Duplas'!$C$8:$C$17,0)),INDEX('🔄 Rotação Duplas'!$C$8:$C$17,MATCH(D495,'🔄 Rotação Duplas'!$D$8:$D$17,0))),"Semana 2",IFERROR(INDEX('🔄 Rotação Duplas'!$D$22:$D$31,MATCH(D495,'🔄 Rotação Duplas'!$C$22:$C$31,0)),INDEX('🔄 Rotação Duplas'!$C$22:$C$31,MATCH(D495,'🔄 Rotação Duplas'!$D$22:$D$31,0))),"Semana 3",IFERROR(INDEX('🔄 Rotação Duplas'!$D$36:$D$45,MATCH(D495,'🔄 Rotação Duplas'!$C$36:$C$45,0)),INDEX('🔄 Rotação Duplas'!$C$36:$C$45,MATCH(D495,'🔄 Rotação Duplas'!$D$36:$D$45,0))),"Semana 4",IFERROR(INDEX('🔄 Rotação Duplas'!$D$50:$D$59,MATCH(D495,'🔄 Rotação Duplas'!$C$50:$C$59,0)),INDEX('🔄 Rotação Duplas'!$C$50:$C$59,MATCH(D495,'🔄 Rotação Duplas'!$D$50:$D$59,0))),"Semana 5",IFERROR(INDEX('🔄 Rotação Duplas'!$D$64:$D$73,MATCH(D495,'🔄 Rotação Duplas'!$C$64:$C$73,0)),INDEX('🔄 Rotação Duplas'!$C$64:$C$73,MATCH(D495,'🔄 Rotação Duplas'!$D$64:$D$73,0))),"Semana 6",IFERROR(INDEX('🔄 Rotação Duplas'!$D$78:$D$87,MATCH(D495,'🔄 Rotação Duplas'!$C$78:$C$87,0)),INDEX('🔄 Rotação Duplas'!$C$78:$C$87,MATCH(D495,'🔄 Rotação Duplas'!$D$78:$D$87,0))),"Semana 7",IFERROR(INDEX('🔄 Rotação Duplas'!$D$92:$D$101,MATCH(D495,'🔄 Rotação Duplas'!$C$92:$C$101,0)),INDEX('🔄 Rotação Duplas'!$C$92:$C$101,MATCH(D495,'🔄 Rotação Duplas'!$D$92:$D$101,0))),"Semana 8",IFERROR(INDEX('🔄 Rotação Duplas'!$D$106:$D$115,MATCH(D495,'🔄 Rotação Duplas'!$C$106:$C$115,0)),INDEX('🔄 Rotação Duplas'!$C$106:$C$115,MATCH(D495,'🔄 Rotação Duplas'!$D$106:$D$115,0)))),""))</f>
        <v/>
      </c>
      <c r="T495">
        <f t="shared" si="40"/>
        <v>0</v>
      </c>
    </row>
    <row r="496" spans="2:20" ht="18" customHeight="1" x14ac:dyDescent="0.2">
      <c r="B496" s="85" t="s">
        <v>119</v>
      </c>
      <c r="C496" s="86" t="str">
        <f t="shared" si="42"/>
        <v>Desafio 25</v>
      </c>
      <c r="D496" s="87" t="str">
        <f>'⚙️ Configuração'!C39</f>
        <v>Fátima Rodriguez</v>
      </c>
      <c r="E496" s="50">
        <v>0</v>
      </c>
      <c r="F496" s="50">
        <v>0</v>
      </c>
      <c r="G496" s="50">
        <v>0</v>
      </c>
      <c r="H496" s="50">
        <v>0</v>
      </c>
      <c r="I496" s="50">
        <v>0</v>
      </c>
      <c r="J496" s="89">
        <v>0</v>
      </c>
      <c r="K496" s="81">
        <f>(E496*'⚙️ Configuração'!$C$6+F496*'⚙️ Configuração'!$C$7+G496*'⚙️ Configuração'!$C$8+H496*'⚙️ Configuração'!$C$9+I496*'⚙️ Configuração'!$C$10+J496*'⚙️ Configuração'!$C$11)*IF(N496="S",2,1)</f>
        <v>0</v>
      </c>
      <c r="L496" s="90" t="s">
        <v>167</v>
      </c>
      <c r="M496" s="82">
        <f>IF(L496="AT1",'⚙️ Configuração'!$C$14,IF(L496="AT2",'⚙️ Configuração'!$C$15,IF(L496="FI",'⚙️ Configuração'!$C$16,IF(L496="FJ",'⚙️ Configuração'!$C$17,0))))</f>
        <v>0</v>
      </c>
      <c r="N496" s="91" t="s">
        <v>167</v>
      </c>
      <c r="O496" s="92"/>
      <c r="P496" s="83">
        <f>IF(O496="1",'⚙️ Configuração'!$C$21,IF(O496="2",'⚙️ Configuração'!$C$22,IF(O496="3",'⚙️ Configuração'!$C$23,IF(O496="Outro",'⚙️ Configuração'!$C$24,0))))</f>
        <v>0</v>
      </c>
      <c r="Q496" s="84">
        <f t="shared" si="39"/>
        <v>0</v>
      </c>
      <c r="R496" s="40" t="str">
        <f t="shared" si="22"/>
        <v>Semana 1 — ver 🔄</v>
      </c>
      <c r="S496" t="str" cm="1">
        <f t="array" ref="S496">IF(D496="","",IFERROR(_xlfn.SWITCH(B496,"Semana 1",IFERROR(INDEX('🔄 Rotação Duplas'!$D$8:$D$17,MATCH(D496,'🔄 Rotação Duplas'!$C$8:$C$17,0)),INDEX('🔄 Rotação Duplas'!$C$8:$C$17,MATCH(D496,'🔄 Rotação Duplas'!$D$8:$D$17,0))),"Semana 2",IFERROR(INDEX('🔄 Rotação Duplas'!$D$22:$D$31,MATCH(D496,'🔄 Rotação Duplas'!$C$22:$C$31,0)),INDEX('🔄 Rotação Duplas'!$C$22:$C$31,MATCH(D496,'🔄 Rotação Duplas'!$D$22:$D$31,0))),"Semana 3",IFERROR(INDEX('🔄 Rotação Duplas'!$D$36:$D$45,MATCH(D496,'🔄 Rotação Duplas'!$C$36:$C$45,0)),INDEX('🔄 Rotação Duplas'!$C$36:$C$45,MATCH(D496,'🔄 Rotação Duplas'!$D$36:$D$45,0))),"Semana 4",IFERROR(INDEX('🔄 Rotação Duplas'!$D$50:$D$59,MATCH(D496,'🔄 Rotação Duplas'!$C$50:$C$59,0)),INDEX('🔄 Rotação Duplas'!$C$50:$C$59,MATCH(D496,'🔄 Rotação Duplas'!$D$50:$D$59,0))),"Semana 5",IFERROR(INDEX('🔄 Rotação Duplas'!$D$64:$D$73,MATCH(D496,'🔄 Rotação Duplas'!$C$64:$C$73,0)),INDEX('🔄 Rotação Duplas'!$C$64:$C$73,MATCH(D496,'🔄 Rotação Duplas'!$D$64:$D$73,0))),"Semana 6",IFERROR(INDEX('🔄 Rotação Duplas'!$D$78:$D$87,MATCH(D496,'🔄 Rotação Duplas'!$C$78:$C$87,0)),INDEX('🔄 Rotação Duplas'!$C$78:$C$87,MATCH(D496,'🔄 Rotação Duplas'!$D$78:$D$87,0))),"Semana 7",IFERROR(INDEX('🔄 Rotação Duplas'!$D$92:$D$101,MATCH(D496,'🔄 Rotação Duplas'!$C$92:$C$101,0)),INDEX('🔄 Rotação Duplas'!$C$92:$C$101,MATCH(D496,'🔄 Rotação Duplas'!$D$92:$D$101,0))),"Semana 8",IFERROR(INDEX('🔄 Rotação Duplas'!$D$106:$D$115,MATCH(D496,'🔄 Rotação Duplas'!$C$106:$C$115,0)),INDEX('🔄 Rotação Duplas'!$C$106:$C$115,MATCH(D496,'🔄 Rotação Duplas'!$D$106:$D$115,0)))),""))</f>
        <v/>
      </c>
      <c r="T496">
        <f t="shared" si="40"/>
        <v>0</v>
      </c>
    </row>
    <row r="497" spans="2:20" ht="18" customHeight="1" x14ac:dyDescent="0.2">
      <c r="B497" s="78" t="s">
        <v>119</v>
      </c>
      <c r="C497" s="79" t="str">
        <f t="shared" si="42"/>
        <v>Desafio 25</v>
      </c>
      <c r="D497" s="80" t="str">
        <f>'⚙️ Configuração'!C40</f>
        <v>Maria João Travassos</v>
      </c>
      <c r="E497" s="50">
        <v>0</v>
      </c>
      <c r="F497" s="50">
        <v>0</v>
      </c>
      <c r="G497" s="50">
        <v>0</v>
      </c>
      <c r="H497" s="50">
        <v>0</v>
      </c>
      <c r="I497" s="50">
        <v>0</v>
      </c>
      <c r="J497" s="89">
        <v>0</v>
      </c>
      <c r="K497" s="81">
        <f>(E497*'⚙️ Configuração'!$C$6+F497*'⚙️ Configuração'!$C$7+G497*'⚙️ Configuração'!$C$8+H497*'⚙️ Configuração'!$C$9+I497*'⚙️ Configuração'!$C$10+J497*'⚙️ Configuração'!$C$11)*IF(N497="S",2,1)</f>
        <v>0</v>
      </c>
      <c r="L497" s="90" t="s">
        <v>167</v>
      </c>
      <c r="M497" s="82">
        <f>IF(L497="AT1",'⚙️ Configuração'!$C$14,IF(L497="AT2",'⚙️ Configuração'!$C$15,IF(L497="FI",'⚙️ Configuração'!$C$16,IF(L497="FJ",'⚙️ Configuração'!$C$17,0))))</f>
        <v>0</v>
      </c>
      <c r="N497" s="91" t="s">
        <v>167</v>
      </c>
      <c r="O497" s="92"/>
      <c r="P497" s="83">
        <f>IF(O497="1",'⚙️ Configuração'!$C$21,IF(O497="2",'⚙️ Configuração'!$C$22,IF(O497="3",'⚙️ Configuração'!$C$23,IF(O497="Outro",'⚙️ Configuração'!$C$24,0))))</f>
        <v>0</v>
      </c>
      <c r="Q497" s="84">
        <f t="shared" si="39"/>
        <v>0</v>
      </c>
      <c r="R497" s="40" t="str">
        <f t="shared" si="22"/>
        <v>Semana 1 — ver 🔄</v>
      </c>
      <c r="S497" t="str" cm="1">
        <f t="array" ref="S497">IF(D497="","",IFERROR(_xlfn.SWITCH(B497,"Semana 1",IFERROR(INDEX('🔄 Rotação Duplas'!$D$8:$D$17,MATCH(D497,'🔄 Rotação Duplas'!$C$8:$C$17,0)),INDEX('🔄 Rotação Duplas'!$C$8:$C$17,MATCH(D497,'🔄 Rotação Duplas'!$D$8:$D$17,0))),"Semana 2",IFERROR(INDEX('🔄 Rotação Duplas'!$D$22:$D$31,MATCH(D497,'🔄 Rotação Duplas'!$C$22:$C$31,0)),INDEX('🔄 Rotação Duplas'!$C$22:$C$31,MATCH(D497,'🔄 Rotação Duplas'!$D$22:$D$31,0))),"Semana 3",IFERROR(INDEX('🔄 Rotação Duplas'!$D$36:$D$45,MATCH(D497,'🔄 Rotação Duplas'!$C$36:$C$45,0)),INDEX('🔄 Rotação Duplas'!$C$36:$C$45,MATCH(D497,'🔄 Rotação Duplas'!$D$36:$D$45,0))),"Semana 4",IFERROR(INDEX('🔄 Rotação Duplas'!$D$50:$D$59,MATCH(D497,'🔄 Rotação Duplas'!$C$50:$C$59,0)),INDEX('🔄 Rotação Duplas'!$C$50:$C$59,MATCH(D497,'🔄 Rotação Duplas'!$D$50:$D$59,0))),"Semana 5",IFERROR(INDEX('🔄 Rotação Duplas'!$D$64:$D$73,MATCH(D497,'🔄 Rotação Duplas'!$C$64:$C$73,0)),INDEX('🔄 Rotação Duplas'!$C$64:$C$73,MATCH(D497,'🔄 Rotação Duplas'!$D$64:$D$73,0))),"Semana 6",IFERROR(INDEX('🔄 Rotação Duplas'!$D$78:$D$87,MATCH(D497,'🔄 Rotação Duplas'!$C$78:$C$87,0)),INDEX('🔄 Rotação Duplas'!$C$78:$C$87,MATCH(D497,'🔄 Rotação Duplas'!$D$78:$D$87,0))),"Semana 7",IFERROR(INDEX('🔄 Rotação Duplas'!$D$92:$D$101,MATCH(D497,'🔄 Rotação Duplas'!$C$92:$C$101,0)),INDEX('🔄 Rotação Duplas'!$C$92:$C$101,MATCH(D497,'🔄 Rotação Duplas'!$D$92:$D$101,0))),"Semana 8",IFERROR(INDEX('🔄 Rotação Duplas'!$D$106:$D$115,MATCH(D497,'🔄 Rotação Duplas'!$C$106:$C$115,0)),INDEX('🔄 Rotação Duplas'!$C$106:$C$115,MATCH(D497,'🔄 Rotação Duplas'!$D$106:$D$115,0)))),""))</f>
        <v/>
      </c>
      <c r="T497">
        <f t="shared" si="40"/>
        <v>0</v>
      </c>
    </row>
    <row r="498" spans="2:20" ht="18" customHeight="1" x14ac:dyDescent="0.2">
      <c r="B498" s="85" t="s">
        <v>119</v>
      </c>
      <c r="C498" s="86" t="str">
        <f t="shared" si="42"/>
        <v>Desafio 25</v>
      </c>
      <c r="D498" s="87" t="str">
        <f>'⚙️ Configuração'!C41</f>
        <v>Marta Torres</v>
      </c>
      <c r="E498" s="50">
        <v>0</v>
      </c>
      <c r="F498" s="50">
        <v>0</v>
      </c>
      <c r="G498" s="50">
        <v>0</v>
      </c>
      <c r="H498" s="50">
        <v>0</v>
      </c>
      <c r="I498" s="50">
        <v>0</v>
      </c>
      <c r="J498" s="89">
        <v>0</v>
      </c>
      <c r="K498" s="81">
        <f>(E498*'⚙️ Configuração'!$C$6+F498*'⚙️ Configuração'!$C$7+G498*'⚙️ Configuração'!$C$8+H498*'⚙️ Configuração'!$C$9+I498*'⚙️ Configuração'!$C$10+J498*'⚙️ Configuração'!$C$11)*IF(N498="S",2,1)</f>
        <v>0</v>
      </c>
      <c r="L498" s="90" t="s">
        <v>167</v>
      </c>
      <c r="M498" s="82">
        <f>IF(L498="AT1",'⚙️ Configuração'!$C$14,IF(L498="AT2",'⚙️ Configuração'!$C$15,IF(L498="FI",'⚙️ Configuração'!$C$16,IF(L498="FJ",'⚙️ Configuração'!$C$17,0))))</f>
        <v>0</v>
      </c>
      <c r="N498" s="91" t="s">
        <v>167</v>
      </c>
      <c r="O498" s="92"/>
      <c r="P498" s="83">
        <f>IF(O498="1",'⚙️ Configuração'!$C$21,IF(O498="2",'⚙️ Configuração'!$C$22,IF(O498="3",'⚙️ Configuração'!$C$23,IF(O498="Outro",'⚙️ Configuração'!$C$24,0))))</f>
        <v>0</v>
      </c>
      <c r="Q498" s="84">
        <f t="shared" si="39"/>
        <v>0</v>
      </c>
      <c r="R498" s="40" t="str">
        <f t="shared" si="22"/>
        <v>Semana 1 — ver 🔄</v>
      </c>
      <c r="S498" t="str" cm="1">
        <f t="array" ref="S498">IF(D498="","",IFERROR(_xlfn.SWITCH(B498,"Semana 1",IFERROR(INDEX('🔄 Rotação Duplas'!$D$8:$D$17,MATCH(D498,'🔄 Rotação Duplas'!$C$8:$C$17,0)),INDEX('🔄 Rotação Duplas'!$C$8:$C$17,MATCH(D498,'🔄 Rotação Duplas'!$D$8:$D$17,0))),"Semana 2",IFERROR(INDEX('🔄 Rotação Duplas'!$D$22:$D$31,MATCH(D498,'🔄 Rotação Duplas'!$C$22:$C$31,0)),INDEX('🔄 Rotação Duplas'!$C$22:$C$31,MATCH(D498,'🔄 Rotação Duplas'!$D$22:$D$31,0))),"Semana 3",IFERROR(INDEX('🔄 Rotação Duplas'!$D$36:$D$45,MATCH(D498,'🔄 Rotação Duplas'!$C$36:$C$45,0)),INDEX('🔄 Rotação Duplas'!$C$36:$C$45,MATCH(D498,'🔄 Rotação Duplas'!$D$36:$D$45,0))),"Semana 4",IFERROR(INDEX('🔄 Rotação Duplas'!$D$50:$D$59,MATCH(D498,'🔄 Rotação Duplas'!$C$50:$C$59,0)),INDEX('🔄 Rotação Duplas'!$C$50:$C$59,MATCH(D498,'🔄 Rotação Duplas'!$D$50:$D$59,0))),"Semana 5",IFERROR(INDEX('🔄 Rotação Duplas'!$D$64:$D$73,MATCH(D498,'🔄 Rotação Duplas'!$C$64:$C$73,0)),INDEX('🔄 Rotação Duplas'!$C$64:$C$73,MATCH(D498,'🔄 Rotação Duplas'!$D$64:$D$73,0))),"Semana 6",IFERROR(INDEX('🔄 Rotação Duplas'!$D$78:$D$87,MATCH(D498,'🔄 Rotação Duplas'!$C$78:$C$87,0)),INDEX('🔄 Rotação Duplas'!$C$78:$C$87,MATCH(D498,'🔄 Rotação Duplas'!$D$78:$D$87,0))),"Semana 7",IFERROR(INDEX('🔄 Rotação Duplas'!$D$92:$D$101,MATCH(D498,'🔄 Rotação Duplas'!$C$92:$C$101,0)),INDEX('🔄 Rotação Duplas'!$C$92:$C$101,MATCH(D498,'🔄 Rotação Duplas'!$D$92:$D$101,0))),"Semana 8",IFERROR(INDEX('🔄 Rotação Duplas'!$D$106:$D$115,MATCH(D498,'🔄 Rotação Duplas'!$C$106:$C$115,0)),INDEX('🔄 Rotação Duplas'!$C$106:$C$115,MATCH(D498,'🔄 Rotação Duplas'!$D$106:$D$115,0)))),""))</f>
        <v/>
      </c>
      <c r="T498">
        <f t="shared" si="40"/>
        <v>0</v>
      </c>
    </row>
    <row r="499" spans="2:20" ht="18" customHeight="1" x14ac:dyDescent="0.2">
      <c r="B499" s="78" t="s">
        <v>119</v>
      </c>
      <c r="C499" s="79" t="str">
        <f t="shared" si="42"/>
        <v>Desafio 25</v>
      </c>
      <c r="D499" s="80" t="str">
        <f>'⚙️ Configuração'!C42</f>
        <v>Patricia Isabel Silva</v>
      </c>
      <c r="E499" s="50">
        <v>0</v>
      </c>
      <c r="F499" s="50">
        <v>0</v>
      </c>
      <c r="G499" s="50">
        <v>0</v>
      </c>
      <c r="H499" s="50">
        <v>0</v>
      </c>
      <c r="I499" s="50">
        <v>0</v>
      </c>
      <c r="J499" s="89">
        <v>0</v>
      </c>
      <c r="K499" s="81">
        <f>(E499*'⚙️ Configuração'!$C$6+F499*'⚙️ Configuração'!$C$7+G499*'⚙️ Configuração'!$C$8+H499*'⚙️ Configuração'!$C$9+I499*'⚙️ Configuração'!$C$10+J499*'⚙️ Configuração'!$C$11)*IF(N499="S",2,1)</f>
        <v>0</v>
      </c>
      <c r="L499" s="90" t="s">
        <v>167</v>
      </c>
      <c r="M499" s="82">
        <f>IF(L499="AT1",'⚙️ Configuração'!$C$14,IF(L499="AT2",'⚙️ Configuração'!$C$15,IF(L499="FI",'⚙️ Configuração'!$C$16,IF(L499="FJ",'⚙️ Configuração'!$C$17,0))))</f>
        <v>0</v>
      </c>
      <c r="N499" s="91" t="s">
        <v>167</v>
      </c>
      <c r="O499" s="92"/>
      <c r="P499" s="83">
        <f>IF(O499="1",'⚙️ Configuração'!$C$21,IF(O499="2",'⚙️ Configuração'!$C$22,IF(O499="3",'⚙️ Configuração'!$C$23,IF(O499="Outro",'⚙️ Configuração'!$C$24,0))))</f>
        <v>0</v>
      </c>
      <c r="Q499" s="84">
        <f t="shared" si="39"/>
        <v>0</v>
      </c>
      <c r="R499" s="40" t="str">
        <f t="shared" si="22"/>
        <v>Semana 1 — ver 🔄</v>
      </c>
      <c r="S499" t="str" cm="1">
        <f t="array" ref="S499">IF(D499="","",IFERROR(_xlfn.SWITCH(B499,"Semana 1",IFERROR(INDEX('🔄 Rotação Duplas'!$D$8:$D$17,MATCH(D499,'🔄 Rotação Duplas'!$C$8:$C$17,0)),INDEX('🔄 Rotação Duplas'!$C$8:$C$17,MATCH(D499,'🔄 Rotação Duplas'!$D$8:$D$17,0))),"Semana 2",IFERROR(INDEX('🔄 Rotação Duplas'!$D$22:$D$31,MATCH(D499,'🔄 Rotação Duplas'!$C$22:$C$31,0)),INDEX('🔄 Rotação Duplas'!$C$22:$C$31,MATCH(D499,'🔄 Rotação Duplas'!$D$22:$D$31,0))),"Semana 3",IFERROR(INDEX('🔄 Rotação Duplas'!$D$36:$D$45,MATCH(D499,'🔄 Rotação Duplas'!$C$36:$C$45,0)),INDEX('🔄 Rotação Duplas'!$C$36:$C$45,MATCH(D499,'🔄 Rotação Duplas'!$D$36:$D$45,0))),"Semana 4",IFERROR(INDEX('🔄 Rotação Duplas'!$D$50:$D$59,MATCH(D499,'🔄 Rotação Duplas'!$C$50:$C$59,0)),INDEX('🔄 Rotação Duplas'!$C$50:$C$59,MATCH(D499,'🔄 Rotação Duplas'!$D$50:$D$59,0))),"Semana 5",IFERROR(INDEX('🔄 Rotação Duplas'!$D$64:$D$73,MATCH(D499,'🔄 Rotação Duplas'!$C$64:$C$73,0)),INDEX('🔄 Rotação Duplas'!$C$64:$C$73,MATCH(D499,'🔄 Rotação Duplas'!$D$64:$D$73,0))),"Semana 6",IFERROR(INDEX('🔄 Rotação Duplas'!$D$78:$D$87,MATCH(D499,'🔄 Rotação Duplas'!$C$78:$C$87,0)),INDEX('🔄 Rotação Duplas'!$C$78:$C$87,MATCH(D499,'🔄 Rotação Duplas'!$D$78:$D$87,0))),"Semana 7",IFERROR(INDEX('🔄 Rotação Duplas'!$D$92:$D$101,MATCH(D499,'🔄 Rotação Duplas'!$C$92:$C$101,0)),INDEX('🔄 Rotação Duplas'!$C$92:$C$101,MATCH(D499,'🔄 Rotação Duplas'!$D$92:$D$101,0))),"Semana 8",IFERROR(INDEX('🔄 Rotação Duplas'!$D$106:$D$115,MATCH(D499,'🔄 Rotação Duplas'!$C$106:$C$115,0)),INDEX('🔄 Rotação Duplas'!$C$106:$C$115,MATCH(D499,'🔄 Rotação Duplas'!$D$106:$D$115,0)))),""))</f>
        <v/>
      </c>
      <c r="T499">
        <f t="shared" si="40"/>
        <v>0</v>
      </c>
    </row>
    <row r="500" spans="2:20" ht="18" customHeight="1" x14ac:dyDescent="0.2">
      <c r="B500" s="85" t="s">
        <v>119</v>
      </c>
      <c r="C500" s="86" t="str">
        <f t="shared" si="42"/>
        <v>Desafio 25</v>
      </c>
      <c r="D500" s="87" t="str">
        <f>'⚙️ Configuração'!C43</f>
        <v>Paula Martins</v>
      </c>
      <c r="E500" s="50">
        <v>0</v>
      </c>
      <c r="F500" s="50">
        <v>0</v>
      </c>
      <c r="G500" s="50">
        <v>0</v>
      </c>
      <c r="H500" s="50">
        <v>0</v>
      </c>
      <c r="I500" s="50">
        <v>0</v>
      </c>
      <c r="J500" s="89">
        <v>0</v>
      </c>
      <c r="K500" s="81">
        <f>(E500*'⚙️ Configuração'!$C$6+F500*'⚙️ Configuração'!$C$7+G500*'⚙️ Configuração'!$C$8+H500*'⚙️ Configuração'!$C$9+I500*'⚙️ Configuração'!$C$10+J500*'⚙️ Configuração'!$C$11)*IF(N500="S",2,1)</f>
        <v>0</v>
      </c>
      <c r="L500" s="90" t="s">
        <v>167</v>
      </c>
      <c r="M500" s="82">
        <f>IF(L500="AT1",'⚙️ Configuração'!$C$14,IF(L500="AT2",'⚙️ Configuração'!$C$15,IF(L500="FI",'⚙️ Configuração'!$C$16,IF(L500="FJ",'⚙️ Configuração'!$C$17,0))))</f>
        <v>0</v>
      </c>
      <c r="N500" s="91" t="s">
        <v>167</v>
      </c>
      <c r="O500" s="92"/>
      <c r="P500" s="83">
        <f>IF(O500="1",'⚙️ Configuração'!$C$21,IF(O500="2",'⚙️ Configuração'!$C$22,IF(O500="3",'⚙️ Configuração'!$C$23,IF(O500="Outro",'⚙️ Configuração'!$C$24,0))))</f>
        <v>0</v>
      </c>
      <c r="Q500" s="84">
        <f t="shared" si="39"/>
        <v>0</v>
      </c>
      <c r="R500" s="40" t="str">
        <f t="shared" si="22"/>
        <v>Semana 1 — ver 🔄</v>
      </c>
      <c r="S500" t="str" cm="1">
        <f t="array" ref="S500">IF(D500="","",IFERROR(_xlfn.SWITCH(B500,"Semana 1",IFERROR(INDEX('🔄 Rotação Duplas'!$D$8:$D$17,MATCH(D500,'🔄 Rotação Duplas'!$C$8:$C$17,0)),INDEX('🔄 Rotação Duplas'!$C$8:$C$17,MATCH(D500,'🔄 Rotação Duplas'!$D$8:$D$17,0))),"Semana 2",IFERROR(INDEX('🔄 Rotação Duplas'!$D$22:$D$31,MATCH(D500,'🔄 Rotação Duplas'!$C$22:$C$31,0)),INDEX('🔄 Rotação Duplas'!$C$22:$C$31,MATCH(D500,'🔄 Rotação Duplas'!$D$22:$D$31,0))),"Semana 3",IFERROR(INDEX('🔄 Rotação Duplas'!$D$36:$D$45,MATCH(D500,'🔄 Rotação Duplas'!$C$36:$C$45,0)),INDEX('🔄 Rotação Duplas'!$C$36:$C$45,MATCH(D500,'🔄 Rotação Duplas'!$D$36:$D$45,0))),"Semana 4",IFERROR(INDEX('🔄 Rotação Duplas'!$D$50:$D$59,MATCH(D500,'🔄 Rotação Duplas'!$C$50:$C$59,0)),INDEX('🔄 Rotação Duplas'!$C$50:$C$59,MATCH(D500,'🔄 Rotação Duplas'!$D$50:$D$59,0))),"Semana 5",IFERROR(INDEX('🔄 Rotação Duplas'!$D$64:$D$73,MATCH(D500,'🔄 Rotação Duplas'!$C$64:$C$73,0)),INDEX('🔄 Rotação Duplas'!$C$64:$C$73,MATCH(D500,'🔄 Rotação Duplas'!$D$64:$D$73,0))),"Semana 6",IFERROR(INDEX('🔄 Rotação Duplas'!$D$78:$D$87,MATCH(D500,'🔄 Rotação Duplas'!$C$78:$C$87,0)),INDEX('🔄 Rotação Duplas'!$C$78:$C$87,MATCH(D500,'🔄 Rotação Duplas'!$D$78:$D$87,0))),"Semana 7",IFERROR(INDEX('🔄 Rotação Duplas'!$D$92:$D$101,MATCH(D500,'🔄 Rotação Duplas'!$C$92:$C$101,0)),INDEX('🔄 Rotação Duplas'!$C$92:$C$101,MATCH(D500,'🔄 Rotação Duplas'!$D$92:$D$101,0))),"Semana 8",IFERROR(INDEX('🔄 Rotação Duplas'!$D$106:$D$115,MATCH(D500,'🔄 Rotação Duplas'!$C$106:$C$115,0)),INDEX('🔄 Rotação Duplas'!$C$106:$C$115,MATCH(D500,'🔄 Rotação Duplas'!$D$106:$D$115,0)))),""))</f>
        <v/>
      </c>
      <c r="T500">
        <f t="shared" si="40"/>
        <v>0</v>
      </c>
    </row>
    <row r="501" spans="2:20" ht="18" customHeight="1" x14ac:dyDescent="0.2">
      <c r="B501" s="78" t="s">
        <v>119</v>
      </c>
      <c r="C501" s="79" t="str">
        <f t="shared" si="42"/>
        <v>Desafio 25</v>
      </c>
      <c r="D501" s="80" t="str">
        <f>'⚙️ Configuração'!C44</f>
        <v>Paula Miabara</v>
      </c>
      <c r="E501" s="50">
        <v>0</v>
      </c>
      <c r="F501" s="50">
        <v>0</v>
      </c>
      <c r="G501" s="50">
        <v>0</v>
      </c>
      <c r="H501" s="50">
        <v>0</v>
      </c>
      <c r="I501" s="50">
        <v>0</v>
      </c>
      <c r="J501" s="89">
        <v>0</v>
      </c>
      <c r="K501" s="81">
        <f>(E501*'⚙️ Configuração'!$C$6+F501*'⚙️ Configuração'!$C$7+G501*'⚙️ Configuração'!$C$8+H501*'⚙️ Configuração'!$C$9+I501*'⚙️ Configuração'!$C$10+J501*'⚙️ Configuração'!$C$11)*IF(N501="S",2,1)</f>
        <v>0</v>
      </c>
      <c r="L501" s="90" t="s">
        <v>167</v>
      </c>
      <c r="M501" s="82">
        <f>IF(L501="AT1",'⚙️ Configuração'!$C$14,IF(L501="AT2",'⚙️ Configuração'!$C$15,IF(L501="FI",'⚙️ Configuração'!$C$16,IF(L501="FJ",'⚙️ Configuração'!$C$17,0))))</f>
        <v>0</v>
      </c>
      <c r="N501" s="91" t="s">
        <v>167</v>
      </c>
      <c r="O501" s="92"/>
      <c r="P501" s="83">
        <f>IF(O501="1",'⚙️ Configuração'!$C$21,IF(O501="2",'⚙️ Configuração'!$C$22,IF(O501="3",'⚙️ Configuração'!$C$23,IF(O501="Outro",'⚙️ Configuração'!$C$24,0))))</f>
        <v>0</v>
      </c>
      <c r="Q501" s="84">
        <f t="shared" si="39"/>
        <v>0</v>
      </c>
      <c r="R501" s="40" t="str">
        <f t="shared" si="22"/>
        <v>Semana 1 — ver 🔄</v>
      </c>
      <c r="S501" t="str" cm="1">
        <f t="array" ref="S501">IF(D501="","",IFERROR(_xlfn.SWITCH(B501,"Semana 1",IFERROR(INDEX('🔄 Rotação Duplas'!$D$8:$D$17,MATCH(D501,'🔄 Rotação Duplas'!$C$8:$C$17,0)),INDEX('🔄 Rotação Duplas'!$C$8:$C$17,MATCH(D501,'🔄 Rotação Duplas'!$D$8:$D$17,0))),"Semana 2",IFERROR(INDEX('🔄 Rotação Duplas'!$D$22:$D$31,MATCH(D501,'🔄 Rotação Duplas'!$C$22:$C$31,0)),INDEX('🔄 Rotação Duplas'!$C$22:$C$31,MATCH(D501,'🔄 Rotação Duplas'!$D$22:$D$31,0))),"Semana 3",IFERROR(INDEX('🔄 Rotação Duplas'!$D$36:$D$45,MATCH(D501,'🔄 Rotação Duplas'!$C$36:$C$45,0)),INDEX('🔄 Rotação Duplas'!$C$36:$C$45,MATCH(D501,'🔄 Rotação Duplas'!$D$36:$D$45,0))),"Semana 4",IFERROR(INDEX('🔄 Rotação Duplas'!$D$50:$D$59,MATCH(D501,'🔄 Rotação Duplas'!$C$50:$C$59,0)),INDEX('🔄 Rotação Duplas'!$C$50:$C$59,MATCH(D501,'🔄 Rotação Duplas'!$D$50:$D$59,0))),"Semana 5",IFERROR(INDEX('🔄 Rotação Duplas'!$D$64:$D$73,MATCH(D501,'🔄 Rotação Duplas'!$C$64:$C$73,0)),INDEX('🔄 Rotação Duplas'!$C$64:$C$73,MATCH(D501,'🔄 Rotação Duplas'!$D$64:$D$73,0))),"Semana 6",IFERROR(INDEX('🔄 Rotação Duplas'!$D$78:$D$87,MATCH(D501,'🔄 Rotação Duplas'!$C$78:$C$87,0)),INDEX('🔄 Rotação Duplas'!$C$78:$C$87,MATCH(D501,'🔄 Rotação Duplas'!$D$78:$D$87,0))),"Semana 7",IFERROR(INDEX('🔄 Rotação Duplas'!$D$92:$D$101,MATCH(D501,'🔄 Rotação Duplas'!$C$92:$C$101,0)),INDEX('🔄 Rotação Duplas'!$C$92:$C$101,MATCH(D501,'🔄 Rotação Duplas'!$D$92:$D$101,0))),"Semana 8",IFERROR(INDEX('🔄 Rotação Duplas'!$D$106:$D$115,MATCH(D501,'🔄 Rotação Duplas'!$C$106:$C$115,0)),INDEX('🔄 Rotação Duplas'!$C$106:$C$115,MATCH(D501,'🔄 Rotação Duplas'!$D$106:$D$115,0)))),""))</f>
        <v/>
      </c>
      <c r="T501">
        <f t="shared" si="40"/>
        <v>0</v>
      </c>
    </row>
    <row r="502" spans="2:20" ht="18" customHeight="1" x14ac:dyDescent="0.2">
      <c r="B502" s="85" t="s">
        <v>119</v>
      </c>
      <c r="C502" s="86" t="str">
        <f t="shared" si="42"/>
        <v>Desafio 25</v>
      </c>
      <c r="D502" s="87" t="str">
        <f>'⚙️ Configuração'!C45</f>
        <v>Rita Carmo</v>
      </c>
      <c r="E502" s="50">
        <v>0</v>
      </c>
      <c r="F502" s="50">
        <v>0</v>
      </c>
      <c r="G502" s="50">
        <v>0</v>
      </c>
      <c r="H502" s="50">
        <v>0</v>
      </c>
      <c r="I502" s="50">
        <v>0</v>
      </c>
      <c r="J502" s="89">
        <v>0</v>
      </c>
      <c r="K502" s="81">
        <f>(E502*'⚙️ Configuração'!$C$6+F502*'⚙️ Configuração'!$C$7+G502*'⚙️ Configuração'!$C$8+H502*'⚙️ Configuração'!$C$9+I502*'⚙️ Configuração'!$C$10+J502*'⚙️ Configuração'!$C$11)*IF(N502="S",2,1)</f>
        <v>0</v>
      </c>
      <c r="L502" s="90" t="s">
        <v>167</v>
      </c>
      <c r="M502" s="82">
        <f>IF(L502="AT1",'⚙️ Configuração'!$C$14,IF(L502="AT2",'⚙️ Configuração'!$C$15,IF(L502="FI",'⚙️ Configuração'!$C$16,IF(L502="FJ",'⚙️ Configuração'!$C$17,0))))</f>
        <v>0</v>
      </c>
      <c r="N502" s="91" t="s">
        <v>167</v>
      </c>
      <c r="O502" s="92"/>
      <c r="P502" s="83">
        <f>IF(O502="1",'⚙️ Configuração'!$C$21,IF(O502="2",'⚙️ Configuração'!$C$22,IF(O502="3",'⚙️ Configuração'!$C$23,IF(O502="Outro",'⚙️ Configuração'!$C$24,0))))</f>
        <v>0</v>
      </c>
      <c r="Q502" s="84">
        <f t="shared" si="39"/>
        <v>0</v>
      </c>
      <c r="R502" s="40" t="str">
        <f t="shared" si="22"/>
        <v>Semana 1 — ver 🔄</v>
      </c>
      <c r="S502" t="str" cm="1">
        <f t="array" ref="S502">IF(D502="","",IFERROR(_xlfn.SWITCH(B502,"Semana 1",IFERROR(INDEX('🔄 Rotação Duplas'!$D$8:$D$17,MATCH(D502,'🔄 Rotação Duplas'!$C$8:$C$17,0)),INDEX('🔄 Rotação Duplas'!$C$8:$C$17,MATCH(D502,'🔄 Rotação Duplas'!$D$8:$D$17,0))),"Semana 2",IFERROR(INDEX('🔄 Rotação Duplas'!$D$22:$D$31,MATCH(D502,'🔄 Rotação Duplas'!$C$22:$C$31,0)),INDEX('🔄 Rotação Duplas'!$C$22:$C$31,MATCH(D502,'🔄 Rotação Duplas'!$D$22:$D$31,0))),"Semana 3",IFERROR(INDEX('🔄 Rotação Duplas'!$D$36:$D$45,MATCH(D502,'🔄 Rotação Duplas'!$C$36:$C$45,0)),INDEX('🔄 Rotação Duplas'!$C$36:$C$45,MATCH(D502,'🔄 Rotação Duplas'!$D$36:$D$45,0))),"Semana 4",IFERROR(INDEX('🔄 Rotação Duplas'!$D$50:$D$59,MATCH(D502,'🔄 Rotação Duplas'!$C$50:$C$59,0)),INDEX('🔄 Rotação Duplas'!$C$50:$C$59,MATCH(D502,'🔄 Rotação Duplas'!$D$50:$D$59,0))),"Semana 5",IFERROR(INDEX('🔄 Rotação Duplas'!$D$64:$D$73,MATCH(D502,'🔄 Rotação Duplas'!$C$64:$C$73,0)),INDEX('🔄 Rotação Duplas'!$C$64:$C$73,MATCH(D502,'🔄 Rotação Duplas'!$D$64:$D$73,0))),"Semana 6",IFERROR(INDEX('🔄 Rotação Duplas'!$D$78:$D$87,MATCH(D502,'🔄 Rotação Duplas'!$C$78:$C$87,0)),INDEX('🔄 Rotação Duplas'!$C$78:$C$87,MATCH(D502,'🔄 Rotação Duplas'!$D$78:$D$87,0))),"Semana 7",IFERROR(INDEX('🔄 Rotação Duplas'!$D$92:$D$101,MATCH(D502,'🔄 Rotação Duplas'!$C$92:$C$101,0)),INDEX('🔄 Rotação Duplas'!$C$92:$C$101,MATCH(D502,'🔄 Rotação Duplas'!$D$92:$D$101,0))),"Semana 8",IFERROR(INDEX('🔄 Rotação Duplas'!$D$106:$D$115,MATCH(D502,'🔄 Rotação Duplas'!$C$106:$C$115,0)),INDEX('🔄 Rotação Duplas'!$C$106:$C$115,MATCH(D502,'🔄 Rotação Duplas'!$D$106:$D$115,0)))),""))</f>
        <v/>
      </c>
      <c r="T502">
        <f t="shared" si="40"/>
        <v>0</v>
      </c>
    </row>
    <row r="503" spans="2:20" ht="18" customHeight="1" x14ac:dyDescent="0.2">
      <c r="B503" s="78" t="s">
        <v>119</v>
      </c>
      <c r="C503" s="79" t="str">
        <f t="shared" si="42"/>
        <v>Desafio 25</v>
      </c>
      <c r="D503" s="80" t="str">
        <f>'⚙️ Configuração'!C46</f>
        <v>William Fernandes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89">
        <v>0</v>
      </c>
      <c r="K503" s="81">
        <f>(E503*'⚙️ Configuração'!$C$6+F503*'⚙️ Configuração'!$C$7+G503*'⚙️ Configuração'!$C$8+H503*'⚙️ Configuração'!$C$9+I503*'⚙️ Configuração'!$C$10+J503*'⚙️ Configuração'!$C$11)*IF(N503="S",2,1)</f>
        <v>0</v>
      </c>
      <c r="L503" s="90" t="s">
        <v>167</v>
      </c>
      <c r="M503" s="82">
        <f>IF(L503="AT1",'⚙️ Configuração'!$C$14,IF(L503="AT2",'⚙️ Configuração'!$C$15,IF(L503="FI",'⚙️ Configuração'!$C$16,IF(L503="FJ",'⚙️ Configuração'!$C$17,0))))</f>
        <v>0</v>
      </c>
      <c r="N503" s="91" t="s">
        <v>167</v>
      </c>
      <c r="O503" s="92"/>
      <c r="P503" s="83">
        <f>IF(O503="1",'⚙️ Configuração'!$C$21,IF(O503="2",'⚙️ Configuração'!$C$22,IF(O503="3",'⚙️ Configuração'!$C$23,IF(O503="Outro",'⚙️ Configuração'!$C$24,0))))</f>
        <v>0</v>
      </c>
      <c r="Q503" s="84">
        <f t="shared" si="39"/>
        <v>0</v>
      </c>
      <c r="R503" s="40" t="str">
        <f t="shared" si="22"/>
        <v>Semana 1 — ver 🔄</v>
      </c>
      <c r="S503" t="str" cm="1">
        <f t="array" ref="S503">IF(D503="","",IFERROR(_xlfn.SWITCH(B503,"Semana 1",IFERROR(INDEX('🔄 Rotação Duplas'!$D$8:$D$17,MATCH(D503,'🔄 Rotação Duplas'!$C$8:$C$17,0)),INDEX('🔄 Rotação Duplas'!$C$8:$C$17,MATCH(D503,'🔄 Rotação Duplas'!$D$8:$D$17,0))),"Semana 2",IFERROR(INDEX('🔄 Rotação Duplas'!$D$22:$D$31,MATCH(D503,'🔄 Rotação Duplas'!$C$22:$C$31,0)),INDEX('🔄 Rotação Duplas'!$C$22:$C$31,MATCH(D503,'🔄 Rotação Duplas'!$D$22:$D$31,0))),"Semana 3",IFERROR(INDEX('🔄 Rotação Duplas'!$D$36:$D$45,MATCH(D503,'🔄 Rotação Duplas'!$C$36:$C$45,0)),INDEX('🔄 Rotação Duplas'!$C$36:$C$45,MATCH(D503,'🔄 Rotação Duplas'!$D$36:$D$45,0))),"Semana 4",IFERROR(INDEX('🔄 Rotação Duplas'!$D$50:$D$59,MATCH(D503,'🔄 Rotação Duplas'!$C$50:$C$59,0)),INDEX('🔄 Rotação Duplas'!$C$50:$C$59,MATCH(D503,'🔄 Rotação Duplas'!$D$50:$D$59,0))),"Semana 5",IFERROR(INDEX('🔄 Rotação Duplas'!$D$64:$D$73,MATCH(D503,'🔄 Rotação Duplas'!$C$64:$C$73,0)),INDEX('🔄 Rotação Duplas'!$C$64:$C$73,MATCH(D503,'🔄 Rotação Duplas'!$D$64:$D$73,0))),"Semana 6",IFERROR(INDEX('🔄 Rotação Duplas'!$D$78:$D$87,MATCH(D503,'🔄 Rotação Duplas'!$C$78:$C$87,0)),INDEX('🔄 Rotação Duplas'!$C$78:$C$87,MATCH(D503,'🔄 Rotação Duplas'!$D$78:$D$87,0))),"Semana 7",IFERROR(INDEX('🔄 Rotação Duplas'!$D$92:$D$101,MATCH(D503,'🔄 Rotação Duplas'!$C$92:$C$101,0)),INDEX('🔄 Rotação Duplas'!$C$92:$C$101,MATCH(D503,'🔄 Rotação Duplas'!$D$92:$D$101,0))),"Semana 8",IFERROR(INDEX('🔄 Rotação Duplas'!$D$106:$D$115,MATCH(D503,'🔄 Rotação Duplas'!$C$106:$C$115,0)),INDEX('🔄 Rotação Duplas'!$C$106:$C$115,MATCH(D503,'🔄 Rotação Duplas'!$D$106:$D$115,0)))),""))</f>
        <v/>
      </c>
      <c r="T503">
        <f t="shared" si="40"/>
        <v>0</v>
      </c>
    </row>
    <row r="504" spans="2:20" ht="18" customHeight="1" x14ac:dyDescent="0.2">
      <c r="B504" s="85" t="s">
        <v>119</v>
      </c>
      <c r="C504" s="86" t="str">
        <f t="shared" si="42"/>
        <v>Desafio 25</v>
      </c>
      <c r="D504" s="87" t="str">
        <f>'⚙️ Configuração'!C47</f>
        <v>-</v>
      </c>
      <c r="E504" s="50">
        <v>0</v>
      </c>
      <c r="F504" s="50">
        <v>0</v>
      </c>
      <c r="G504" s="50">
        <v>0</v>
      </c>
      <c r="H504" s="50">
        <v>0</v>
      </c>
      <c r="I504" s="50">
        <v>0</v>
      </c>
      <c r="J504" s="89">
        <v>0</v>
      </c>
      <c r="K504" s="81">
        <f>(E504*'⚙️ Configuração'!$C$6+F504*'⚙️ Configuração'!$C$7+G504*'⚙️ Configuração'!$C$8+H504*'⚙️ Configuração'!$C$9+I504*'⚙️ Configuração'!$C$10+J504*'⚙️ Configuração'!$C$11)*IF(N504="S",2,1)</f>
        <v>0</v>
      </c>
      <c r="L504" s="90" t="s">
        <v>167</v>
      </c>
      <c r="M504" s="82">
        <f>IF(L504="AT1",'⚙️ Configuração'!$C$14,IF(L504="AT2",'⚙️ Configuração'!$C$15,IF(L504="FI",'⚙️ Configuração'!$C$16,IF(L504="FJ",'⚙️ Configuração'!$C$17,0))))</f>
        <v>0</v>
      </c>
      <c r="N504" s="91" t="s">
        <v>167</v>
      </c>
      <c r="O504" s="92"/>
      <c r="P504" s="83">
        <f>IF(O504="1",'⚙️ Configuração'!$C$21,IF(O504="2",'⚙️ Configuração'!$C$22,IF(O504="3",'⚙️ Configuração'!$C$23,IF(O504="Outro",'⚙️ Configuração'!$C$24,0))))</f>
        <v>0</v>
      </c>
      <c r="Q504" s="84">
        <f t="shared" si="39"/>
        <v>0</v>
      </c>
      <c r="R504" s="40" t="str">
        <f t="shared" si="22"/>
        <v>Semana 1 — ver 🔄</v>
      </c>
      <c r="S504" t="str" cm="1">
        <f t="array" ref="S504">IF(D504="","",IFERROR(_xlfn.SWITCH(B504,"Semana 1",IFERROR(INDEX('🔄 Rotação Duplas'!$D$8:$D$17,MATCH(D504,'🔄 Rotação Duplas'!$C$8:$C$17,0)),INDEX('🔄 Rotação Duplas'!$C$8:$C$17,MATCH(D504,'🔄 Rotação Duplas'!$D$8:$D$17,0))),"Semana 2",IFERROR(INDEX('🔄 Rotação Duplas'!$D$22:$D$31,MATCH(D504,'🔄 Rotação Duplas'!$C$22:$C$31,0)),INDEX('🔄 Rotação Duplas'!$C$22:$C$31,MATCH(D504,'🔄 Rotação Duplas'!$D$22:$D$31,0))),"Semana 3",IFERROR(INDEX('🔄 Rotação Duplas'!$D$36:$D$45,MATCH(D504,'🔄 Rotação Duplas'!$C$36:$C$45,0)),INDEX('🔄 Rotação Duplas'!$C$36:$C$45,MATCH(D504,'🔄 Rotação Duplas'!$D$36:$D$45,0))),"Semana 4",IFERROR(INDEX('🔄 Rotação Duplas'!$D$50:$D$59,MATCH(D504,'🔄 Rotação Duplas'!$C$50:$C$59,0)),INDEX('🔄 Rotação Duplas'!$C$50:$C$59,MATCH(D504,'🔄 Rotação Duplas'!$D$50:$D$59,0))),"Semana 5",IFERROR(INDEX('🔄 Rotação Duplas'!$D$64:$D$73,MATCH(D504,'🔄 Rotação Duplas'!$C$64:$C$73,0)),INDEX('🔄 Rotação Duplas'!$C$64:$C$73,MATCH(D504,'🔄 Rotação Duplas'!$D$64:$D$73,0))),"Semana 6",IFERROR(INDEX('🔄 Rotação Duplas'!$D$78:$D$87,MATCH(D504,'🔄 Rotação Duplas'!$C$78:$C$87,0)),INDEX('🔄 Rotação Duplas'!$C$78:$C$87,MATCH(D504,'🔄 Rotação Duplas'!$D$78:$D$87,0))),"Semana 7",IFERROR(INDEX('🔄 Rotação Duplas'!$D$92:$D$101,MATCH(D504,'🔄 Rotação Duplas'!$C$92:$C$101,0)),INDEX('🔄 Rotação Duplas'!$C$92:$C$101,MATCH(D504,'🔄 Rotação Duplas'!$D$92:$D$101,0))),"Semana 8",IFERROR(INDEX('🔄 Rotação Duplas'!$D$106:$D$115,MATCH(D504,'🔄 Rotação Duplas'!$C$106:$C$115,0)),INDEX('🔄 Rotação Duplas'!$C$106:$C$115,MATCH(D504,'🔄 Rotação Duplas'!$D$106:$D$115,0)))),""))</f>
        <v/>
      </c>
      <c r="T504">
        <f t="shared" si="40"/>
        <v>0</v>
      </c>
    </row>
    <row r="505" spans="2:20" ht="18" customHeight="1" x14ac:dyDescent="0.2">
      <c r="B505" s="78" t="s">
        <v>119</v>
      </c>
      <c r="C505" s="79" t="str">
        <f t="shared" si="42"/>
        <v>Desafio 25</v>
      </c>
      <c r="D505" s="80" t="str">
        <f>'⚙️ Configuração'!C48</f>
        <v>-</v>
      </c>
      <c r="E505" s="50">
        <v>0</v>
      </c>
      <c r="F505" s="50">
        <v>0</v>
      </c>
      <c r="G505" s="50">
        <v>0</v>
      </c>
      <c r="H505" s="50">
        <v>0</v>
      </c>
      <c r="I505" s="50">
        <v>0</v>
      </c>
      <c r="J505" s="89">
        <v>0</v>
      </c>
      <c r="K505" s="81">
        <f>(E505*'⚙️ Configuração'!$C$6+F505*'⚙️ Configuração'!$C$7+G505*'⚙️ Configuração'!$C$8+H505*'⚙️ Configuração'!$C$9+I505*'⚙️ Configuração'!$C$10+J505*'⚙️ Configuração'!$C$11)*IF(N505="S",2,1)</f>
        <v>0</v>
      </c>
      <c r="L505" s="90" t="s">
        <v>167</v>
      </c>
      <c r="M505" s="82">
        <f>IF(L505="AT1",'⚙️ Configuração'!$C$14,IF(L505="AT2",'⚙️ Configuração'!$C$15,IF(L505="FI",'⚙️ Configuração'!$C$16,IF(L505="FJ",'⚙️ Configuração'!$C$17,0))))</f>
        <v>0</v>
      </c>
      <c r="N505" s="91" t="s">
        <v>167</v>
      </c>
      <c r="O505" s="92"/>
      <c r="P505" s="83">
        <f>IF(O505="1",'⚙️ Configuração'!$C$21,IF(O505="2",'⚙️ Configuração'!$C$22,IF(O505="3",'⚙️ Configuração'!$C$23,IF(O505="Outro",'⚙️ Configuração'!$C$24,0))))</f>
        <v>0</v>
      </c>
      <c r="Q505" s="84">
        <f t="shared" si="39"/>
        <v>0</v>
      </c>
      <c r="R505" s="40" t="str">
        <f t="shared" si="22"/>
        <v>Semana 1 — ver 🔄</v>
      </c>
      <c r="S505" t="str" cm="1">
        <f t="array" ref="S505">IF(D505="","",IFERROR(_xlfn.SWITCH(B505,"Semana 1",IFERROR(INDEX('🔄 Rotação Duplas'!$D$8:$D$17,MATCH(D505,'🔄 Rotação Duplas'!$C$8:$C$17,0)),INDEX('🔄 Rotação Duplas'!$C$8:$C$17,MATCH(D505,'🔄 Rotação Duplas'!$D$8:$D$17,0))),"Semana 2",IFERROR(INDEX('🔄 Rotação Duplas'!$D$22:$D$31,MATCH(D505,'🔄 Rotação Duplas'!$C$22:$C$31,0)),INDEX('🔄 Rotação Duplas'!$C$22:$C$31,MATCH(D505,'🔄 Rotação Duplas'!$D$22:$D$31,0))),"Semana 3",IFERROR(INDEX('🔄 Rotação Duplas'!$D$36:$D$45,MATCH(D505,'🔄 Rotação Duplas'!$C$36:$C$45,0)),INDEX('🔄 Rotação Duplas'!$C$36:$C$45,MATCH(D505,'🔄 Rotação Duplas'!$D$36:$D$45,0))),"Semana 4",IFERROR(INDEX('🔄 Rotação Duplas'!$D$50:$D$59,MATCH(D505,'🔄 Rotação Duplas'!$C$50:$C$59,0)),INDEX('🔄 Rotação Duplas'!$C$50:$C$59,MATCH(D505,'🔄 Rotação Duplas'!$D$50:$D$59,0))),"Semana 5",IFERROR(INDEX('🔄 Rotação Duplas'!$D$64:$D$73,MATCH(D505,'🔄 Rotação Duplas'!$C$64:$C$73,0)),INDEX('🔄 Rotação Duplas'!$C$64:$C$73,MATCH(D505,'🔄 Rotação Duplas'!$D$64:$D$73,0))),"Semana 6",IFERROR(INDEX('🔄 Rotação Duplas'!$D$78:$D$87,MATCH(D505,'🔄 Rotação Duplas'!$C$78:$C$87,0)),INDEX('🔄 Rotação Duplas'!$C$78:$C$87,MATCH(D505,'🔄 Rotação Duplas'!$D$78:$D$87,0))),"Semana 7",IFERROR(INDEX('🔄 Rotação Duplas'!$D$92:$D$101,MATCH(D505,'🔄 Rotação Duplas'!$C$92:$C$101,0)),INDEX('🔄 Rotação Duplas'!$C$92:$C$101,MATCH(D505,'🔄 Rotação Duplas'!$D$92:$D$101,0))),"Semana 8",IFERROR(INDEX('🔄 Rotação Duplas'!$D$106:$D$115,MATCH(D505,'🔄 Rotação Duplas'!$C$106:$C$115,0)),INDEX('🔄 Rotação Duplas'!$C$106:$C$115,MATCH(D505,'🔄 Rotação Duplas'!$D$106:$D$115,0)))),""))</f>
        <v/>
      </c>
      <c r="T505">
        <f t="shared" si="40"/>
        <v>0</v>
      </c>
    </row>
    <row r="506" spans="2:20" ht="18" customHeight="1" x14ac:dyDescent="0.2">
      <c r="B506" s="85" t="s">
        <v>119</v>
      </c>
      <c r="C506" s="86" t="str">
        <f t="shared" si="42"/>
        <v>Desafio 25</v>
      </c>
      <c r="D506" s="87" t="str">
        <f>'⚙️ Configuração'!C49</f>
        <v>-</v>
      </c>
      <c r="E506" s="50">
        <v>0</v>
      </c>
      <c r="F506" s="50">
        <v>0</v>
      </c>
      <c r="G506" s="50">
        <v>0</v>
      </c>
      <c r="H506" s="50">
        <v>0</v>
      </c>
      <c r="I506" s="50">
        <v>0</v>
      </c>
      <c r="J506" s="89">
        <v>0</v>
      </c>
      <c r="K506" s="81">
        <f>(E506*'⚙️ Configuração'!$C$6+F506*'⚙️ Configuração'!$C$7+G506*'⚙️ Configuração'!$C$8+H506*'⚙️ Configuração'!$C$9+I506*'⚙️ Configuração'!$C$10+J506*'⚙️ Configuração'!$C$11)*IF(N506="S",2,1)</f>
        <v>0</v>
      </c>
      <c r="L506" s="90" t="s">
        <v>167</v>
      </c>
      <c r="M506" s="82">
        <f>IF(L506="AT1",'⚙️ Configuração'!$C$14,IF(L506="AT2",'⚙️ Configuração'!$C$15,IF(L506="FI",'⚙️ Configuração'!$C$16,IF(L506="FJ",'⚙️ Configuração'!$C$17,0))))</f>
        <v>0</v>
      </c>
      <c r="N506" s="91" t="s">
        <v>167</v>
      </c>
      <c r="O506" s="92"/>
      <c r="P506" s="83">
        <f>IF(O506="1",'⚙️ Configuração'!$C$21,IF(O506="2",'⚙️ Configuração'!$C$22,IF(O506="3",'⚙️ Configuração'!$C$23,IF(O506="Outro",'⚙️ Configuração'!$C$24,0))))</f>
        <v>0</v>
      </c>
      <c r="Q506" s="84">
        <f t="shared" si="39"/>
        <v>0</v>
      </c>
      <c r="R506" s="40" t="str">
        <f t="shared" si="22"/>
        <v>Semana 1 — ver 🔄</v>
      </c>
      <c r="S506" t="str" cm="1">
        <f t="array" ref="S506">IF(D506="","",IFERROR(_xlfn.SWITCH(B506,"Semana 1",IFERROR(INDEX('🔄 Rotação Duplas'!$D$8:$D$17,MATCH(D506,'🔄 Rotação Duplas'!$C$8:$C$17,0)),INDEX('🔄 Rotação Duplas'!$C$8:$C$17,MATCH(D506,'🔄 Rotação Duplas'!$D$8:$D$17,0))),"Semana 2",IFERROR(INDEX('🔄 Rotação Duplas'!$D$22:$D$31,MATCH(D506,'🔄 Rotação Duplas'!$C$22:$C$31,0)),INDEX('🔄 Rotação Duplas'!$C$22:$C$31,MATCH(D506,'🔄 Rotação Duplas'!$D$22:$D$31,0))),"Semana 3",IFERROR(INDEX('🔄 Rotação Duplas'!$D$36:$D$45,MATCH(D506,'🔄 Rotação Duplas'!$C$36:$C$45,0)),INDEX('🔄 Rotação Duplas'!$C$36:$C$45,MATCH(D506,'🔄 Rotação Duplas'!$D$36:$D$45,0))),"Semana 4",IFERROR(INDEX('🔄 Rotação Duplas'!$D$50:$D$59,MATCH(D506,'🔄 Rotação Duplas'!$C$50:$C$59,0)),INDEX('🔄 Rotação Duplas'!$C$50:$C$59,MATCH(D506,'🔄 Rotação Duplas'!$D$50:$D$59,0))),"Semana 5",IFERROR(INDEX('🔄 Rotação Duplas'!$D$64:$D$73,MATCH(D506,'🔄 Rotação Duplas'!$C$64:$C$73,0)),INDEX('🔄 Rotação Duplas'!$C$64:$C$73,MATCH(D506,'🔄 Rotação Duplas'!$D$64:$D$73,0))),"Semana 6",IFERROR(INDEX('🔄 Rotação Duplas'!$D$78:$D$87,MATCH(D506,'🔄 Rotação Duplas'!$C$78:$C$87,0)),INDEX('🔄 Rotação Duplas'!$C$78:$C$87,MATCH(D506,'🔄 Rotação Duplas'!$D$78:$D$87,0))),"Semana 7",IFERROR(INDEX('🔄 Rotação Duplas'!$D$92:$D$101,MATCH(D506,'🔄 Rotação Duplas'!$C$92:$C$101,0)),INDEX('🔄 Rotação Duplas'!$C$92:$C$101,MATCH(D506,'🔄 Rotação Duplas'!$D$92:$D$101,0))),"Semana 8",IFERROR(INDEX('🔄 Rotação Duplas'!$D$106:$D$115,MATCH(D506,'🔄 Rotação Duplas'!$C$106:$C$115,0)),INDEX('🔄 Rotação Duplas'!$C$106:$C$115,MATCH(D506,'🔄 Rotação Duplas'!$D$106:$D$115,0)))),""))</f>
        <v/>
      </c>
      <c r="T506">
        <f t="shared" si="40"/>
        <v>0</v>
      </c>
    </row>
    <row r="507" spans="2:20" ht="18" customHeight="1" x14ac:dyDescent="0.2">
      <c r="B507" s="78" t="s">
        <v>119</v>
      </c>
      <c r="C507" s="79" t="str">
        <f t="shared" ref="C507:C526" si="43">"Desafio 26"</f>
        <v>Desafio 26</v>
      </c>
      <c r="D507" s="80" t="str">
        <f>'⚙️ Configuração'!C30</f>
        <v>Carla Cantante</v>
      </c>
      <c r="E507" s="50">
        <v>0</v>
      </c>
      <c r="F507" s="50">
        <v>0</v>
      </c>
      <c r="G507" s="50">
        <v>0</v>
      </c>
      <c r="H507" s="50">
        <v>0</v>
      </c>
      <c r="I507" s="50">
        <v>0</v>
      </c>
      <c r="J507" s="89">
        <v>0</v>
      </c>
      <c r="K507" s="81">
        <f>(E507*'⚙️ Configuração'!$C$6+F507*'⚙️ Configuração'!$C$7+G507*'⚙️ Configuração'!$C$8+H507*'⚙️ Configuração'!$C$9+I507*'⚙️ Configuração'!$C$10+J507*'⚙️ Configuração'!$C$11)*IF(N507="S",2,1)</f>
        <v>0</v>
      </c>
      <c r="L507" s="90" t="s">
        <v>167</v>
      </c>
      <c r="M507" s="82">
        <f>IF(L507="AT1",'⚙️ Configuração'!$C$14,IF(L507="AT2",'⚙️ Configuração'!$C$15,IF(L507="FI",'⚙️ Configuração'!$C$16,IF(L507="FJ",'⚙️ Configuração'!$C$17,0))))</f>
        <v>0</v>
      </c>
      <c r="N507" s="91" t="s">
        <v>167</v>
      </c>
      <c r="O507" s="92"/>
      <c r="P507" s="83">
        <f>IF(O507="1",'⚙️ Configuração'!$C$21,IF(O507="2",'⚙️ Configuração'!$C$22,IF(O507="3",'⚙️ Configuração'!$C$23,IF(O507="Outro",'⚙️ Configuração'!$C$24,0))))</f>
        <v>0</v>
      </c>
      <c r="Q507" s="84">
        <f t="shared" si="39"/>
        <v>0</v>
      </c>
      <c r="R507" s="40" t="str">
        <f t="shared" si="22"/>
        <v>Semana 1 — ver 🔄</v>
      </c>
      <c r="S507" t="str" cm="1">
        <f t="array" ref="S507">IF(D507="","",IFERROR(_xlfn.SWITCH(B507,"Semana 1",IFERROR(INDEX('🔄 Rotação Duplas'!$D$8:$D$17,MATCH(D507,'🔄 Rotação Duplas'!$C$8:$C$17,0)),INDEX('🔄 Rotação Duplas'!$C$8:$C$17,MATCH(D507,'🔄 Rotação Duplas'!$D$8:$D$17,0))),"Semana 2",IFERROR(INDEX('🔄 Rotação Duplas'!$D$22:$D$31,MATCH(D507,'🔄 Rotação Duplas'!$C$22:$C$31,0)),INDEX('🔄 Rotação Duplas'!$C$22:$C$31,MATCH(D507,'🔄 Rotação Duplas'!$D$22:$D$31,0))),"Semana 3",IFERROR(INDEX('🔄 Rotação Duplas'!$D$36:$D$45,MATCH(D507,'🔄 Rotação Duplas'!$C$36:$C$45,0)),INDEX('🔄 Rotação Duplas'!$C$36:$C$45,MATCH(D507,'🔄 Rotação Duplas'!$D$36:$D$45,0))),"Semana 4",IFERROR(INDEX('🔄 Rotação Duplas'!$D$50:$D$59,MATCH(D507,'🔄 Rotação Duplas'!$C$50:$C$59,0)),INDEX('🔄 Rotação Duplas'!$C$50:$C$59,MATCH(D507,'🔄 Rotação Duplas'!$D$50:$D$59,0))),"Semana 5",IFERROR(INDEX('🔄 Rotação Duplas'!$D$64:$D$73,MATCH(D507,'🔄 Rotação Duplas'!$C$64:$C$73,0)),INDEX('🔄 Rotação Duplas'!$C$64:$C$73,MATCH(D507,'🔄 Rotação Duplas'!$D$64:$D$73,0))),"Semana 6",IFERROR(INDEX('🔄 Rotação Duplas'!$D$78:$D$87,MATCH(D507,'🔄 Rotação Duplas'!$C$78:$C$87,0)),INDEX('🔄 Rotação Duplas'!$C$78:$C$87,MATCH(D507,'🔄 Rotação Duplas'!$D$78:$D$87,0))),"Semana 7",IFERROR(INDEX('🔄 Rotação Duplas'!$D$92:$D$101,MATCH(D507,'🔄 Rotação Duplas'!$C$92:$C$101,0)),INDEX('🔄 Rotação Duplas'!$C$92:$C$101,MATCH(D507,'🔄 Rotação Duplas'!$D$92:$D$101,0))),"Semana 8",IFERROR(INDEX('🔄 Rotação Duplas'!$D$106:$D$115,MATCH(D507,'🔄 Rotação Duplas'!$C$106:$C$115,0)),INDEX('🔄 Rotação Duplas'!$C$106:$C$115,MATCH(D507,'🔄 Rotação Duplas'!$D$106:$D$115,0)))),""))</f>
        <v/>
      </c>
      <c r="T507">
        <f t="shared" si="40"/>
        <v>0</v>
      </c>
    </row>
    <row r="508" spans="2:20" ht="18" customHeight="1" x14ac:dyDescent="0.2">
      <c r="B508" s="85" t="s">
        <v>119</v>
      </c>
      <c r="C508" s="86" t="str">
        <f t="shared" si="43"/>
        <v>Desafio 26</v>
      </c>
      <c r="D508" s="87" t="str">
        <f>'⚙️ Configuração'!C31</f>
        <v>Elisabete Mendes</v>
      </c>
      <c r="E508" s="50">
        <v>0</v>
      </c>
      <c r="F508" s="50">
        <v>0</v>
      </c>
      <c r="G508" s="50">
        <v>0</v>
      </c>
      <c r="H508" s="50">
        <v>0</v>
      </c>
      <c r="I508" s="50">
        <v>0</v>
      </c>
      <c r="J508" s="89">
        <v>0</v>
      </c>
      <c r="K508" s="81">
        <f>(E508*'⚙️ Configuração'!$C$6+F508*'⚙️ Configuração'!$C$7+G508*'⚙️ Configuração'!$C$8+H508*'⚙️ Configuração'!$C$9+I508*'⚙️ Configuração'!$C$10+J508*'⚙️ Configuração'!$C$11)*IF(N508="S",2,1)</f>
        <v>0</v>
      </c>
      <c r="L508" s="90" t="s">
        <v>167</v>
      </c>
      <c r="M508" s="82">
        <f>IF(L508="AT1",'⚙️ Configuração'!$C$14,IF(L508="AT2",'⚙️ Configuração'!$C$15,IF(L508="FI",'⚙️ Configuração'!$C$16,IF(L508="FJ",'⚙️ Configuração'!$C$17,0))))</f>
        <v>0</v>
      </c>
      <c r="N508" s="91" t="s">
        <v>167</v>
      </c>
      <c r="O508" s="92"/>
      <c r="P508" s="83">
        <f>IF(O508="1",'⚙️ Configuração'!$C$21,IF(O508="2",'⚙️ Configuração'!$C$22,IF(O508="3",'⚙️ Configuração'!$C$23,IF(O508="Outro",'⚙️ Configuração'!$C$24,0))))</f>
        <v>0</v>
      </c>
      <c r="Q508" s="84">
        <f t="shared" si="39"/>
        <v>0</v>
      </c>
      <c r="R508" s="40" t="str">
        <f t="shared" si="22"/>
        <v>Semana 1 — ver 🔄</v>
      </c>
      <c r="S508" t="str" cm="1">
        <f t="array" ref="S508">IF(D508="","",IFERROR(_xlfn.SWITCH(B508,"Semana 1",IFERROR(INDEX('🔄 Rotação Duplas'!$D$8:$D$17,MATCH(D508,'🔄 Rotação Duplas'!$C$8:$C$17,0)),INDEX('🔄 Rotação Duplas'!$C$8:$C$17,MATCH(D508,'🔄 Rotação Duplas'!$D$8:$D$17,0))),"Semana 2",IFERROR(INDEX('🔄 Rotação Duplas'!$D$22:$D$31,MATCH(D508,'🔄 Rotação Duplas'!$C$22:$C$31,0)),INDEX('🔄 Rotação Duplas'!$C$22:$C$31,MATCH(D508,'🔄 Rotação Duplas'!$D$22:$D$31,0))),"Semana 3",IFERROR(INDEX('🔄 Rotação Duplas'!$D$36:$D$45,MATCH(D508,'🔄 Rotação Duplas'!$C$36:$C$45,0)),INDEX('🔄 Rotação Duplas'!$C$36:$C$45,MATCH(D508,'🔄 Rotação Duplas'!$D$36:$D$45,0))),"Semana 4",IFERROR(INDEX('🔄 Rotação Duplas'!$D$50:$D$59,MATCH(D508,'🔄 Rotação Duplas'!$C$50:$C$59,0)),INDEX('🔄 Rotação Duplas'!$C$50:$C$59,MATCH(D508,'🔄 Rotação Duplas'!$D$50:$D$59,0))),"Semana 5",IFERROR(INDEX('🔄 Rotação Duplas'!$D$64:$D$73,MATCH(D508,'🔄 Rotação Duplas'!$C$64:$C$73,0)),INDEX('🔄 Rotação Duplas'!$C$64:$C$73,MATCH(D508,'🔄 Rotação Duplas'!$D$64:$D$73,0))),"Semana 6",IFERROR(INDEX('🔄 Rotação Duplas'!$D$78:$D$87,MATCH(D508,'🔄 Rotação Duplas'!$C$78:$C$87,0)),INDEX('🔄 Rotação Duplas'!$C$78:$C$87,MATCH(D508,'🔄 Rotação Duplas'!$D$78:$D$87,0))),"Semana 7",IFERROR(INDEX('🔄 Rotação Duplas'!$D$92:$D$101,MATCH(D508,'🔄 Rotação Duplas'!$C$92:$C$101,0)),INDEX('🔄 Rotação Duplas'!$C$92:$C$101,MATCH(D508,'🔄 Rotação Duplas'!$D$92:$D$101,0))),"Semana 8",IFERROR(INDEX('🔄 Rotação Duplas'!$D$106:$D$115,MATCH(D508,'🔄 Rotação Duplas'!$C$106:$C$115,0)),INDEX('🔄 Rotação Duplas'!$C$106:$C$115,MATCH(D508,'🔄 Rotação Duplas'!$D$106:$D$115,0)))),""))</f>
        <v/>
      </c>
      <c r="T508">
        <f t="shared" si="40"/>
        <v>0</v>
      </c>
    </row>
    <row r="509" spans="2:20" ht="18" customHeight="1" x14ac:dyDescent="0.2">
      <c r="B509" s="78" t="s">
        <v>119</v>
      </c>
      <c r="C509" s="79" t="str">
        <f t="shared" si="43"/>
        <v>Desafio 26</v>
      </c>
      <c r="D509" s="80" t="str">
        <f>'⚙️ Configuração'!C32</f>
        <v>Filipa Cunha</v>
      </c>
      <c r="E509" s="50">
        <v>0</v>
      </c>
      <c r="F509" s="50">
        <v>0</v>
      </c>
      <c r="G509" s="50">
        <v>0</v>
      </c>
      <c r="H509" s="50">
        <v>0</v>
      </c>
      <c r="I509" s="50">
        <v>0</v>
      </c>
      <c r="J509" s="89">
        <v>0</v>
      </c>
      <c r="K509" s="81">
        <f>(E509*'⚙️ Configuração'!$C$6+F509*'⚙️ Configuração'!$C$7+G509*'⚙️ Configuração'!$C$8+H509*'⚙️ Configuração'!$C$9+I509*'⚙️ Configuração'!$C$10+J509*'⚙️ Configuração'!$C$11)*IF(N509="S",2,1)</f>
        <v>0</v>
      </c>
      <c r="L509" s="90" t="s">
        <v>167</v>
      </c>
      <c r="M509" s="82">
        <f>IF(L509="AT1",'⚙️ Configuração'!$C$14,IF(L509="AT2",'⚙️ Configuração'!$C$15,IF(L509="FI",'⚙️ Configuração'!$C$16,IF(L509="FJ",'⚙️ Configuração'!$C$17,0))))</f>
        <v>0</v>
      </c>
      <c r="N509" s="91" t="s">
        <v>167</v>
      </c>
      <c r="O509" s="92"/>
      <c r="P509" s="83">
        <f>IF(O509="1",'⚙️ Configuração'!$C$21,IF(O509="2",'⚙️ Configuração'!$C$22,IF(O509="3",'⚙️ Configuração'!$C$23,IF(O509="Outro",'⚙️ Configuração'!$C$24,0))))</f>
        <v>0</v>
      </c>
      <c r="Q509" s="84">
        <f t="shared" si="39"/>
        <v>0</v>
      </c>
      <c r="R509" s="40" t="str">
        <f t="shared" si="22"/>
        <v>Semana 1 — ver 🔄</v>
      </c>
      <c r="S509" t="str" cm="1">
        <f t="array" ref="S509">IF(D509="","",IFERROR(_xlfn.SWITCH(B509,"Semana 1",IFERROR(INDEX('🔄 Rotação Duplas'!$D$8:$D$17,MATCH(D509,'🔄 Rotação Duplas'!$C$8:$C$17,0)),INDEX('🔄 Rotação Duplas'!$C$8:$C$17,MATCH(D509,'🔄 Rotação Duplas'!$D$8:$D$17,0))),"Semana 2",IFERROR(INDEX('🔄 Rotação Duplas'!$D$22:$D$31,MATCH(D509,'🔄 Rotação Duplas'!$C$22:$C$31,0)),INDEX('🔄 Rotação Duplas'!$C$22:$C$31,MATCH(D509,'🔄 Rotação Duplas'!$D$22:$D$31,0))),"Semana 3",IFERROR(INDEX('🔄 Rotação Duplas'!$D$36:$D$45,MATCH(D509,'🔄 Rotação Duplas'!$C$36:$C$45,0)),INDEX('🔄 Rotação Duplas'!$C$36:$C$45,MATCH(D509,'🔄 Rotação Duplas'!$D$36:$D$45,0))),"Semana 4",IFERROR(INDEX('🔄 Rotação Duplas'!$D$50:$D$59,MATCH(D509,'🔄 Rotação Duplas'!$C$50:$C$59,0)),INDEX('🔄 Rotação Duplas'!$C$50:$C$59,MATCH(D509,'🔄 Rotação Duplas'!$D$50:$D$59,0))),"Semana 5",IFERROR(INDEX('🔄 Rotação Duplas'!$D$64:$D$73,MATCH(D509,'🔄 Rotação Duplas'!$C$64:$C$73,0)),INDEX('🔄 Rotação Duplas'!$C$64:$C$73,MATCH(D509,'🔄 Rotação Duplas'!$D$64:$D$73,0))),"Semana 6",IFERROR(INDEX('🔄 Rotação Duplas'!$D$78:$D$87,MATCH(D509,'🔄 Rotação Duplas'!$C$78:$C$87,0)),INDEX('🔄 Rotação Duplas'!$C$78:$C$87,MATCH(D509,'🔄 Rotação Duplas'!$D$78:$D$87,0))),"Semana 7",IFERROR(INDEX('🔄 Rotação Duplas'!$D$92:$D$101,MATCH(D509,'🔄 Rotação Duplas'!$C$92:$C$101,0)),INDEX('🔄 Rotação Duplas'!$C$92:$C$101,MATCH(D509,'🔄 Rotação Duplas'!$D$92:$D$101,0))),"Semana 8",IFERROR(INDEX('🔄 Rotação Duplas'!$D$106:$D$115,MATCH(D509,'🔄 Rotação Duplas'!$C$106:$C$115,0)),INDEX('🔄 Rotação Duplas'!$C$106:$C$115,MATCH(D509,'🔄 Rotação Duplas'!$D$106:$D$115,0)))),""))</f>
        <v/>
      </c>
      <c r="T509">
        <f t="shared" si="40"/>
        <v>0</v>
      </c>
    </row>
    <row r="510" spans="2:20" ht="18" customHeight="1" x14ac:dyDescent="0.2">
      <c r="B510" s="85" t="s">
        <v>119</v>
      </c>
      <c r="C510" s="86" t="str">
        <f t="shared" si="43"/>
        <v>Desafio 26</v>
      </c>
      <c r="D510" s="87" t="str">
        <f>'⚙️ Configuração'!C33</f>
        <v>Helena Rocha</v>
      </c>
      <c r="E510" s="50">
        <v>0</v>
      </c>
      <c r="F510" s="50">
        <v>0</v>
      </c>
      <c r="G510" s="50">
        <v>0</v>
      </c>
      <c r="H510" s="50">
        <v>0</v>
      </c>
      <c r="I510" s="50">
        <v>0</v>
      </c>
      <c r="J510" s="89">
        <v>0</v>
      </c>
      <c r="K510" s="81">
        <f>(E510*'⚙️ Configuração'!$C$6+F510*'⚙️ Configuração'!$C$7+G510*'⚙️ Configuração'!$C$8+H510*'⚙️ Configuração'!$C$9+I510*'⚙️ Configuração'!$C$10+J510*'⚙️ Configuração'!$C$11)*IF(N510="S",2,1)</f>
        <v>0</v>
      </c>
      <c r="L510" s="90" t="s">
        <v>167</v>
      </c>
      <c r="M510" s="82">
        <f>IF(L510="AT1",'⚙️ Configuração'!$C$14,IF(L510="AT2",'⚙️ Configuração'!$C$15,IF(L510="FI",'⚙️ Configuração'!$C$16,IF(L510="FJ",'⚙️ Configuração'!$C$17,0))))</f>
        <v>0</v>
      </c>
      <c r="N510" s="91" t="s">
        <v>167</v>
      </c>
      <c r="O510" s="92"/>
      <c r="P510" s="83">
        <f>IF(O510="1",'⚙️ Configuração'!$C$21,IF(O510="2",'⚙️ Configuração'!$C$22,IF(O510="3",'⚙️ Configuração'!$C$23,IF(O510="Outro",'⚙️ Configuração'!$C$24,0))))</f>
        <v>0</v>
      </c>
      <c r="Q510" s="84">
        <f t="shared" si="39"/>
        <v>0</v>
      </c>
      <c r="R510" s="40" t="str">
        <f t="shared" si="22"/>
        <v>Semana 1 — ver 🔄</v>
      </c>
      <c r="S510" t="str" cm="1">
        <f t="array" ref="S510">IF(D510="","",IFERROR(_xlfn.SWITCH(B510,"Semana 1",IFERROR(INDEX('🔄 Rotação Duplas'!$D$8:$D$17,MATCH(D510,'🔄 Rotação Duplas'!$C$8:$C$17,0)),INDEX('🔄 Rotação Duplas'!$C$8:$C$17,MATCH(D510,'🔄 Rotação Duplas'!$D$8:$D$17,0))),"Semana 2",IFERROR(INDEX('🔄 Rotação Duplas'!$D$22:$D$31,MATCH(D510,'🔄 Rotação Duplas'!$C$22:$C$31,0)),INDEX('🔄 Rotação Duplas'!$C$22:$C$31,MATCH(D510,'🔄 Rotação Duplas'!$D$22:$D$31,0))),"Semana 3",IFERROR(INDEX('🔄 Rotação Duplas'!$D$36:$D$45,MATCH(D510,'🔄 Rotação Duplas'!$C$36:$C$45,0)),INDEX('🔄 Rotação Duplas'!$C$36:$C$45,MATCH(D510,'🔄 Rotação Duplas'!$D$36:$D$45,0))),"Semana 4",IFERROR(INDEX('🔄 Rotação Duplas'!$D$50:$D$59,MATCH(D510,'🔄 Rotação Duplas'!$C$50:$C$59,0)),INDEX('🔄 Rotação Duplas'!$C$50:$C$59,MATCH(D510,'🔄 Rotação Duplas'!$D$50:$D$59,0))),"Semana 5",IFERROR(INDEX('🔄 Rotação Duplas'!$D$64:$D$73,MATCH(D510,'🔄 Rotação Duplas'!$C$64:$C$73,0)),INDEX('🔄 Rotação Duplas'!$C$64:$C$73,MATCH(D510,'🔄 Rotação Duplas'!$D$64:$D$73,0))),"Semana 6",IFERROR(INDEX('🔄 Rotação Duplas'!$D$78:$D$87,MATCH(D510,'🔄 Rotação Duplas'!$C$78:$C$87,0)),INDEX('🔄 Rotação Duplas'!$C$78:$C$87,MATCH(D510,'🔄 Rotação Duplas'!$D$78:$D$87,0))),"Semana 7",IFERROR(INDEX('🔄 Rotação Duplas'!$D$92:$D$101,MATCH(D510,'🔄 Rotação Duplas'!$C$92:$C$101,0)),INDEX('🔄 Rotação Duplas'!$C$92:$C$101,MATCH(D510,'🔄 Rotação Duplas'!$D$92:$D$101,0))),"Semana 8",IFERROR(INDEX('🔄 Rotação Duplas'!$D$106:$D$115,MATCH(D510,'🔄 Rotação Duplas'!$C$106:$C$115,0)),INDEX('🔄 Rotação Duplas'!$C$106:$C$115,MATCH(D510,'🔄 Rotação Duplas'!$D$106:$D$115,0)))),""))</f>
        <v/>
      </c>
      <c r="T510">
        <f t="shared" si="40"/>
        <v>0</v>
      </c>
    </row>
    <row r="511" spans="2:20" ht="18" customHeight="1" x14ac:dyDescent="0.2">
      <c r="B511" s="78" t="s">
        <v>119</v>
      </c>
      <c r="C511" s="79" t="str">
        <f t="shared" si="43"/>
        <v>Desafio 26</v>
      </c>
      <c r="D511" s="80" t="str">
        <f>'⚙️ Configuração'!C34</f>
        <v>João Xavier</v>
      </c>
      <c r="E511" s="50">
        <v>0</v>
      </c>
      <c r="F511" s="50">
        <v>0</v>
      </c>
      <c r="G511" s="50">
        <v>0</v>
      </c>
      <c r="H511" s="50">
        <v>0</v>
      </c>
      <c r="I511" s="50">
        <v>0</v>
      </c>
      <c r="J511" s="89">
        <v>0</v>
      </c>
      <c r="K511" s="81">
        <f>(E511*'⚙️ Configuração'!$C$6+F511*'⚙️ Configuração'!$C$7+G511*'⚙️ Configuração'!$C$8+H511*'⚙️ Configuração'!$C$9+I511*'⚙️ Configuração'!$C$10+J511*'⚙️ Configuração'!$C$11)*IF(N511="S",2,1)</f>
        <v>0</v>
      </c>
      <c r="L511" s="90" t="s">
        <v>167</v>
      </c>
      <c r="M511" s="82">
        <f>IF(L511="AT1",'⚙️ Configuração'!$C$14,IF(L511="AT2",'⚙️ Configuração'!$C$15,IF(L511="FI",'⚙️ Configuração'!$C$16,IF(L511="FJ",'⚙️ Configuração'!$C$17,0))))</f>
        <v>0</v>
      </c>
      <c r="N511" s="91" t="s">
        <v>167</v>
      </c>
      <c r="O511" s="92"/>
      <c r="P511" s="83">
        <f>IF(O511="1",'⚙️ Configuração'!$C$21,IF(O511="2",'⚙️ Configuração'!$C$22,IF(O511="3",'⚙️ Configuração'!$C$23,IF(O511="Outro",'⚙️ Configuração'!$C$24,0))))</f>
        <v>0</v>
      </c>
      <c r="Q511" s="84">
        <f t="shared" si="39"/>
        <v>0</v>
      </c>
      <c r="R511" s="40" t="str">
        <f t="shared" si="22"/>
        <v>Semana 1 — ver 🔄</v>
      </c>
      <c r="S511" t="str" cm="1">
        <f t="array" ref="S511">IF(D511="","",IFERROR(_xlfn.SWITCH(B511,"Semana 1",IFERROR(INDEX('🔄 Rotação Duplas'!$D$8:$D$17,MATCH(D511,'🔄 Rotação Duplas'!$C$8:$C$17,0)),INDEX('🔄 Rotação Duplas'!$C$8:$C$17,MATCH(D511,'🔄 Rotação Duplas'!$D$8:$D$17,0))),"Semana 2",IFERROR(INDEX('🔄 Rotação Duplas'!$D$22:$D$31,MATCH(D511,'🔄 Rotação Duplas'!$C$22:$C$31,0)),INDEX('🔄 Rotação Duplas'!$C$22:$C$31,MATCH(D511,'🔄 Rotação Duplas'!$D$22:$D$31,0))),"Semana 3",IFERROR(INDEX('🔄 Rotação Duplas'!$D$36:$D$45,MATCH(D511,'🔄 Rotação Duplas'!$C$36:$C$45,0)),INDEX('🔄 Rotação Duplas'!$C$36:$C$45,MATCH(D511,'🔄 Rotação Duplas'!$D$36:$D$45,0))),"Semana 4",IFERROR(INDEX('🔄 Rotação Duplas'!$D$50:$D$59,MATCH(D511,'🔄 Rotação Duplas'!$C$50:$C$59,0)),INDEX('🔄 Rotação Duplas'!$C$50:$C$59,MATCH(D511,'🔄 Rotação Duplas'!$D$50:$D$59,0))),"Semana 5",IFERROR(INDEX('🔄 Rotação Duplas'!$D$64:$D$73,MATCH(D511,'🔄 Rotação Duplas'!$C$64:$C$73,0)),INDEX('🔄 Rotação Duplas'!$C$64:$C$73,MATCH(D511,'🔄 Rotação Duplas'!$D$64:$D$73,0))),"Semana 6",IFERROR(INDEX('🔄 Rotação Duplas'!$D$78:$D$87,MATCH(D511,'🔄 Rotação Duplas'!$C$78:$C$87,0)),INDEX('🔄 Rotação Duplas'!$C$78:$C$87,MATCH(D511,'🔄 Rotação Duplas'!$D$78:$D$87,0))),"Semana 7",IFERROR(INDEX('🔄 Rotação Duplas'!$D$92:$D$101,MATCH(D511,'🔄 Rotação Duplas'!$C$92:$C$101,0)),INDEX('🔄 Rotação Duplas'!$C$92:$C$101,MATCH(D511,'🔄 Rotação Duplas'!$D$92:$D$101,0))),"Semana 8",IFERROR(INDEX('🔄 Rotação Duplas'!$D$106:$D$115,MATCH(D511,'🔄 Rotação Duplas'!$C$106:$C$115,0)),INDEX('🔄 Rotação Duplas'!$C$106:$C$115,MATCH(D511,'🔄 Rotação Duplas'!$D$106:$D$115,0)))),""))</f>
        <v/>
      </c>
      <c r="T511">
        <f t="shared" si="40"/>
        <v>0</v>
      </c>
    </row>
    <row r="512" spans="2:20" ht="18" customHeight="1" x14ac:dyDescent="0.2">
      <c r="B512" s="85" t="s">
        <v>119</v>
      </c>
      <c r="C512" s="86" t="str">
        <f t="shared" si="43"/>
        <v>Desafio 26</v>
      </c>
      <c r="D512" s="87" t="str">
        <f>'⚙️ Configuração'!C35</f>
        <v>Tomás Carlos</v>
      </c>
      <c r="E512" s="50">
        <v>0</v>
      </c>
      <c r="F512" s="50">
        <v>0</v>
      </c>
      <c r="G512" s="50">
        <v>0</v>
      </c>
      <c r="H512" s="50">
        <v>0</v>
      </c>
      <c r="I512" s="50">
        <v>0</v>
      </c>
      <c r="J512" s="89">
        <v>0</v>
      </c>
      <c r="K512" s="81">
        <f>(E512*'⚙️ Configuração'!$C$6+F512*'⚙️ Configuração'!$C$7+G512*'⚙️ Configuração'!$C$8+H512*'⚙️ Configuração'!$C$9+I512*'⚙️ Configuração'!$C$10+J512*'⚙️ Configuração'!$C$11)*IF(N512="S",2,1)</f>
        <v>0</v>
      </c>
      <c r="L512" s="90" t="s">
        <v>167</v>
      </c>
      <c r="M512" s="82">
        <f>IF(L512="AT1",'⚙️ Configuração'!$C$14,IF(L512="AT2",'⚙️ Configuração'!$C$15,IF(L512="FI",'⚙️ Configuração'!$C$16,IF(L512="FJ",'⚙️ Configuração'!$C$17,0))))</f>
        <v>0</v>
      </c>
      <c r="N512" s="91" t="s">
        <v>167</v>
      </c>
      <c r="O512" s="92"/>
      <c r="P512" s="83">
        <f>IF(O512="1",'⚙️ Configuração'!$C$21,IF(O512="2",'⚙️ Configuração'!$C$22,IF(O512="3",'⚙️ Configuração'!$C$23,IF(O512="Outro",'⚙️ Configuração'!$C$24,0))))</f>
        <v>0</v>
      </c>
      <c r="Q512" s="84">
        <f t="shared" si="39"/>
        <v>0</v>
      </c>
      <c r="R512" s="40" t="str">
        <f t="shared" si="22"/>
        <v>Semana 1 — ver 🔄</v>
      </c>
      <c r="S512" t="str" cm="1">
        <f t="array" ref="S512">IF(D512="","",IFERROR(_xlfn.SWITCH(B512,"Semana 1",IFERROR(INDEX('🔄 Rotação Duplas'!$D$8:$D$17,MATCH(D512,'🔄 Rotação Duplas'!$C$8:$C$17,0)),INDEX('🔄 Rotação Duplas'!$C$8:$C$17,MATCH(D512,'🔄 Rotação Duplas'!$D$8:$D$17,0))),"Semana 2",IFERROR(INDEX('🔄 Rotação Duplas'!$D$22:$D$31,MATCH(D512,'🔄 Rotação Duplas'!$C$22:$C$31,0)),INDEX('🔄 Rotação Duplas'!$C$22:$C$31,MATCH(D512,'🔄 Rotação Duplas'!$D$22:$D$31,0))),"Semana 3",IFERROR(INDEX('🔄 Rotação Duplas'!$D$36:$D$45,MATCH(D512,'🔄 Rotação Duplas'!$C$36:$C$45,0)),INDEX('🔄 Rotação Duplas'!$C$36:$C$45,MATCH(D512,'🔄 Rotação Duplas'!$D$36:$D$45,0))),"Semana 4",IFERROR(INDEX('🔄 Rotação Duplas'!$D$50:$D$59,MATCH(D512,'🔄 Rotação Duplas'!$C$50:$C$59,0)),INDEX('🔄 Rotação Duplas'!$C$50:$C$59,MATCH(D512,'🔄 Rotação Duplas'!$D$50:$D$59,0))),"Semana 5",IFERROR(INDEX('🔄 Rotação Duplas'!$D$64:$D$73,MATCH(D512,'🔄 Rotação Duplas'!$C$64:$C$73,0)),INDEX('🔄 Rotação Duplas'!$C$64:$C$73,MATCH(D512,'🔄 Rotação Duplas'!$D$64:$D$73,0))),"Semana 6",IFERROR(INDEX('🔄 Rotação Duplas'!$D$78:$D$87,MATCH(D512,'🔄 Rotação Duplas'!$C$78:$C$87,0)),INDEX('🔄 Rotação Duplas'!$C$78:$C$87,MATCH(D512,'🔄 Rotação Duplas'!$D$78:$D$87,0))),"Semana 7",IFERROR(INDEX('🔄 Rotação Duplas'!$D$92:$D$101,MATCH(D512,'🔄 Rotação Duplas'!$C$92:$C$101,0)),INDEX('🔄 Rotação Duplas'!$C$92:$C$101,MATCH(D512,'🔄 Rotação Duplas'!$D$92:$D$101,0))),"Semana 8",IFERROR(INDEX('🔄 Rotação Duplas'!$D$106:$D$115,MATCH(D512,'🔄 Rotação Duplas'!$C$106:$C$115,0)),INDEX('🔄 Rotação Duplas'!$C$106:$C$115,MATCH(D512,'🔄 Rotação Duplas'!$D$106:$D$115,0)))),""))</f>
        <v/>
      </c>
      <c r="T512">
        <f t="shared" si="40"/>
        <v>0</v>
      </c>
    </row>
    <row r="513" spans="2:20" ht="18" customHeight="1" x14ac:dyDescent="0.2">
      <c r="B513" s="78" t="s">
        <v>119</v>
      </c>
      <c r="C513" s="79" t="str">
        <f t="shared" si="43"/>
        <v>Desafio 26</v>
      </c>
      <c r="D513" s="80" t="str">
        <f>'⚙️ Configuração'!C36</f>
        <v>Alexandra Correia</v>
      </c>
      <c r="E513" s="50">
        <v>0</v>
      </c>
      <c r="F513" s="50">
        <v>0</v>
      </c>
      <c r="G513" s="50">
        <v>0</v>
      </c>
      <c r="H513" s="50">
        <v>0</v>
      </c>
      <c r="I513" s="50">
        <v>0</v>
      </c>
      <c r="J513" s="89">
        <v>0</v>
      </c>
      <c r="K513" s="81">
        <f>(E513*'⚙️ Configuração'!$C$6+F513*'⚙️ Configuração'!$C$7+G513*'⚙️ Configuração'!$C$8+H513*'⚙️ Configuração'!$C$9+I513*'⚙️ Configuração'!$C$10+J513*'⚙️ Configuração'!$C$11)*IF(N513="S",2,1)</f>
        <v>0</v>
      </c>
      <c r="L513" s="90" t="s">
        <v>167</v>
      </c>
      <c r="M513" s="82">
        <f>IF(L513="AT1",'⚙️ Configuração'!$C$14,IF(L513="AT2",'⚙️ Configuração'!$C$15,IF(L513="FI",'⚙️ Configuração'!$C$16,IF(L513="FJ",'⚙️ Configuração'!$C$17,0))))</f>
        <v>0</v>
      </c>
      <c r="N513" s="91" t="s">
        <v>167</v>
      </c>
      <c r="O513" s="92"/>
      <c r="P513" s="83">
        <f>IF(O513="1",'⚙️ Configuração'!$C$21,IF(O513="2",'⚙️ Configuração'!$C$22,IF(O513="3",'⚙️ Configuração'!$C$23,IF(O513="Outro",'⚙️ Configuração'!$C$24,0))))</f>
        <v>0</v>
      </c>
      <c r="Q513" s="84">
        <f t="shared" si="39"/>
        <v>0</v>
      </c>
      <c r="R513" s="40" t="str">
        <f t="shared" si="22"/>
        <v>Semana 1 — ver 🔄</v>
      </c>
      <c r="S513" t="str" cm="1">
        <f t="array" ref="S513">IF(D513="","",IFERROR(_xlfn.SWITCH(B513,"Semana 1",IFERROR(INDEX('🔄 Rotação Duplas'!$D$8:$D$17,MATCH(D513,'🔄 Rotação Duplas'!$C$8:$C$17,0)),INDEX('🔄 Rotação Duplas'!$C$8:$C$17,MATCH(D513,'🔄 Rotação Duplas'!$D$8:$D$17,0))),"Semana 2",IFERROR(INDEX('🔄 Rotação Duplas'!$D$22:$D$31,MATCH(D513,'🔄 Rotação Duplas'!$C$22:$C$31,0)),INDEX('🔄 Rotação Duplas'!$C$22:$C$31,MATCH(D513,'🔄 Rotação Duplas'!$D$22:$D$31,0))),"Semana 3",IFERROR(INDEX('🔄 Rotação Duplas'!$D$36:$D$45,MATCH(D513,'🔄 Rotação Duplas'!$C$36:$C$45,0)),INDEX('🔄 Rotação Duplas'!$C$36:$C$45,MATCH(D513,'🔄 Rotação Duplas'!$D$36:$D$45,0))),"Semana 4",IFERROR(INDEX('🔄 Rotação Duplas'!$D$50:$D$59,MATCH(D513,'🔄 Rotação Duplas'!$C$50:$C$59,0)),INDEX('🔄 Rotação Duplas'!$C$50:$C$59,MATCH(D513,'🔄 Rotação Duplas'!$D$50:$D$59,0))),"Semana 5",IFERROR(INDEX('🔄 Rotação Duplas'!$D$64:$D$73,MATCH(D513,'🔄 Rotação Duplas'!$C$64:$C$73,0)),INDEX('🔄 Rotação Duplas'!$C$64:$C$73,MATCH(D513,'🔄 Rotação Duplas'!$D$64:$D$73,0))),"Semana 6",IFERROR(INDEX('🔄 Rotação Duplas'!$D$78:$D$87,MATCH(D513,'🔄 Rotação Duplas'!$C$78:$C$87,0)),INDEX('🔄 Rotação Duplas'!$C$78:$C$87,MATCH(D513,'🔄 Rotação Duplas'!$D$78:$D$87,0))),"Semana 7",IFERROR(INDEX('🔄 Rotação Duplas'!$D$92:$D$101,MATCH(D513,'🔄 Rotação Duplas'!$C$92:$C$101,0)),INDEX('🔄 Rotação Duplas'!$C$92:$C$101,MATCH(D513,'🔄 Rotação Duplas'!$D$92:$D$101,0))),"Semana 8",IFERROR(INDEX('🔄 Rotação Duplas'!$D$106:$D$115,MATCH(D513,'🔄 Rotação Duplas'!$C$106:$C$115,0)),INDEX('🔄 Rotação Duplas'!$C$106:$C$115,MATCH(D513,'🔄 Rotação Duplas'!$D$106:$D$115,0)))),""))</f>
        <v/>
      </c>
      <c r="T513">
        <f t="shared" si="40"/>
        <v>0</v>
      </c>
    </row>
    <row r="514" spans="2:20" ht="18" customHeight="1" x14ac:dyDescent="0.2">
      <c r="B514" s="85" t="s">
        <v>119</v>
      </c>
      <c r="C514" s="86" t="str">
        <f t="shared" si="43"/>
        <v>Desafio 26</v>
      </c>
      <c r="D514" s="87" t="str">
        <f>'⚙️ Configuração'!C37</f>
        <v>Carla Barata</v>
      </c>
      <c r="E514" s="50">
        <v>0</v>
      </c>
      <c r="F514" s="50">
        <v>0</v>
      </c>
      <c r="G514" s="50">
        <v>0</v>
      </c>
      <c r="H514" s="50">
        <v>0</v>
      </c>
      <c r="I514" s="50">
        <v>0</v>
      </c>
      <c r="J514" s="89">
        <v>0</v>
      </c>
      <c r="K514" s="81">
        <f>(E514*'⚙️ Configuração'!$C$6+F514*'⚙️ Configuração'!$C$7+G514*'⚙️ Configuração'!$C$8+H514*'⚙️ Configuração'!$C$9+I514*'⚙️ Configuração'!$C$10+J514*'⚙️ Configuração'!$C$11)*IF(N514="S",2,1)</f>
        <v>0</v>
      </c>
      <c r="L514" s="90" t="s">
        <v>167</v>
      </c>
      <c r="M514" s="82">
        <f>IF(L514="AT1",'⚙️ Configuração'!$C$14,IF(L514="AT2",'⚙️ Configuração'!$C$15,IF(L514="FI",'⚙️ Configuração'!$C$16,IF(L514="FJ",'⚙️ Configuração'!$C$17,0))))</f>
        <v>0</v>
      </c>
      <c r="N514" s="91" t="s">
        <v>167</v>
      </c>
      <c r="O514" s="92"/>
      <c r="P514" s="83">
        <f>IF(O514="1",'⚙️ Configuração'!$C$21,IF(O514="2",'⚙️ Configuração'!$C$22,IF(O514="3",'⚙️ Configuração'!$C$23,IF(O514="Outro",'⚙️ Configuração'!$C$24,0))))</f>
        <v>0</v>
      </c>
      <c r="Q514" s="84">
        <f t="shared" si="39"/>
        <v>0</v>
      </c>
      <c r="R514" s="40" t="str">
        <f t="shared" si="22"/>
        <v>Semana 1 — ver 🔄</v>
      </c>
      <c r="S514" t="str" cm="1">
        <f t="array" ref="S514">IF(D514="","",IFERROR(_xlfn.SWITCH(B514,"Semana 1",IFERROR(INDEX('🔄 Rotação Duplas'!$D$8:$D$17,MATCH(D514,'🔄 Rotação Duplas'!$C$8:$C$17,0)),INDEX('🔄 Rotação Duplas'!$C$8:$C$17,MATCH(D514,'🔄 Rotação Duplas'!$D$8:$D$17,0))),"Semana 2",IFERROR(INDEX('🔄 Rotação Duplas'!$D$22:$D$31,MATCH(D514,'🔄 Rotação Duplas'!$C$22:$C$31,0)),INDEX('🔄 Rotação Duplas'!$C$22:$C$31,MATCH(D514,'🔄 Rotação Duplas'!$D$22:$D$31,0))),"Semana 3",IFERROR(INDEX('🔄 Rotação Duplas'!$D$36:$D$45,MATCH(D514,'🔄 Rotação Duplas'!$C$36:$C$45,0)),INDEX('🔄 Rotação Duplas'!$C$36:$C$45,MATCH(D514,'🔄 Rotação Duplas'!$D$36:$D$45,0))),"Semana 4",IFERROR(INDEX('🔄 Rotação Duplas'!$D$50:$D$59,MATCH(D514,'🔄 Rotação Duplas'!$C$50:$C$59,0)),INDEX('🔄 Rotação Duplas'!$C$50:$C$59,MATCH(D514,'🔄 Rotação Duplas'!$D$50:$D$59,0))),"Semana 5",IFERROR(INDEX('🔄 Rotação Duplas'!$D$64:$D$73,MATCH(D514,'🔄 Rotação Duplas'!$C$64:$C$73,0)),INDEX('🔄 Rotação Duplas'!$C$64:$C$73,MATCH(D514,'🔄 Rotação Duplas'!$D$64:$D$73,0))),"Semana 6",IFERROR(INDEX('🔄 Rotação Duplas'!$D$78:$D$87,MATCH(D514,'🔄 Rotação Duplas'!$C$78:$C$87,0)),INDEX('🔄 Rotação Duplas'!$C$78:$C$87,MATCH(D514,'🔄 Rotação Duplas'!$D$78:$D$87,0))),"Semana 7",IFERROR(INDEX('🔄 Rotação Duplas'!$D$92:$D$101,MATCH(D514,'🔄 Rotação Duplas'!$C$92:$C$101,0)),INDEX('🔄 Rotação Duplas'!$C$92:$C$101,MATCH(D514,'🔄 Rotação Duplas'!$D$92:$D$101,0))),"Semana 8",IFERROR(INDEX('🔄 Rotação Duplas'!$D$106:$D$115,MATCH(D514,'🔄 Rotação Duplas'!$C$106:$C$115,0)),INDEX('🔄 Rotação Duplas'!$C$106:$C$115,MATCH(D514,'🔄 Rotação Duplas'!$D$106:$D$115,0)))),""))</f>
        <v/>
      </c>
      <c r="T514">
        <f t="shared" si="40"/>
        <v>0</v>
      </c>
    </row>
    <row r="515" spans="2:20" ht="18" customHeight="1" x14ac:dyDescent="0.2">
      <c r="B515" s="78" t="s">
        <v>119</v>
      </c>
      <c r="C515" s="79" t="str">
        <f t="shared" si="43"/>
        <v>Desafio 26</v>
      </c>
      <c r="D515" s="80" t="str">
        <f>'⚙️ Configuração'!C38</f>
        <v>Denise Filipe</v>
      </c>
      <c r="E515" s="50">
        <v>0</v>
      </c>
      <c r="F515" s="50">
        <v>0</v>
      </c>
      <c r="G515" s="50">
        <v>0</v>
      </c>
      <c r="H515" s="50">
        <v>0</v>
      </c>
      <c r="I515" s="50">
        <v>0</v>
      </c>
      <c r="J515" s="89">
        <v>0</v>
      </c>
      <c r="K515" s="81">
        <f>(E515*'⚙️ Configuração'!$C$6+F515*'⚙️ Configuração'!$C$7+G515*'⚙️ Configuração'!$C$8+H515*'⚙️ Configuração'!$C$9+I515*'⚙️ Configuração'!$C$10+J515*'⚙️ Configuração'!$C$11)*IF(N515="S",2,1)</f>
        <v>0</v>
      </c>
      <c r="L515" s="90" t="s">
        <v>167</v>
      </c>
      <c r="M515" s="82">
        <f>IF(L515="AT1",'⚙️ Configuração'!$C$14,IF(L515="AT2",'⚙️ Configuração'!$C$15,IF(L515="FI",'⚙️ Configuração'!$C$16,IF(L515="FJ",'⚙️ Configuração'!$C$17,0))))</f>
        <v>0</v>
      </c>
      <c r="N515" s="91" t="s">
        <v>167</v>
      </c>
      <c r="O515" s="92"/>
      <c r="P515" s="83">
        <f>IF(O515="1",'⚙️ Configuração'!$C$21,IF(O515="2",'⚙️ Configuração'!$C$22,IF(O515="3",'⚙️ Configuração'!$C$23,IF(O515="Outro",'⚙️ Configuração'!$C$24,0))))</f>
        <v>0</v>
      </c>
      <c r="Q515" s="84">
        <f t="shared" si="39"/>
        <v>0</v>
      </c>
      <c r="R515" s="40" t="str">
        <f t="shared" si="22"/>
        <v>Semana 1 — ver 🔄</v>
      </c>
      <c r="S515" t="str" cm="1">
        <f t="array" ref="S515">IF(D515="","",IFERROR(_xlfn.SWITCH(B515,"Semana 1",IFERROR(INDEX('🔄 Rotação Duplas'!$D$8:$D$17,MATCH(D515,'🔄 Rotação Duplas'!$C$8:$C$17,0)),INDEX('🔄 Rotação Duplas'!$C$8:$C$17,MATCH(D515,'🔄 Rotação Duplas'!$D$8:$D$17,0))),"Semana 2",IFERROR(INDEX('🔄 Rotação Duplas'!$D$22:$D$31,MATCH(D515,'🔄 Rotação Duplas'!$C$22:$C$31,0)),INDEX('🔄 Rotação Duplas'!$C$22:$C$31,MATCH(D515,'🔄 Rotação Duplas'!$D$22:$D$31,0))),"Semana 3",IFERROR(INDEX('🔄 Rotação Duplas'!$D$36:$D$45,MATCH(D515,'🔄 Rotação Duplas'!$C$36:$C$45,0)),INDEX('🔄 Rotação Duplas'!$C$36:$C$45,MATCH(D515,'🔄 Rotação Duplas'!$D$36:$D$45,0))),"Semana 4",IFERROR(INDEX('🔄 Rotação Duplas'!$D$50:$D$59,MATCH(D515,'🔄 Rotação Duplas'!$C$50:$C$59,0)),INDEX('🔄 Rotação Duplas'!$C$50:$C$59,MATCH(D515,'🔄 Rotação Duplas'!$D$50:$D$59,0))),"Semana 5",IFERROR(INDEX('🔄 Rotação Duplas'!$D$64:$D$73,MATCH(D515,'🔄 Rotação Duplas'!$C$64:$C$73,0)),INDEX('🔄 Rotação Duplas'!$C$64:$C$73,MATCH(D515,'🔄 Rotação Duplas'!$D$64:$D$73,0))),"Semana 6",IFERROR(INDEX('🔄 Rotação Duplas'!$D$78:$D$87,MATCH(D515,'🔄 Rotação Duplas'!$C$78:$C$87,0)),INDEX('🔄 Rotação Duplas'!$C$78:$C$87,MATCH(D515,'🔄 Rotação Duplas'!$D$78:$D$87,0))),"Semana 7",IFERROR(INDEX('🔄 Rotação Duplas'!$D$92:$D$101,MATCH(D515,'🔄 Rotação Duplas'!$C$92:$C$101,0)),INDEX('🔄 Rotação Duplas'!$C$92:$C$101,MATCH(D515,'🔄 Rotação Duplas'!$D$92:$D$101,0))),"Semana 8",IFERROR(INDEX('🔄 Rotação Duplas'!$D$106:$D$115,MATCH(D515,'🔄 Rotação Duplas'!$C$106:$C$115,0)),INDEX('🔄 Rotação Duplas'!$C$106:$C$115,MATCH(D515,'🔄 Rotação Duplas'!$D$106:$D$115,0)))),""))</f>
        <v/>
      </c>
      <c r="T515">
        <f t="shared" si="40"/>
        <v>0</v>
      </c>
    </row>
    <row r="516" spans="2:20" ht="18" customHeight="1" x14ac:dyDescent="0.2">
      <c r="B516" s="85" t="s">
        <v>119</v>
      </c>
      <c r="C516" s="86" t="str">
        <f t="shared" si="43"/>
        <v>Desafio 26</v>
      </c>
      <c r="D516" s="87" t="str">
        <f>'⚙️ Configuração'!C39</f>
        <v>Fátima Rodriguez</v>
      </c>
      <c r="E516" s="50">
        <v>0</v>
      </c>
      <c r="F516" s="50">
        <v>0</v>
      </c>
      <c r="G516" s="50">
        <v>0</v>
      </c>
      <c r="H516" s="50">
        <v>0</v>
      </c>
      <c r="I516" s="50">
        <v>0</v>
      </c>
      <c r="J516" s="89">
        <v>0</v>
      </c>
      <c r="K516" s="81">
        <f>(E516*'⚙️ Configuração'!$C$6+F516*'⚙️ Configuração'!$C$7+G516*'⚙️ Configuração'!$C$8+H516*'⚙️ Configuração'!$C$9+I516*'⚙️ Configuração'!$C$10+J516*'⚙️ Configuração'!$C$11)*IF(N516="S",2,1)</f>
        <v>0</v>
      </c>
      <c r="L516" s="90" t="s">
        <v>167</v>
      </c>
      <c r="M516" s="82">
        <f>IF(L516="AT1",'⚙️ Configuração'!$C$14,IF(L516="AT2",'⚙️ Configuração'!$C$15,IF(L516="FI",'⚙️ Configuração'!$C$16,IF(L516="FJ",'⚙️ Configuração'!$C$17,0))))</f>
        <v>0</v>
      </c>
      <c r="N516" s="91" t="s">
        <v>167</v>
      </c>
      <c r="O516" s="92"/>
      <c r="P516" s="83">
        <f>IF(O516="1",'⚙️ Configuração'!$C$21,IF(O516="2",'⚙️ Configuração'!$C$22,IF(O516="3",'⚙️ Configuração'!$C$23,IF(O516="Outro",'⚙️ Configuração'!$C$24,0))))</f>
        <v>0</v>
      </c>
      <c r="Q516" s="84">
        <f t="shared" si="39"/>
        <v>0</v>
      </c>
      <c r="R516" s="40" t="str">
        <f t="shared" si="22"/>
        <v>Semana 1 — ver 🔄</v>
      </c>
      <c r="S516" t="str" cm="1">
        <f t="array" ref="S516">IF(D516="","",IFERROR(_xlfn.SWITCH(B516,"Semana 1",IFERROR(INDEX('🔄 Rotação Duplas'!$D$8:$D$17,MATCH(D516,'🔄 Rotação Duplas'!$C$8:$C$17,0)),INDEX('🔄 Rotação Duplas'!$C$8:$C$17,MATCH(D516,'🔄 Rotação Duplas'!$D$8:$D$17,0))),"Semana 2",IFERROR(INDEX('🔄 Rotação Duplas'!$D$22:$D$31,MATCH(D516,'🔄 Rotação Duplas'!$C$22:$C$31,0)),INDEX('🔄 Rotação Duplas'!$C$22:$C$31,MATCH(D516,'🔄 Rotação Duplas'!$D$22:$D$31,0))),"Semana 3",IFERROR(INDEX('🔄 Rotação Duplas'!$D$36:$D$45,MATCH(D516,'🔄 Rotação Duplas'!$C$36:$C$45,0)),INDEX('🔄 Rotação Duplas'!$C$36:$C$45,MATCH(D516,'🔄 Rotação Duplas'!$D$36:$D$45,0))),"Semana 4",IFERROR(INDEX('🔄 Rotação Duplas'!$D$50:$D$59,MATCH(D516,'🔄 Rotação Duplas'!$C$50:$C$59,0)),INDEX('🔄 Rotação Duplas'!$C$50:$C$59,MATCH(D516,'🔄 Rotação Duplas'!$D$50:$D$59,0))),"Semana 5",IFERROR(INDEX('🔄 Rotação Duplas'!$D$64:$D$73,MATCH(D516,'🔄 Rotação Duplas'!$C$64:$C$73,0)),INDEX('🔄 Rotação Duplas'!$C$64:$C$73,MATCH(D516,'🔄 Rotação Duplas'!$D$64:$D$73,0))),"Semana 6",IFERROR(INDEX('🔄 Rotação Duplas'!$D$78:$D$87,MATCH(D516,'🔄 Rotação Duplas'!$C$78:$C$87,0)),INDEX('🔄 Rotação Duplas'!$C$78:$C$87,MATCH(D516,'🔄 Rotação Duplas'!$D$78:$D$87,0))),"Semana 7",IFERROR(INDEX('🔄 Rotação Duplas'!$D$92:$D$101,MATCH(D516,'🔄 Rotação Duplas'!$C$92:$C$101,0)),INDEX('🔄 Rotação Duplas'!$C$92:$C$101,MATCH(D516,'🔄 Rotação Duplas'!$D$92:$D$101,0))),"Semana 8",IFERROR(INDEX('🔄 Rotação Duplas'!$D$106:$D$115,MATCH(D516,'🔄 Rotação Duplas'!$C$106:$C$115,0)),INDEX('🔄 Rotação Duplas'!$C$106:$C$115,MATCH(D516,'🔄 Rotação Duplas'!$D$106:$D$115,0)))),""))</f>
        <v/>
      </c>
      <c r="T516">
        <f t="shared" si="40"/>
        <v>0</v>
      </c>
    </row>
    <row r="517" spans="2:20" ht="18" customHeight="1" x14ac:dyDescent="0.2">
      <c r="B517" s="78" t="s">
        <v>119</v>
      </c>
      <c r="C517" s="79" t="str">
        <f t="shared" si="43"/>
        <v>Desafio 26</v>
      </c>
      <c r="D517" s="80" t="str">
        <f>'⚙️ Configuração'!C40</f>
        <v>Maria João Travassos</v>
      </c>
      <c r="E517" s="50">
        <v>0</v>
      </c>
      <c r="F517" s="50">
        <v>0</v>
      </c>
      <c r="G517" s="50">
        <v>0</v>
      </c>
      <c r="H517" s="50">
        <v>0</v>
      </c>
      <c r="I517" s="50">
        <v>0</v>
      </c>
      <c r="J517" s="89">
        <v>0</v>
      </c>
      <c r="K517" s="81">
        <f>(E517*'⚙️ Configuração'!$C$6+F517*'⚙️ Configuração'!$C$7+G517*'⚙️ Configuração'!$C$8+H517*'⚙️ Configuração'!$C$9+I517*'⚙️ Configuração'!$C$10+J517*'⚙️ Configuração'!$C$11)*IF(N517="S",2,1)</f>
        <v>0</v>
      </c>
      <c r="L517" s="90" t="s">
        <v>167</v>
      </c>
      <c r="M517" s="82">
        <f>IF(L517="AT1",'⚙️ Configuração'!$C$14,IF(L517="AT2",'⚙️ Configuração'!$C$15,IF(L517="FI",'⚙️ Configuração'!$C$16,IF(L517="FJ",'⚙️ Configuração'!$C$17,0))))</f>
        <v>0</v>
      </c>
      <c r="N517" s="91" t="s">
        <v>167</v>
      </c>
      <c r="O517" s="92"/>
      <c r="P517" s="83">
        <f>IF(O517="1",'⚙️ Configuração'!$C$21,IF(O517="2",'⚙️ Configuração'!$C$22,IF(O517="3",'⚙️ Configuração'!$C$23,IF(O517="Outro",'⚙️ Configuração'!$C$24,0))))</f>
        <v>0</v>
      </c>
      <c r="Q517" s="84">
        <f t="shared" si="39"/>
        <v>0</v>
      </c>
      <c r="R517" s="40" t="str">
        <f t="shared" ref="R517:R646" si="44">"Semana 1 — ver 🔄"</f>
        <v>Semana 1 — ver 🔄</v>
      </c>
      <c r="S517" t="str" cm="1">
        <f t="array" ref="S517">IF(D517="","",IFERROR(_xlfn.SWITCH(B517,"Semana 1",IFERROR(INDEX('🔄 Rotação Duplas'!$D$8:$D$17,MATCH(D517,'🔄 Rotação Duplas'!$C$8:$C$17,0)),INDEX('🔄 Rotação Duplas'!$C$8:$C$17,MATCH(D517,'🔄 Rotação Duplas'!$D$8:$D$17,0))),"Semana 2",IFERROR(INDEX('🔄 Rotação Duplas'!$D$22:$D$31,MATCH(D517,'🔄 Rotação Duplas'!$C$22:$C$31,0)),INDEX('🔄 Rotação Duplas'!$C$22:$C$31,MATCH(D517,'🔄 Rotação Duplas'!$D$22:$D$31,0))),"Semana 3",IFERROR(INDEX('🔄 Rotação Duplas'!$D$36:$D$45,MATCH(D517,'🔄 Rotação Duplas'!$C$36:$C$45,0)),INDEX('🔄 Rotação Duplas'!$C$36:$C$45,MATCH(D517,'🔄 Rotação Duplas'!$D$36:$D$45,0))),"Semana 4",IFERROR(INDEX('🔄 Rotação Duplas'!$D$50:$D$59,MATCH(D517,'🔄 Rotação Duplas'!$C$50:$C$59,0)),INDEX('🔄 Rotação Duplas'!$C$50:$C$59,MATCH(D517,'🔄 Rotação Duplas'!$D$50:$D$59,0))),"Semana 5",IFERROR(INDEX('🔄 Rotação Duplas'!$D$64:$D$73,MATCH(D517,'🔄 Rotação Duplas'!$C$64:$C$73,0)),INDEX('🔄 Rotação Duplas'!$C$64:$C$73,MATCH(D517,'🔄 Rotação Duplas'!$D$64:$D$73,0))),"Semana 6",IFERROR(INDEX('🔄 Rotação Duplas'!$D$78:$D$87,MATCH(D517,'🔄 Rotação Duplas'!$C$78:$C$87,0)),INDEX('🔄 Rotação Duplas'!$C$78:$C$87,MATCH(D517,'🔄 Rotação Duplas'!$D$78:$D$87,0))),"Semana 7",IFERROR(INDEX('🔄 Rotação Duplas'!$D$92:$D$101,MATCH(D517,'🔄 Rotação Duplas'!$C$92:$C$101,0)),INDEX('🔄 Rotação Duplas'!$C$92:$C$101,MATCH(D517,'🔄 Rotação Duplas'!$D$92:$D$101,0))),"Semana 8",IFERROR(INDEX('🔄 Rotação Duplas'!$D$106:$D$115,MATCH(D517,'🔄 Rotação Duplas'!$C$106:$C$115,0)),INDEX('🔄 Rotação Duplas'!$C$106:$C$115,MATCH(D517,'🔄 Rotação Duplas'!$D$106:$D$115,0)))),""))</f>
        <v/>
      </c>
      <c r="T517">
        <f t="shared" si="40"/>
        <v>0</v>
      </c>
    </row>
    <row r="518" spans="2:20" ht="18" customHeight="1" x14ac:dyDescent="0.2">
      <c r="B518" s="85" t="s">
        <v>119</v>
      </c>
      <c r="C518" s="86" t="str">
        <f t="shared" si="43"/>
        <v>Desafio 26</v>
      </c>
      <c r="D518" s="87" t="str">
        <f>'⚙️ Configuração'!C41</f>
        <v>Marta Torres</v>
      </c>
      <c r="E518" s="50">
        <v>0</v>
      </c>
      <c r="F518" s="50">
        <v>0</v>
      </c>
      <c r="G518" s="50">
        <v>0</v>
      </c>
      <c r="H518" s="50">
        <v>0</v>
      </c>
      <c r="I518" s="50">
        <v>0</v>
      </c>
      <c r="J518" s="89">
        <v>0</v>
      </c>
      <c r="K518" s="81">
        <f>(E518*'⚙️ Configuração'!$C$6+F518*'⚙️ Configuração'!$C$7+G518*'⚙️ Configuração'!$C$8+H518*'⚙️ Configuração'!$C$9+I518*'⚙️ Configuração'!$C$10+J518*'⚙️ Configuração'!$C$11)*IF(N518="S",2,1)</f>
        <v>0</v>
      </c>
      <c r="L518" s="90" t="s">
        <v>167</v>
      </c>
      <c r="M518" s="82">
        <f>IF(L518="AT1",'⚙️ Configuração'!$C$14,IF(L518="AT2",'⚙️ Configuração'!$C$15,IF(L518="FI",'⚙️ Configuração'!$C$16,IF(L518="FJ",'⚙️ Configuração'!$C$17,0))))</f>
        <v>0</v>
      </c>
      <c r="N518" s="91" t="s">
        <v>167</v>
      </c>
      <c r="O518" s="92"/>
      <c r="P518" s="83">
        <f>IF(O518="1",'⚙️ Configuração'!$C$21,IF(O518="2",'⚙️ Configuração'!$C$22,IF(O518="3",'⚙️ Configuração'!$C$23,IF(O518="Outro",'⚙️ Configuração'!$C$24,0))))</f>
        <v>0</v>
      </c>
      <c r="Q518" s="84">
        <f t="shared" si="39"/>
        <v>0</v>
      </c>
      <c r="R518" s="40" t="str">
        <f t="shared" si="44"/>
        <v>Semana 1 — ver 🔄</v>
      </c>
      <c r="S518" t="str" cm="1">
        <f t="array" ref="S518">IF(D518="","",IFERROR(_xlfn.SWITCH(B518,"Semana 1",IFERROR(INDEX('🔄 Rotação Duplas'!$D$8:$D$17,MATCH(D518,'🔄 Rotação Duplas'!$C$8:$C$17,0)),INDEX('🔄 Rotação Duplas'!$C$8:$C$17,MATCH(D518,'🔄 Rotação Duplas'!$D$8:$D$17,0))),"Semana 2",IFERROR(INDEX('🔄 Rotação Duplas'!$D$22:$D$31,MATCH(D518,'🔄 Rotação Duplas'!$C$22:$C$31,0)),INDEX('🔄 Rotação Duplas'!$C$22:$C$31,MATCH(D518,'🔄 Rotação Duplas'!$D$22:$D$31,0))),"Semana 3",IFERROR(INDEX('🔄 Rotação Duplas'!$D$36:$D$45,MATCH(D518,'🔄 Rotação Duplas'!$C$36:$C$45,0)),INDEX('🔄 Rotação Duplas'!$C$36:$C$45,MATCH(D518,'🔄 Rotação Duplas'!$D$36:$D$45,0))),"Semana 4",IFERROR(INDEX('🔄 Rotação Duplas'!$D$50:$D$59,MATCH(D518,'🔄 Rotação Duplas'!$C$50:$C$59,0)),INDEX('🔄 Rotação Duplas'!$C$50:$C$59,MATCH(D518,'🔄 Rotação Duplas'!$D$50:$D$59,0))),"Semana 5",IFERROR(INDEX('🔄 Rotação Duplas'!$D$64:$D$73,MATCH(D518,'🔄 Rotação Duplas'!$C$64:$C$73,0)),INDEX('🔄 Rotação Duplas'!$C$64:$C$73,MATCH(D518,'🔄 Rotação Duplas'!$D$64:$D$73,0))),"Semana 6",IFERROR(INDEX('🔄 Rotação Duplas'!$D$78:$D$87,MATCH(D518,'🔄 Rotação Duplas'!$C$78:$C$87,0)),INDEX('🔄 Rotação Duplas'!$C$78:$C$87,MATCH(D518,'🔄 Rotação Duplas'!$D$78:$D$87,0))),"Semana 7",IFERROR(INDEX('🔄 Rotação Duplas'!$D$92:$D$101,MATCH(D518,'🔄 Rotação Duplas'!$C$92:$C$101,0)),INDEX('🔄 Rotação Duplas'!$C$92:$C$101,MATCH(D518,'🔄 Rotação Duplas'!$D$92:$D$101,0))),"Semana 8",IFERROR(INDEX('🔄 Rotação Duplas'!$D$106:$D$115,MATCH(D518,'🔄 Rotação Duplas'!$C$106:$C$115,0)),INDEX('🔄 Rotação Duplas'!$C$106:$C$115,MATCH(D518,'🔄 Rotação Duplas'!$D$106:$D$115,0)))),""))</f>
        <v/>
      </c>
      <c r="T518">
        <f t="shared" si="40"/>
        <v>0</v>
      </c>
    </row>
    <row r="519" spans="2:20" ht="18" customHeight="1" x14ac:dyDescent="0.2">
      <c r="B519" s="78" t="s">
        <v>119</v>
      </c>
      <c r="C519" s="79" t="str">
        <f t="shared" si="43"/>
        <v>Desafio 26</v>
      </c>
      <c r="D519" s="80" t="str">
        <f>'⚙️ Configuração'!C42</f>
        <v>Patricia Isabel Silva</v>
      </c>
      <c r="E519" s="50">
        <v>0</v>
      </c>
      <c r="F519" s="50">
        <v>0</v>
      </c>
      <c r="G519" s="50">
        <v>0</v>
      </c>
      <c r="H519" s="50">
        <v>0</v>
      </c>
      <c r="I519" s="50">
        <v>0</v>
      </c>
      <c r="J519" s="89">
        <v>0</v>
      </c>
      <c r="K519" s="81">
        <f>(E519*'⚙️ Configuração'!$C$6+F519*'⚙️ Configuração'!$C$7+G519*'⚙️ Configuração'!$C$8+H519*'⚙️ Configuração'!$C$9+I519*'⚙️ Configuração'!$C$10+J519*'⚙️ Configuração'!$C$11)*IF(N519="S",2,1)</f>
        <v>0</v>
      </c>
      <c r="L519" s="90" t="s">
        <v>167</v>
      </c>
      <c r="M519" s="82">
        <f>IF(L519="AT1",'⚙️ Configuração'!$C$14,IF(L519="AT2",'⚙️ Configuração'!$C$15,IF(L519="FI",'⚙️ Configuração'!$C$16,IF(L519="FJ",'⚙️ Configuração'!$C$17,0))))</f>
        <v>0</v>
      </c>
      <c r="N519" s="91" t="s">
        <v>167</v>
      </c>
      <c r="O519" s="92"/>
      <c r="P519" s="83">
        <f>IF(O519="1",'⚙️ Configuração'!$C$21,IF(O519="2",'⚙️ Configuração'!$C$22,IF(O519="3",'⚙️ Configuração'!$C$23,IF(O519="Outro",'⚙️ Configuração'!$C$24,0))))</f>
        <v>0</v>
      </c>
      <c r="Q519" s="84">
        <f t="shared" si="39"/>
        <v>0</v>
      </c>
      <c r="R519" s="40" t="str">
        <f t="shared" si="44"/>
        <v>Semana 1 — ver 🔄</v>
      </c>
      <c r="S519" t="str" cm="1">
        <f t="array" ref="S519">IF(D519="","",IFERROR(_xlfn.SWITCH(B519,"Semana 1",IFERROR(INDEX('🔄 Rotação Duplas'!$D$8:$D$17,MATCH(D519,'🔄 Rotação Duplas'!$C$8:$C$17,0)),INDEX('🔄 Rotação Duplas'!$C$8:$C$17,MATCH(D519,'🔄 Rotação Duplas'!$D$8:$D$17,0))),"Semana 2",IFERROR(INDEX('🔄 Rotação Duplas'!$D$22:$D$31,MATCH(D519,'🔄 Rotação Duplas'!$C$22:$C$31,0)),INDEX('🔄 Rotação Duplas'!$C$22:$C$31,MATCH(D519,'🔄 Rotação Duplas'!$D$22:$D$31,0))),"Semana 3",IFERROR(INDEX('🔄 Rotação Duplas'!$D$36:$D$45,MATCH(D519,'🔄 Rotação Duplas'!$C$36:$C$45,0)),INDEX('🔄 Rotação Duplas'!$C$36:$C$45,MATCH(D519,'🔄 Rotação Duplas'!$D$36:$D$45,0))),"Semana 4",IFERROR(INDEX('🔄 Rotação Duplas'!$D$50:$D$59,MATCH(D519,'🔄 Rotação Duplas'!$C$50:$C$59,0)),INDEX('🔄 Rotação Duplas'!$C$50:$C$59,MATCH(D519,'🔄 Rotação Duplas'!$D$50:$D$59,0))),"Semana 5",IFERROR(INDEX('🔄 Rotação Duplas'!$D$64:$D$73,MATCH(D519,'🔄 Rotação Duplas'!$C$64:$C$73,0)),INDEX('🔄 Rotação Duplas'!$C$64:$C$73,MATCH(D519,'🔄 Rotação Duplas'!$D$64:$D$73,0))),"Semana 6",IFERROR(INDEX('🔄 Rotação Duplas'!$D$78:$D$87,MATCH(D519,'🔄 Rotação Duplas'!$C$78:$C$87,0)),INDEX('🔄 Rotação Duplas'!$C$78:$C$87,MATCH(D519,'🔄 Rotação Duplas'!$D$78:$D$87,0))),"Semana 7",IFERROR(INDEX('🔄 Rotação Duplas'!$D$92:$D$101,MATCH(D519,'🔄 Rotação Duplas'!$C$92:$C$101,0)),INDEX('🔄 Rotação Duplas'!$C$92:$C$101,MATCH(D519,'🔄 Rotação Duplas'!$D$92:$D$101,0))),"Semana 8",IFERROR(INDEX('🔄 Rotação Duplas'!$D$106:$D$115,MATCH(D519,'🔄 Rotação Duplas'!$C$106:$C$115,0)),INDEX('🔄 Rotação Duplas'!$C$106:$C$115,MATCH(D519,'🔄 Rotação Duplas'!$D$106:$D$115,0)))),""))</f>
        <v/>
      </c>
      <c r="T519">
        <f t="shared" si="40"/>
        <v>0</v>
      </c>
    </row>
    <row r="520" spans="2:20" ht="18" customHeight="1" x14ac:dyDescent="0.2">
      <c r="B520" s="85" t="s">
        <v>119</v>
      </c>
      <c r="C520" s="86" t="str">
        <f t="shared" si="43"/>
        <v>Desafio 26</v>
      </c>
      <c r="D520" s="87" t="str">
        <f>'⚙️ Configuração'!C43</f>
        <v>Paula Martins</v>
      </c>
      <c r="E520" s="50">
        <v>0</v>
      </c>
      <c r="F520" s="50">
        <v>0</v>
      </c>
      <c r="G520" s="50">
        <v>0</v>
      </c>
      <c r="H520" s="50">
        <v>0</v>
      </c>
      <c r="I520" s="50">
        <v>0</v>
      </c>
      <c r="J520" s="89">
        <v>0</v>
      </c>
      <c r="K520" s="81">
        <f>(E520*'⚙️ Configuração'!$C$6+F520*'⚙️ Configuração'!$C$7+G520*'⚙️ Configuração'!$C$8+H520*'⚙️ Configuração'!$C$9+I520*'⚙️ Configuração'!$C$10+J520*'⚙️ Configuração'!$C$11)*IF(N520="S",2,1)</f>
        <v>0</v>
      </c>
      <c r="L520" s="90" t="s">
        <v>167</v>
      </c>
      <c r="M520" s="82">
        <f>IF(L520="AT1",'⚙️ Configuração'!$C$14,IF(L520="AT2",'⚙️ Configuração'!$C$15,IF(L520="FI",'⚙️ Configuração'!$C$16,IF(L520="FJ",'⚙️ Configuração'!$C$17,0))))</f>
        <v>0</v>
      </c>
      <c r="N520" s="91" t="s">
        <v>167</v>
      </c>
      <c r="O520" s="92"/>
      <c r="P520" s="83">
        <f>IF(O520="1",'⚙️ Configuração'!$C$21,IF(O520="2",'⚙️ Configuração'!$C$22,IF(O520="3",'⚙️ Configuração'!$C$23,IF(O520="Outro",'⚙️ Configuração'!$C$24,0))))</f>
        <v>0</v>
      </c>
      <c r="Q520" s="84">
        <f t="shared" ref="Q520:Q583" si="45">K520+M520+P520</f>
        <v>0</v>
      </c>
      <c r="R520" s="40" t="str">
        <f t="shared" si="44"/>
        <v>Semana 1 — ver 🔄</v>
      </c>
      <c r="S520" t="str" cm="1">
        <f t="array" ref="S520">IF(D520="","",IFERROR(_xlfn.SWITCH(B520,"Semana 1",IFERROR(INDEX('🔄 Rotação Duplas'!$D$8:$D$17,MATCH(D520,'🔄 Rotação Duplas'!$C$8:$C$17,0)),INDEX('🔄 Rotação Duplas'!$C$8:$C$17,MATCH(D520,'🔄 Rotação Duplas'!$D$8:$D$17,0))),"Semana 2",IFERROR(INDEX('🔄 Rotação Duplas'!$D$22:$D$31,MATCH(D520,'🔄 Rotação Duplas'!$C$22:$C$31,0)),INDEX('🔄 Rotação Duplas'!$C$22:$C$31,MATCH(D520,'🔄 Rotação Duplas'!$D$22:$D$31,0))),"Semana 3",IFERROR(INDEX('🔄 Rotação Duplas'!$D$36:$D$45,MATCH(D520,'🔄 Rotação Duplas'!$C$36:$C$45,0)),INDEX('🔄 Rotação Duplas'!$C$36:$C$45,MATCH(D520,'🔄 Rotação Duplas'!$D$36:$D$45,0))),"Semana 4",IFERROR(INDEX('🔄 Rotação Duplas'!$D$50:$D$59,MATCH(D520,'🔄 Rotação Duplas'!$C$50:$C$59,0)),INDEX('🔄 Rotação Duplas'!$C$50:$C$59,MATCH(D520,'🔄 Rotação Duplas'!$D$50:$D$59,0))),"Semana 5",IFERROR(INDEX('🔄 Rotação Duplas'!$D$64:$D$73,MATCH(D520,'🔄 Rotação Duplas'!$C$64:$C$73,0)),INDEX('🔄 Rotação Duplas'!$C$64:$C$73,MATCH(D520,'🔄 Rotação Duplas'!$D$64:$D$73,0))),"Semana 6",IFERROR(INDEX('🔄 Rotação Duplas'!$D$78:$D$87,MATCH(D520,'🔄 Rotação Duplas'!$C$78:$C$87,0)),INDEX('🔄 Rotação Duplas'!$C$78:$C$87,MATCH(D520,'🔄 Rotação Duplas'!$D$78:$D$87,0))),"Semana 7",IFERROR(INDEX('🔄 Rotação Duplas'!$D$92:$D$101,MATCH(D520,'🔄 Rotação Duplas'!$C$92:$C$101,0)),INDEX('🔄 Rotação Duplas'!$C$92:$C$101,MATCH(D520,'🔄 Rotação Duplas'!$D$92:$D$101,0))),"Semana 8",IFERROR(INDEX('🔄 Rotação Duplas'!$D$106:$D$115,MATCH(D520,'🔄 Rotação Duplas'!$C$106:$C$115,0)),INDEX('🔄 Rotação Duplas'!$C$106:$C$115,MATCH(D520,'🔄 Rotação Duplas'!$D$106:$D$115,0)))),""))</f>
        <v/>
      </c>
      <c r="T520">
        <f t="shared" ref="T520:T583" si="46">IF(OR(D520="",D520="-",S520="",S520="-"),0,COUNTIFS($B$7:$B$646,B520,$D$7:$D$646,D520,$N$7:$N$646,"S")+COUNTIFS($B$7:$B$646,B520,$D$7:$D$646,S520,$N$7:$N$646,"S"))</f>
        <v>0</v>
      </c>
    </row>
    <row r="521" spans="2:20" ht="18" customHeight="1" x14ac:dyDescent="0.2">
      <c r="B521" s="78" t="s">
        <v>119</v>
      </c>
      <c r="C521" s="79" t="str">
        <f t="shared" si="43"/>
        <v>Desafio 26</v>
      </c>
      <c r="D521" s="80" t="str">
        <f>'⚙️ Configuração'!C44</f>
        <v>Paula Miabara</v>
      </c>
      <c r="E521" s="50">
        <v>0</v>
      </c>
      <c r="F521" s="50">
        <v>0</v>
      </c>
      <c r="G521" s="50">
        <v>0</v>
      </c>
      <c r="H521" s="50">
        <v>0</v>
      </c>
      <c r="I521" s="50">
        <v>0</v>
      </c>
      <c r="J521" s="89">
        <v>0</v>
      </c>
      <c r="K521" s="81">
        <f>(E521*'⚙️ Configuração'!$C$6+F521*'⚙️ Configuração'!$C$7+G521*'⚙️ Configuração'!$C$8+H521*'⚙️ Configuração'!$C$9+I521*'⚙️ Configuração'!$C$10+J521*'⚙️ Configuração'!$C$11)*IF(N521="S",2,1)</f>
        <v>0</v>
      </c>
      <c r="L521" s="90" t="s">
        <v>167</v>
      </c>
      <c r="M521" s="82">
        <f>IF(L521="AT1",'⚙️ Configuração'!$C$14,IF(L521="AT2",'⚙️ Configuração'!$C$15,IF(L521="FI",'⚙️ Configuração'!$C$16,IF(L521="FJ",'⚙️ Configuração'!$C$17,0))))</f>
        <v>0</v>
      </c>
      <c r="N521" s="91" t="s">
        <v>167</v>
      </c>
      <c r="O521" s="92"/>
      <c r="P521" s="83">
        <f>IF(O521="1",'⚙️ Configuração'!$C$21,IF(O521="2",'⚙️ Configuração'!$C$22,IF(O521="3",'⚙️ Configuração'!$C$23,IF(O521="Outro",'⚙️ Configuração'!$C$24,0))))</f>
        <v>0</v>
      </c>
      <c r="Q521" s="84">
        <f t="shared" si="45"/>
        <v>0</v>
      </c>
      <c r="R521" s="40" t="str">
        <f t="shared" si="44"/>
        <v>Semana 1 — ver 🔄</v>
      </c>
      <c r="S521" t="str" cm="1">
        <f t="array" ref="S521">IF(D521="","",IFERROR(_xlfn.SWITCH(B521,"Semana 1",IFERROR(INDEX('🔄 Rotação Duplas'!$D$8:$D$17,MATCH(D521,'🔄 Rotação Duplas'!$C$8:$C$17,0)),INDEX('🔄 Rotação Duplas'!$C$8:$C$17,MATCH(D521,'🔄 Rotação Duplas'!$D$8:$D$17,0))),"Semana 2",IFERROR(INDEX('🔄 Rotação Duplas'!$D$22:$D$31,MATCH(D521,'🔄 Rotação Duplas'!$C$22:$C$31,0)),INDEX('🔄 Rotação Duplas'!$C$22:$C$31,MATCH(D521,'🔄 Rotação Duplas'!$D$22:$D$31,0))),"Semana 3",IFERROR(INDEX('🔄 Rotação Duplas'!$D$36:$D$45,MATCH(D521,'🔄 Rotação Duplas'!$C$36:$C$45,0)),INDEX('🔄 Rotação Duplas'!$C$36:$C$45,MATCH(D521,'🔄 Rotação Duplas'!$D$36:$D$45,0))),"Semana 4",IFERROR(INDEX('🔄 Rotação Duplas'!$D$50:$D$59,MATCH(D521,'🔄 Rotação Duplas'!$C$50:$C$59,0)),INDEX('🔄 Rotação Duplas'!$C$50:$C$59,MATCH(D521,'🔄 Rotação Duplas'!$D$50:$D$59,0))),"Semana 5",IFERROR(INDEX('🔄 Rotação Duplas'!$D$64:$D$73,MATCH(D521,'🔄 Rotação Duplas'!$C$64:$C$73,0)),INDEX('🔄 Rotação Duplas'!$C$64:$C$73,MATCH(D521,'🔄 Rotação Duplas'!$D$64:$D$73,0))),"Semana 6",IFERROR(INDEX('🔄 Rotação Duplas'!$D$78:$D$87,MATCH(D521,'🔄 Rotação Duplas'!$C$78:$C$87,0)),INDEX('🔄 Rotação Duplas'!$C$78:$C$87,MATCH(D521,'🔄 Rotação Duplas'!$D$78:$D$87,0))),"Semana 7",IFERROR(INDEX('🔄 Rotação Duplas'!$D$92:$D$101,MATCH(D521,'🔄 Rotação Duplas'!$C$92:$C$101,0)),INDEX('🔄 Rotação Duplas'!$C$92:$C$101,MATCH(D521,'🔄 Rotação Duplas'!$D$92:$D$101,0))),"Semana 8",IFERROR(INDEX('🔄 Rotação Duplas'!$D$106:$D$115,MATCH(D521,'🔄 Rotação Duplas'!$C$106:$C$115,0)),INDEX('🔄 Rotação Duplas'!$C$106:$C$115,MATCH(D521,'🔄 Rotação Duplas'!$D$106:$D$115,0)))),""))</f>
        <v/>
      </c>
      <c r="T521">
        <f t="shared" si="46"/>
        <v>0</v>
      </c>
    </row>
    <row r="522" spans="2:20" ht="18" customHeight="1" x14ac:dyDescent="0.2">
      <c r="B522" s="85" t="s">
        <v>119</v>
      </c>
      <c r="C522" s="86" t="str">
        <f t="shared" si="43"/>
        <v>Desafio 26</v>
      </c>
      <c r="D522" s="87" t="str">
        <f>'⚙️ Configuração'!C45</f>
        <v>Rita Carmo</v>
      </c>
      <c r="E522" s="50">
        <v>0</v>
      </c>
      <c r="F522" s="50">
        <v>0</v>
      </c>
      <c r="G522" s="50">
        <v>0</v>
      </c>
      <c r="H522" s="50">
        <v>0</v>
      </c>
      <c r="I522" s="50">
        <v>0</v>
      </c>
      <c r="J522" s="89">
        <v>0</v>
      </c>
      <c r="K522" s="81">
        <f>(E522*'⚙️ Configuração'!$C$6+F522*'⚙️ Configuração'!$C$7+G522*'⚙️ Configuração'!$C$8+H522*'⚙️ Configuração'!$C$9+I522*'⚙️ Configuração'!$C$10+J522*'⚙️ Configuração'!$C$11)*IF(N522="S",2,1)</f>
        <v>0</v>
      </c>
      <c r="L522" s="90" t="s">
        <v>167</v>
      </c>
      <c r="M522" s="82">
        <f>IF(L522="AT1",'⚙️ Configuração'!$C$14,IF(L522="AT2",'⚙️ Configuração'!$C$15,IF(L522="FI",'⚙️ Configuração'!$C$16,IF(L522="FJ",'⚙️ Configuração'!$C$17,0))))</f>
        <v>0</v>
      </c>
      <c r="N522" s="91" t="s">
        <v>167</v>
      </c>
      <c r="O522" s="92"/>
      <c r="P522" s="83">
        <f>IF(O522="1",'⚙️ Configuração'!$C$21,IF(O522="2",'⚙️ Configuração'!$C$22,IF(O522="3",'⚙️ Configuração'!$C$23,IF(O522="Outro",'⚙️ Configuração'!$C$24,0))))</f>
        <v>0</v>
      </c>
      <c r="Q522" s="84">
        <f t="shared" si="45"/>
        <v>0</v>
      </c>
      <c r="R522" s="40" t="str">
        <f t="shared" si="44"/>
        <v>Semana 1 — ver 🔄</v>
      </c>
      <c r="S522" t="str" cm="1">
        <f t="array" ref="S522">IF(D522="","",IFERROR(_xlfn.SWITCH(B522,"Semana 1",IFERROR(INDEX('🔄 Rotação Duplas'!$D$8:$D$17,MATCH(D522,'🔄 Rotação Duplas'!$C$8:$C$17,0)),INDEX('🔄 Rotação Duplas'!$C$8:$C$17,MATCH(D522,'🔄 Rotação Duplas'!$D$8:$D$17,0))),"Semana 2",IFERROR(INDEX('🔄 Rotação Duplas'!$D$22:$D$31,MATCH(D522,'🔄 Rotação Duplas'!$C$22:$C$31,0)),INDEX('🔄 Rotação Duplas'!$C$22:$C$31,MATCH(D522,'🔄 Rotação Duplas'!$D$22:$D$31,0))),"Semana 3",IFERROR(INDEX('🔄 Rotação Duplas'!$D$36:$D$45,MATCH(D522,'🔄 Rotação Duplas'!$C$36:$C$45,0)),INDEX('🔄 Rotação Duplas'!$C$36:$C$45,MATCH(D522,'🔄 Rotação Duplas'!$D$36:$D$45,0))),"Semana 4",IFERROR(INDEX('🔄 Rotação Duplas'!$D$50:$D$59,MATCH(D522,'🔄 Rotação Duplas'!$C$50:$C$59,0)),INDEX('🔄 Rotação Duplas'!$C$50:$C$59,MATCH(D522,'🔄 Rotação Duplas'!$D$50:$D$59,0))),"Semana 5",IFERROR(INDEX('🔄 Rotação Duplas'!$D$64:$D$73,MATCH(D522,'🔄 Rotação Duplas'!$C$64:$C$73,0)),INDEX('🔄 Rotação Duplas'!$C$64:$C$73,MATCH(D522,'🔄 Rotação Duplas'!$D$64:$D$73,0))),"Semana 6",IFERROR(INDEX('🔄 Rotação Duplas'!$D$78:$D$87,MATCH(D522,'🔄 Rotação Duplas'!$C$78:$C$87,0)),INDEX('🔄 Rotação Duplas'!$C$78:$C$87,MATCH(D522,'🔄 Rotação Duplas'!$D$78:$D$87,0))),"Semana 7",IFERROR(INDEX('🔄 Rotação Duplas'!$D$92:$D$101,MATCH(D522,'🔄 Rotação Duplas'!$C$92:$C$101,0)),INDEX('🔄 Rotação Duplas'!$C$92:$C$101,MATCH(D522,'🔄 Rotação Duplas'!$D$92:$D$101,0))),"Semana 8",IFERROR(INDEX('🔄 Rotação Duplas'!$D$106:$D$115,MATCH(D522,'🔄 Rotação Duplas'!$C$106:$C$115,0)),INDEX('🔄 Rotação Duplas'!$C$106:$C$115,MATCH(D522,'🔄 Rotação Duplas'!$D$106:$D$115,0)))),""))</f>
        <v/>
      </c>
      <c r="T522">
        <f t="shared" si="46"/>
        <v>0</v>
      </c>
    </row>
    <row r="523" spans="2:20" ht="18" customHeight="1" x14ac:dyDescent="0.2">
      <c r="B523" s="78" t="s">
        <v>119</v>
      </c>
      <c r="C523" s="79" t="str">
        <f t="shared" si="43"/>
        <v>Desafio 26</v>
      </c>
      <c r="D523" s="80" t="str">
        <f>'⚙️ Configuração'!C46</f>
        <v>William Fernandes</v>
      </c>
      <c r="E523" s="50">
        <v>0</v>
      </c>
      <c r="F523" s="50">
        <v>0</v>
      </c>
      <c r="G523" s="50">
        <v>0</v>
      </c>
      <c r="H523" s="50">
        <v>0</v>
      </c>
      <c r="I523" s="50">
        <v>0</v>
      </c>
      <c r="J523" s="89">
        <v>0</v>
      </c>
      <c r="K523" s="81">
        <f>(E523*'⚙️ Configuração'!$C$6+F523*'⚙️ Configuração'!$C$7+G523*'⚙️ Configuração'!$C$8+H523*'⚙️ Configuração'!$C$9+I523*'⚙️ Configuração'!$C$10+J523*'⚙️ Configuração'!$C$11)*IF(N523="S",2,1)</f>
        <v>0</v>
      </c>
      <c r="L523" s="90" t="s">
        <v>167</v>
      </c>
      <c r="M523" s="82">
        <f>IF(L523="AT1",'⚙️ Configuração'!$C$14,IF(L523="AT2",'⚙️ Configuração'!$C$15,IF(L523="FI",'⚙️ Configuração'!$C$16,IF(L523="FJ",'⚙️ Configuração'!$C$17,0))))</f>
        <v>0</v>
      </c>
      <c r="N523" s="91" t="s">
        <v>167</v>
      </c>
      <c r="O523" s="92"/>
      <c r="P523" s="83">
        <f>IF(O523="1",'⚙️ Configuração'!$C$21,IF(O523="2",'⚙️ Configuração'!$C$22,IF(O523="3",'⚙️ Configuração'!$C$23,IF(O523="Outro",'⚙️ Configuração'!$C$24,0))))</f>
        <v>0</v>
      </c>
      <c r="Q523" s="84">
        <f t="shared" si="45"/>
        <v>0</v>
      </c>
      <c r="R523" s="40" t="str">
        <f t="shared" si="44"/>
        <v>Semana 1 — ver 🔄</v>
      </c>
      <c r="S523" t="str" cm="1">
        <f t="array" ref="S523">IF(D523="","",IFERROR(_xlfn.SWITCH(B523,"Semana 1",IFERROR(INDEX('🔄 Rotação Duplas'!$D$8:$D$17,MATCH(D523,'🔄 Rotação Duplas'!$C$8:$C$17,0)),INDEX('🔄 Rotação Duplas'!$C$8:$C$17,MATCH(D523,'🔄 Rotação Duplas'!$D$8:$D$17,0))),"Semana 2",IFERROR(INDEX('🔄 Rotação Duplas'!$D$22:$D$31,MATCH(D523,'🔄 Rotação Duplas'!$C$22:$C$31,0)),INDEX('🔄 Rotação Duplas'!$C$22:$C$31,MATCH(D523,'🔄 Rotação Duplas'!$D$22:$D$31,0))),"Semana 3",IFERROR(INDEX('🔄 Rotação Duplas'!$D$36:$D$45,MATCH(D523,'🔄 Rotação Duplas'!$C$36:$C$45,0)),INDEX('🔄 Rotação Duplas'!$C$36:$C$45,MATCH(D523,'🔄 Rotação Duplas'!$D$36:$D$45,0))),"Semana 4",IFERROR(INDEX('🔄 Rotação Duplas'!$D$50:$D$59,MATCH(D523,'🔄 Rotação Duplas'!$C$50:$C$59,0)),INDEX('🔄 Rotação Duplas'!$C$50:$C$59,MATCH(D523,'🔄 Rotação Duplas'!$D$50:$D$59,0))),"Semana 5",IFERROR(INDEX('🔄 Rotação Duplas'!$D$64:$D$73,MATCH(D523,'🔄 Rotação Duplas'!$C$64:$C$73,0)),INDEX('🔄 Rotação Duplas'!$C$64:$C$73,MATCH(D523,'🔄 Rotação Duplas'!$D$64:$D$73,0))),"Semana 6",IFERROR(INDEX('🔄 Rotação Duplas'!$D$78:$D$87,MATCH(D523,'🔄 Rotação Duplas'!$C$78:$C$87,0)),INDEX('🔄 Rotação Duplas'!$C$78:$C$87,MATCH(D523,'🔄 Rotação Duplas'!$D$78:$D$87,0))),"Semana 7",IFERROR(INDEX('🔄 Rotação Duplas'!$D$92:$D$101,MATCH(D523,'🔄 Rotação Duplas'!$C$92:$C$101,0)),INDEX('🔄 Rotação Duplas'!$C$92:$C$101,MATCH(D523,'🔄 Rotação Duplas'!$D$92:$D$101,0))),"Semana 8",IFERROR(INDEX('🔄 Rotação Duplas'!$D$106:$D$115,MATCH(D523,'🔄 Rotação Duplas'!$C$106:$C$115,0)),INDEX('🔄 Rotação Duplas'!$C$106:$C$115,MATCH(D523,'🔄 Rotação Duplas'!$D$106:$D$115,0)))),""))</f>
        <v/>
      </c>
      <c r="T523">
        <f t="shared" si="46"/>
        <v>0</v>
      </c>
    </row>
    <row r="524" spans="2:20" ht="18" customHeight="1" x14ac:dyDescent="0.2">
      <c r="B524" s="85" t="s">
        <v>119</v>
      </c>
      <c r="C524" s="86" t="str">
        <f t="shared" si="43"/>
        <v>Desafio 26</v>
      </c>
      <c r="D524" s="87" t="str">
        <f>'⚙️ Configuração'!C47</f>
        <v>-</v>
      </c>
      <c r="E524" s="50">
        <v>0</v>
      </c>
      <c r="F524" s="50">
        <v>0</v>
      </c>
      <c r="G524" s="50">
        <v>0</v>
      </c>
      <c r="H524" s="50">
        <v>0</v>
      </c>
      <c r="I524" s="50">
        <v>0</v>
      </c>
      <c r="J524" s="89">
        <v>0</v>
      </c>
      <c r="K524" s="81">
        <f>(E524*'⚙️ Configuração'!$C$6+F524*'⚙️ Configuração'!$C$7+G524*'⚙️ Configuração'!$C$8+H524*'⚙️ Configuração'!$C$9+I524*'⚙️ Configuração'!$C$10+J524*'⚙️ Configuração'!$C$11)*IF(N524="S",2,1)</f>
        <v>0</v>
      </c>
      <c r="L524" s="90" t="s">
        <v>167</v>
      </c>
      <c r="M524" s="82">
        <f>IF(L524="AT1",'⚙️ Configuração'!$C$14,IF(L524="AT2",'⚙️ Configuração'!$C$15,IF(L524="FI",'⚙️ Configuração'!$C$16,IF(L524="FJ",'⚙️ Configuração'!$C$17,0))))</f>
        <v>0</v>
      </c>
      <c r="N524" s="91" t="s">
        <v>167</v>
      </c>
      <c r="O524" s="92"/>
      <c r="P524" s="83">
        <f>IF(O524="1",'⚙️ Configuração'!$C$21,IF(O524="2",'⚙️ Configuração'!$C$22,IF(O524="3",'⚙️ Configuração'!$C$23,IF(O524="Outro",'⚙️ Configuração'!$C$24,0))))</f>
        <v>0</v>
      </c>
      <c r="Q524" s="84">
        <f t="shared" si="45"/>
        <v>0</v>
      </c>
      <c r="R524" s="40" t="str">
        <f t="shared" si="44"/>
        <v>Semana 1 — ver 🔄</v>
      </c>
      <c r="S524" t="str" cm="1">
        <f t="array" ref="S524">IF(D524="","",IFERROR(_xlfn.SWITCH(B524,"Semana 1",IFERROR(INDEX('🔄 Rotação Duplas'!$D$8:$D$17,MATCH(D524,'🔄 Rotação Duplas'!$C$8:$C$17,0)),INDEX('🔄 Rotação Duplas'!$C$8:$C$17,MATCH(D524,'🔄 Rotação Duplas'!$D$8:$D$17,0))),"Semana 2",IFERROR(INDEX('🔄 Rotação Duplas'!$D$22:$D$31,MATCH(D524,'🔄 Rotação Duplas'!$C$22:$C$31,0)),INDEX('🔄 Rotação Duplas'!$C$22:$C$31,MATCH(D524,'🔄 Rotação Duplas'!$D$22:$D$31,0))),"Semana 3",IFERROR(INDEX('🔄 Rotação Duplas'!$D$36:$D$45,MATCH(D524,'🔄 Rotação Duplas'!$C$36:$C$45,0)),INDEX('🔄 Rotação Duplas'!$C$36:$C$45,MATCH(D524,'🔄 Rotação Duplas'!$D$36:$D$45,0))),"Semana 4",IFERROR(INDEX('🔄 Rotação Duplas'!$D$50:$D$59,MATCH(D524,'🔄 Rotação Duplas'!$C$50:$C$59,0)),INDEX('🔄 Rotação Duplas'!$C$50:$C$59,MATCH(D524,'🔄 Rotação Duplas'!$D$50:$D$59,0))),"Semana 5",IFERROR(INDEX('🔄 Rotação Duplas'!$D$64:$D$73,MATCH(D524,'🔄 Rotação Duplas'!$C$64:$C$73,0)),INDEX('🔄 Rotação Duplas'!$C$64:$C$73,MATCH(D524,'🔄 Rotação Duplas'!$D$64:$D$73,0))),"Semana 6",IFERROR(INDEX('🔄 Rotação Duplas'!$D$78:$D$87,MATCH(D524,'🔄 Rotação Duplas'!$C$78:$C$87,0)),INDEX('🔄 Rotação Duplas'!$C$78:$C$87,MATCH(D524,'🔄 Rotação Duplas'!$D$78:$D$87,0))),"Semana 7",IFERROR(INDEX('🔄 Rotação Duplas'!$D$92:$D$101,MATCH(D524,'🔄 Rotação Duplas'!$C$92:$C$101,0)),INDEX('🔄 Rotação Duplas'!$C$92:$C$101,MATCH(D524,'🔄 Rotação Duplas'!$D$92:$D$101,0))),"Semana 8",IFERROR(INDEX('🔄 Rotação Duplas'!$D$106:$D$115,MATCH(D524,'🔄 Rotação Duplas'!$C$106:$C$115,0)),INDEX('🔄 Rotação Duplas'!$C$106:$C$115,MATCH(D524,'🔄 Rotação Duplas'!$D$106:$D$115,0)))),""))</f>
        <v/>
      </c>
      <c r="T524">
        <f t="shared" si="46"/>
        <v>0</v>
      </c>
    </row>
    <row r="525" spans="2:20" ht="18" customHeight="1" x14ac:dyDescent="0.2">
      <c r="B525" s="78" t="s">
        <v>119</v>
      </c>
      <c r="C525" s="79" t="str">
        <f t="shared" si="43"/>
        <v>Desafio 26</v>
      </c>
      <c r="D525" s="80" t="str">
        <f>'⚙️ Configuração'!C48</f>
        <v>-</v>
      </c>
      <c r="E525" s="50">
        <v>0</v>
      </c>
      <c r="F525" s="50">
        <v>0</v>
      </c>
      <c r="G525" s="50">
        <v>0</v>
      </c>
      <c r="H525" s="50">
        <v>0</v>
      </c>
      <c r="I525" s="50">
        <v>0</v>
      </c>
      <c r="J525" s="89">
        <v>0</v>
      </c>
      <c r="K525" s="81">
        <f>(E525*'⚙️ Configuração'!$C$6+F525*'⚙️ Configuração'!$C$7+G525*'⚙️ Configuração'!$C$8+H525*'⚙️ Configuração'!$C$9+I525*'⚙️ Configuração'!$C$10+J525*'⚙️ Configuração'!$C$11)*IF(N525="S",2,1)</f>
        <v>0</v>
      </c>
      <c r="L525" s="90" t="s">
        <v>167</v>
      </c>
      <c r="M525" s="82">
        <f>IF(L525="AT1",'⚙️ Configuração'!$C$14,IF(L525="AT2",'⚙️ Configuração'!$C$15,IF(L525="FI",'⚙️ Configuração'!$C$16,IF(L525="FJ",'⚙️ Configuração'!$C$17,0))))</f>
        <v>0</v>
      </c>
      <c r="N525" s="91" t="s">
        <v>167</v>
      </c>
      <c r="O525" s="92"/>
      <c r="P525" s="83">
        <f>IF(O525="1",'⚙️ Configuração'!$C$21,IF(O525="2",'⚙️ Configuração'!$C$22,IF(O525="3",'⚙️ Configuração'!$C$23,IF(O525="Outro",'⚙️ Configuração'!$C$24,0))))</f>
        <v>0</v>
      </c>
      <c r="Q525" s="84">
        <f t="shared" si="45"/>
        <v>0</v>
      </c>
      <c r="R525" s="40" t="str">
        <f t="shared" si="44"/>
        <v>Semana 1 — ver 🔄</v>
      </c>
      <c r="S525" t="str" cm="1">
        <f t="array" ref="S525">IF(D525="","",IFERROR(_xlfn.SWITCH(B525,"Semana 1",IFERROR(INDEX('🔄 Rotação Duplas'!$D$8:$D$17,MATCH(D525,'🔄 Rotação Duplas'!$C$8:$C$17,0)),INDEX('🔄 Rotação Duplas'!$C$8:$C$17,MATCH(D525,'🔄 Rotação Duplas'!$D$8:$D$17,0))),"Semana 2",IFERROR(INDEX('🔄 Rotação Duplas'!$D$22:$D$31,MATCH(D525,'🔄 Rotação Duplas'!$C$22:$C$31,0)),INDEX('🔄 Rotação Duplas'!$C$22:$C$31,MATCH(D525,'🔄 Rotação Duplas'!$D$22:$D$31,0))),"Semana 3",IFERROR(INDEX('🔄 Rotação Duplas'!$D$36:$D$45,MATCH(D525,'🔄 Rotação Duplas'!$C$36:$C$45,0)),INDEX('🔄 Rotação Duplas'!$C$36:$C$45,MATCH(D525,'🔄 Rotação Duplas'!$D$36:$D$45,0))),"Semana 4",IFERROR(INDEX('🔄 Rotação Duplas'!$D$50:$D$59,MATCH(D525,'🔄 Rotação Duplas'!$C$50:$C$59,0)),INDEX('🔄 Rotação Duplas'!$C$50:$C$59,MATCH(D525,'🔄 Rotação Duplas'!$D$50:$D$59,0))),"Semana 5",IFERROR(INDEX('🔄 Rotação Duplas'!$D$64:$D$73,MATCH(D525,'🔄 Rotação Duplas'!$C$64:$C$73,0)),INDEX('🔄 Rotação Duplas'!$C$64:$C$73,MATCH(D525,'🔄 Rotação Duplas'!$D$64:$D$73,0))),"Semana 6",IFERROR(INDEX('🔄 Rotação Duplas'!$D$78:$D$87,MATCH(D525,'🔄 Rotação Duplas'!$C$78:$C$87,0)),INDEX('🔄 Rotação Duplas'!$C$78:$C$87,MATCH(D525,'🔄 Rotação Duplas'!$D$78:$D$87,0))),"Semana 7",IFERROR(INDEX('🔄 Rotação Duplas'!$D$92:$D$101,MATCH(D525,'🔄 Rotação Duplas'!$C$92:$C$101,0)),INDEX('🔄 Rotação Duplas'!$C$92:$C$101,MATCH(D525,'🔄 Rotação Duplas'!$D$92:$D$101,0))),"Semana 8",IFERROR(INDEX('🔄 Rotação Duplas'!$D$106:$D$115,MATCH(D525,'🔄 Rotação Duplas'!$C$106:$C$115,0)),INDEX('🔄 Rotação Duplas'!$C$106:$C$115,MATCH(D525,'🔄 Rotação Duplas'!$D$106:$D$115,0)))),""))</f>
        <v/>
      </c>
      <c r="T525">
        <f t="shared" si="46"/>
        <v>0</v>
      </c>
    </row>
    <row r="526" spans="2:20" ht="18" customHeight="1" x14ac:dyDescent="0.2">
      <c r="B526" s="85" t="s">
        <v>119</v>
      </c>
      <c r="C526" s="86" t="str">
        <f t="shared" si="43"/>
        <v>Desafio 26</v>
      </c>
      <c r="D526" s="87" t="str">
        <f>'⚙️ Configuração'!C49</f>
        <v>-</v>
      </c>
      <c r="E526" s="50">
        <v>0</v>
      </c>
      <c r="F526" s="50">
        <v>0</v>
      </c>
      <c r="G526" s="50">
        <v>0</v>
      </c>
      <c r="H526" s="50">
        <v>0</v>
      </c>
      <c r="I526" s="50">
        <v>0</v>
      </c>
      <c r="J526" s="89">
        <v>0</v>
      </c>
      <c r="K526" s="81">
        <f>(E526*'⚙️ Configuração'!$C$6+F526*'⚙️ Configuração'!$C$7+G526*'⚙️ Configuração'!$C$8+H526*'⚙️ Configuração'!$C$9+I526*'⚙️ Configuração'!$C$10+J526*'⚙️ Configuração'!$C$11)*IF(N526="S",2,1)</f>
        <v>0</v>
      </c>
      <c r="L526" s="90" t="s">
        <v>167</v>
      </c>
      <c r="M526" s="82">
        <f>IF(L526="AT1",'⚙️ Configuração'!$C$14,IF(L526="AT2",'⚙️ Configuração'!$C$15,IF(L526="FI",'⚙️ Configuração'!$C$16,IF(L526="FJ",'⚙️ Configuração'!$C$17,0))))</f>
        <v>0</v>
      </c>
      <c r="N526" s="91" t="s">
        <v>167</v>
      </c>
      <c r="O526" s="92"/>
      <c r="P526" s="83">
        <f>IF(O526="1",'⚙️ Configuração'!$C$21,IF(O526="2",'⚙️ Configuração'!$C$22,IF(O526="3",'⚙️ Configuração'!$C$23,IF(O526="Outro",'⚙️ Configuração'!$C$24,0))))</f>
        <v>0</v>
      </c>
      <c r="Q526" s="84">
        <f t="shared" si="45"/>
        <v>0</v>
      </c>
      <c r="R526" s="40" t="str">
        <f t="shared" si="44"/>
        <v>Semana 1 — ver 🔄</v>
      </c>
      <c r="S526" t="str" cm="1">
        <f t="array" ref="S526">IF(D526="","",IFERROR(_xlfn.SWITCH(B526,"Semana 1",IFERROR(INDEX('🔄 Rotação Duplas'!$D$8:$D$17,MATCH(D526,'🔄 Rotação Duplas'!$C$8:$C$17,0)),INDEX('🔄 Rotação Duplas'!$C$8:$C$17,MATCH(D526,'🔄 Rotação Duplas'!$D$8:$D$17,0))),"Semana 2",IFERROR(INDEX('🔄 Rotação Duplas'!$D$22:$D$31,MATCH(D526,'🔄 Rotação Duplas'!$C$22:$C$31,0)),INDEX('🔄 Rotação Duplas'!$C$22:$C$31,MATCH(D526,'🔄 Rotação Duplas'!$D$22:$D$31,0))),"Semana 3",IFERROR(INDEX('🔄 Rotação Duplas'!$D$36:$D$45,MATCH(D526,'🔄 Rotação Duplas'!$C$36:$C$45,0)),INDEX('🔄 Rotação Duplas'!$C$36:$C$45,MATCH(D526,'🔄 Rotação Duplas'!$D$36:$D$45,0))),"Semana 4",IFERROR(INDEX('🔄 Rotação Duplas'!$D$50:$D$59,MATCH(D526,'🔄 Rotação Duplas'!$C$50:$C$59,0)),INDEX('🔄 Rotação Duplas'!$C$50:$C$59,MATCH(D526,'🔄 Rotação Duplas'!$D$50:$D$59,0))),"Semana 5",IFERROR(INDEX('🔄 Rotação Duplas'!$D$64:$D$73,MATCH(D526,'🔄 Rotação Duplas'!$C$64:$C$73,0)),INDEX('🔄 Rotação Duplas'!$C$64:$C$73,MATCH(D526,'🔄 Rotação Duplas'!$D$64:$D$73,0))),"Semana 6",IFERROR(INDEX('🔄 Rotação Duplas'!$D$78:$D$87,MATCH(D526,'🔄 Rotação Duplas'!$C$78:$C$87,0)),INDEX('🔄 Rotação Duplas'!$C$78:$C$87,MATCH(D526,'🔄 Rotação Duplas'!$D$78:$D$87,0))),"Semana 7",IFERROR(INDEX('🔄 Rotação Duplas'!$D$92:$D$101,MATCH(D526,'🔄 Rotação Duplas'!$C$92:$C$101,0)),INDEX('🔄 Rotação Duplas'!$C$92:$C$101,MATCH(D526,'🔄 Rotação Duplas'!$D$92:$D$101,0))),"Semana 8",IFERROR(INDEX('🔄 Rotação Duplas'!$D$106:$D$115,MATCH(D526,'🔄 Rotação Duplas'!$C$106:$C$115,0)),INDEX('🔄 Rotação Duplas'!$C$106:$C$115,MATCH(D526,'🔄 Rotação Duplas'!$D$106:$D$115,0)))),""))</f>
        <v/>
      </c>
      <c r="T526">
        <f t="shared" si="46"/>
        <v>0</v>
      </c>
    </row>
    <row r="527" spans="2:20" ht="18" customHeight="1" x14ac:dyDescent="0.2">
      <c r="B527" s="78" t="s">
        <v>119</v>
      </c>
      <c r="C527" s="79" t="str">
        <f t="shared" ref="C527:C546" si="47">"Desafio 27"</f>
        <v>Desafio 27</v>
      </c>
      <c r="D527" s="80" t="str">
        <f>'⚙️ Configuração'!C30</f>
        <v>Carla Cantante</v>
      </c>
      <c r="E527" s="50">
        <v>0</v>
      </c>
      <c r="F527" s="50">
        <v>0</v>
      </c>
      <c r="G527" s="50">
        <v>0</v>
      </c>
      <c r="H527" s="50">
        <v>0</v>
      </c>
      <c r="I527" s="50">
        <v>0</v>
      </c>
      <c r="J527" s="89">
        <v>0</v>
      </c>
      <c r="K527" s="81">
        <f>(E527*'⚙️ Configuração'!$C$6+F527*'⚙️ Configuração'!$C$7+G527*'⚙️ Configuração'!$C$8+H527*'⚙️ Configuração'!$C$9+I527*'⚙️ Configuração'!$C$10+J527*'⚙️ Configuração'!$C$11)*IF(N527="S",2,1)</f>
        <v>0</v>
      </c>
      <c r="L527" s="90" t="s">
        <v>167</v>
      </c>
      <c r="M527" s="82">
        <f>IF(L527="AT1",'⚙️ Configuração'!$C$14,IF(L527="AT2",'⚙️ Configuração'!$C$15,IF(L527="FI",'⚙️ Configuração'!$C$16,IF(L527="FJ",'⚙️ Configuração'!$C$17,0))))</f>
        <v>0</v>
      </c>
      <c r="N527" s="91" t="s">
        <v>167</v>
      </c>
      <c r="O527" s="92"/>
      <c r="P527" s="83">
        <f>IF(O527="1",'⚙️ Configuração'!$C$21,IF(O527="2",'⚙️ Configuração'!$C$22,IF(O527="3",'⚙️ Configuração'!$C$23,IF(O527="Outro",'⚙️ Configuração'!$C$24,0))))</f>
        <v>0</v>
      </c>
      <c r="Q527" s="84">
        <f t="shared" si="45"/>
        <v>0</v>
      </c>
      <c r="R527" s="40" t="str">
        <f t="shared" si="44"/>
        <v>Semana 1 — ver 🔄</v>
      </c>
      <c r="S527" t="str" cm="1">
        <f t="array" ref="S527">IF(D527="","",IFERROR(_xlfn.SWITCH(B527,"Semana 1",IFERROR(INDEX('🔄 Rotação Duplas'!$D$8:$D$17,MATCH(D527,'🔄 Rotação Duplas'!$C$8:$C$17,0)),INDEX('🔄 Rotação Duplas'!$C$8:$C$17,MATCH(D527,'🔄 Rotação Duplas'!$D$8:$D$17,0))),"Semana 2",IFERROR(INDEX('🔄 Rotação Duplas'!$D$22:$D$31,MATCH(D527,'🔄 Rotação Duplas'!$C$22:$C$31,0)),INDEX('🔄 Rotação Duplas'!$C$22:$C$31,MATCH(D527,'🔄 Rotação Duplas'!$D$22:$D$31,0))),"Semana 3",IFERROR(INDEX('🔄 Rotação Duplas'!$D$36:$D$45,MATCH(D527,'🔄 Rotação Duplas'!$C$36:$C$45,0)),INDEX('🔄 Rotação Duplas'!$C$36:$C$45,MATCH(D527,'🔄 Rotação Duplas'!$D$36:$D$45,0))),"Semana 4",IFERROR(INDEX('🔄 Rotação Duplas'!$D$50:$D$59,MATCH(D527,'🔄 Rotação Duplas'!$C$50:$C$59,0)),INDEX('🔄 Rotação Duplas'!$C$50:$C$59,MATCH(D527,'🔄 Rotação Duplas'!$D$50:$D$59,0))),"Semana 5",IFERROR(INDEX('🔄 Rotação Duplas'!$D$64:$D$73,MATCH(D527,'🔄 Rotação Duplas'!$C$64:$C$73,0)),INDEX('🔄 Rotação Duplas'!$C$64:$C$73,MATCH(D527,'🔄 Rotação Duplas'!$D$64:$D$73,0))),"Semana 6",IFERROR(INDEX('🔄 Rotação Duplas'!$D$78:$D$87,MATCH(D527,'🔄 Rotação Duplas'!$C$78:$C$87,0)),INDEX('🔄 Rotação Duplas'!$C$78:$C$87,MATCH(D527,'🔄 Rotação Duplas'!$D$78:$D$87,0))),"Semana 7",IFERROR(INDEX('🔄 Rotação Duplas'!$D$92:$D$101,MATCH(D527,'🔄 Rotação Duplas'!$C$92:$C$101,0)),INDEX('🔄 Rotação Duplas'!$C$92:$C$101,MATCH(D527,'🔄 Rotação Duplas'!$D$92:$D$101,0))),"Semana 8",IFERROR(INDEX('🔄 Rotação Duplas'!$D$106:$D$115,MATCH(D527,'🔄 Rotação Duplas'!$C$106:$C$115,0)),INDEX('🔄 Rotação Duplas'!$C$106:$C$115,MATCH(D527,'🔄 Rotação Duplas'!$D$106:$D$115,0)))),""))</f>
        <v/>
      </c>
      <c r="T527">
        <f t="shared" si="46"/>
        <v>0</v>
      </c>
    </row>
    <row r="528" spans="2:20" ht="18" customHeight="1" x14ac:dyDescent="0.2">
      <c r="B528" s="85" t="s">
        <v>119</v>
      </c>
      <c r="C528" s="86" t="str">
        <f t="shared" si="47"/>
        <v>Desafio 27</v>
      </c>
      <c r="D528" s="87" t="str">
        <f>'⚙️ Configuração'!C31</f>
        <v>Elisabete Mendes</v>
      </c>
      <c r="E528" s="50">
        <v>0</v>
      </c>
      <c r="F528" s="50">
        <v>0</v>
      </c>
      <c r="G528" s="50">
        <v>0</v>
      </c>
      <c r="H528" s="50">
        <v>0</v>
      </c>
      <c r="I528" s="50">
        <v>0</v>
      </c>
      <c r="J528" s="89">
        <v>0</v>
      </c>
      <c r="K528" s="81">
        <f>(E528*'⚙️ Configuração'!$C$6+F528*'⚙️ Configuração'!$C$7+G528*'⚙️ Configuração'!$C$8+H528*'⚙️ Configuração'!$C$9+I528*'⚙️ Configuração'!$C$10+J528*'⚙️ Configuração'!$C$11)*IF(N528="S",2,1)</f>
        <v>0</v>
      </c>
      <c r="L528" s="90" t="s">
        <v>167</v>
      </c>
      <c r="M528" s="82">
        <f>IF(L528="AT1",'⚙️ Configuração'!$C$14,IF(L528="AT2",'⚙️ Configuração'!$C$15,IF(L528="FI",'⚙️ Configuração'!$C$16,IF(L528="FJ",'⚙️ Configuração'!$C$17,0))))</f>
        <v>0</v>
      </c>
      <c r="N528" s="91" t="s">
        <v>167</v>
      </c>
      <c r="O528" s="92"/>
      <c r="P528" s="83">
        <f>IF(O528="1",'⚙️ Configuração'!$C$21,IF(O528="2",'⚙️ Configuração'!$C$22,IF(O528="3",'⚙️ Configuração'!$C$23,IF(O528="Outro",'⚙️ Configuração'!$C$24,0))))</f>
        <v>0</v>
      </c>
      <c r="Q528" s="84">
        <f t="shared" si="45"/>
        <v>0</v>
      </c>
      <c r="R528" s="40" t="str">
        <f t="shared" si="44"/>
        <v>Semana 1 — ver 🔄</v>
      </c>
      <c r="S528" t="str" cm="1">
        <f t="array" ref="S528">IF(D528="","",IFERROR(_xlfn.SWITCH(B528,"Semana 1",IFERROR(INDEX('🔄 Rotação Duplas'!$D$8:$D$17,MATCH(D528,'🔄 Rotação Duplas'!$C$8:$C$17,0)),INDEX('🔄 Rotação Duplas'!$C$8:$C$17,MATCH(D528,'🔄 Rotação Duplas'!$D$8:$D$17,0))),"Semana 2",IFERROR(INDEX('🔄 Rotação Duplas'!$D$22:$D$31,MATCH(D528,'🔄 Rotação Duplas'!$C$22:$C$31,0)),INDEX('🔄 Rotação Duplas'!$C$22:$C$31,MATCH(D528,'🔄 Rotação Duplas'!$D$22:$D$31,0))),"Semana 3",IFERROR(INDEX('🔄 Rotação Duplas'!$D$36:$D$45,MATCH(D528,'🔄 Rotação Duplas'!$C$36:$C$45,0)),INDEX('🔄 Rotação Duplas'!$C$36:$C$45,MATCH(D528,'🔄 Rotação Duplas'!$D$36:$D$45,0))),"Semana 4",IFERROR(INDEX('🔄 Rotação Duplas'!$D$50:$D$59,MATCH(D528,'🔄 Rotação Duplas'!$C$50:$C$59,0)),INDEX('🔄 Rotação Duplas'!$C$50:$C$59,MATCH(D528,'🔄 Rotação Duplas'!$D$50:$D$59,0))),"Semana 5",IFERROR(INDEX('🔄 Rotação Duplas'!$D$64:$D$73,MATCH(D528,'🔄 Rotação Duplas'!$C$64:$C$73,0)),INDEX('🔄 Rotação Duplas'!$C$64:$C$73,MATCH(D528,'🔄 Rotação Duplas'!$D$64:$D$73,0))),"Semana 6",IFERROR(INDEX('🔄 Rotação Duplas'!$D$78:$D$87,MATCH(D528,'🔄 Rotação Duplas'!$C$78:$C$87,0)),INDEX('🔄 Rotação Duplas'!$C$78:$C$87,MATCH(D528,'🔄 Rotação Duplas'!$D$78:$D$87,0))),"Semana 7",IFERROR(INDEX('🔄 Rotação Duplas'!$D$92:$D$101,MATCH(D528,'🔄 Rotação Duplas'!$C$92:$C$101,0)),INDEX('🔄 Rotação Duplas'!$C$92:$C$101,MATCH(D528,'🔄 Rotação Duplas'!$D$92:$D$101,0))),"Semana 8",IFERROR(INDEX('🔄 Rotação Duplas'!$D$106:$D$115,MATCH(D528,'🔄 Rotação Duplas'!$C$106:$C$115,0)),INDEX('🔄 Rotação Duplas'!$C$106:$C$115,MATCH(D528,'🔄 Rotação Duplas'!$D$106:$D$115,0)))),""))</f>
        <v/>
      </c>
      <c r="T528">
        <f t="shared" si="46"/>
        <v>0</v>
      </c>
    </row>
    <row r="529" spans="2:20" ht="18" customHeight="1" x14ac:dyDescent="0.2">
      <c r="B529" s="78" t="s">
        <v>119</v>
      </c>
      <c r="C529" s="79" t="str">
        <f t="shared" si="47"/>
        <v>Desafio 27</v>
      </c>
      <c r="D529" s="80" t="str">
        <f>'⚙️ Configuração'!C32</f>
        <v>Filipa Cunha</v>
      </c>
      <c r="E529" s="50">
        <v>0</v>
      </c>
      <c r="F529" s="50">
        <v>0</v>
      </c>
      <c r="G529" s="50">
        <v>0</v>
      </c>
      <c r="H529" s="50">
        <v>0</v>
      </c>
      <c r="I529" s="50">
        <v>0</v>
      </c>
      <c r="J529" s="89">
        <v>0</v>
      </c>
      <c r="K529" s="81">
        <f>(E529*'⚙️ Configuração'!$C$6+F529*'⚙️ Configuração'!$C$7+G529*'⚙️ Configuração'!$C$8+H529*'⚙️ Configuração'!$C$9+I529*'⚙️ Configuração'!$C$10+J529*'⚙️ Configuração'!$C$11)*IF(N529="S",2,1)</f>
        <v>0</v>
      </c>
      <c r="L529" s="90" t="s">
        <v>167</v>
      </c>
      <c r="M529" s="82">
        <f>IF(L529="AT1",'⚙️ Configuração'!$C$14,IF(L529="AT2",'⚙️ Configuração'!$C$15,IF(L529="FI",'⚙️ Configuração'!$C$16,IF(L529="FJ",'⚙️ Configuração'!$C$17,0))))</f>
        <v>0</v>
      </c>
      <c r="N529" s="91" t="s">
        <v>167</v>
      </c>
      <c r="O529" s="92"/>
      <c r="P529" s="83">
        <f>IF(O529="1",'⚙️ Configuração'!$C$21,IF(O529="2",'⚙️ Configuração'!$C$22,IF(O529="3",'⚙️ Configuração'!$C$23,IF(O529="Outro",'⚙️ Configuração'!$C$24,0))))</f>
        <v>0</v>
      </c>
      <c r="Q529" s="84">
        <f t="shared" si="45"/>
        <v>0</v>
      </c>
      <c r="R529" s="40" t="str">
        <f t="shared" si="44"/>
        <v>Semana 1 — ver 🔄</v>
      </c>
      <c r="S529" t="str" cm="1">
        <f t="array" ref="S529">IF(D529="","",IFERROR(_xlfn.SWITCH(B529,"Semana 1",IFERROR(INDEX('🔄 Rotação Duplas'!$D$8:$D$17,MATCH(D529,'🔄 Rotação Duplas'!$C$8:$C$17,0)),INDEX('🔄 Rotação Duplas'!$C$8:$C$17,MATCH(D529,'🔄 Rotação Duplas'!$D$8:$D$17,0))),"Semana 2",IFERROR(INDEX('🔄 Rotação Duplas'!$D$22:$D$31,MATCH(D529,'🔄 Rotação Duplas'!$C$22:$C$31,0)),INDEX('🔄 Rotação Duplas'!$C$22:$C$31,MATCH(D529,'🔄 Rotação Duplas'!$D$22:$D$31,0))),"Semana 3",IFERROR(INDEX('🔄 Rotação Duplas'!$D$36:$D$45,MATCH(D529,'🔄 Rotação Duplas'!$C$36:$C$45,0)),INDEX('🔄 Rotação Duplas'!$C$36:$C$45,MATCH(D529,'🔄 Rotação Duplas'!$D$36:$D$45,0))),"Semana 4",IFERROR(INDEX('🔄 Rotação Duplas'!$D$50:$D$59,MATCH(D529,'🔄 Rotação Duplas'!$C$50:$C$59,0)),INDEX('🔄 Rotação Duplas'!$C$50:$C$59,MATCH(D529,'🔄 Rotação Duplas'!$D$50:$D$59,0))),"Semana 5",IFERROR(INDEX('🔄 Rotação Duplas'!$D$64:$D$73,MATCH(D529,'🔄 Rotação Duplas'!$C$64:$C$73,0)),INDEX('🔄 Rotação Duplas'!$C$64:$C$73,MATCH(D529,'🔄 Rotação Duplas'!$D$64:$D$73,0))),"Semana 6",IFERROR(INDEX('🔄 Rotação Duplas'!$D$78:$D$87,MATCH(D529,'🔄 Rotação Duplas'!$C$78:$C$87,0)),INDEX('🔄 Rotação Duplas'!$C$78:$C$87,MATCH(D529,'🔄 Rotação Duplas'!$D$78:$D$87,0))),"Semana 7",IFERROR(INDEX('🔄 Rotação Duplas'!$D$92:$D$101,MATCH(D529,'🔄 Rotação Duplas'!$C$92:$C$101,0)),INDEX('🔄 Rotação Duplas'!$C$92:$C$101,MATCH(D529,'🔄 Rotação Duplas'!$D$92:$D$101,0))),"Semana 8",IFERROR(INDEX('🔄 Rotação Duplas'!$D$106:$D$115,MATCH(D529,'🔄 Rotação Duplas'!$C$106:$C$115,0)),INDEX('🔄 Rotação Duplas'!$C$106:$C$115,MATCH(D529,'🔄 Rotação Duplas'!$D$106:$D$115,0)))),""))</f>
        <v/>
      </c>
      <c r="T529">
        <f t="shared" si="46"/>
        <v>0</v>
      </c>
    </row>
    <row r="530" spans="2:20" ht="18" customHeight="1" x14ac:dyDescent="0.2">
      <c r="B530" s="85" t="s">
        <v>119</v>
      </c>
      <c r="C530" s="86" t="str">
        <f t="shared" si="47"/>
        <v>Desafio 27</v>
      </c>
      <c r="D530" s="87" t="str">
        <f>'⚙️ Configuração'!C33</f>
        <v>Helena Rocha</v>
      </c>
      <c r="E530" s="50">
        <v>0</v>
      </c>
      <c r="F530" s="50">
        <v>0</v>
      </c>
      <c r="G530" s="50">
        <v>0</v>
      </c>
      <c r="H530" s="50">
        <v>0</v>
      </c>
      <c r="I530" s="50">
        <v>0</v>
      </c>
      <c r="J530" s="89">
        <v>0</v>
      </c>
      <c r="K530" s="81">
        <f>(E530*'⚙️ Configuração'!$C$6+F530*'⚙️ Configuração'!$C$7+G530*'⚙️ Configuração'!$C$8+H530*'⚙️ Configuração'!$C$9+I530*'⚙️ Configuração'!$C$10+J530*'⚙️ Configuração'!$C$11)*IF(N530="S",2,1)</f>
        <v>0</v>
      </c>
      <c r="L530" s="90" t="s">
        <v>167</v>
      </c>
      <c r="M530" s="82">
        <f>IF(L530="AT1",'⚙️ Configuração'!$C$14,IF(L530="AT2",'⚙️ Configuração'!$C$15,IF(L530="FI",'⚙️ Configuração'!$C$16,IF(L530="FJ",'⚙️ Configuração'!$C$17,0))))</f>
        <v>0</v>
      </c>
      <c r="N530" s="91" t="s">
        <v>167</v>
      </c>
      <c r="O530" s="92"/>
      <c r="P530" s="83">
        <f>IF(O530="1",'⚙️ Configuração'!$C$21,IF(O530="2",'⚙️ Configuração'!$C$22,IF(O530="3",'⚙️ Configuração'!$C$23,IF(O530="Outro",'⚙️ Configuração'!$C$24,0))))</f>
        <v>0</v>
      </c>
      <c r="Q530" s="84">
        <f t="shared" si="45"/>
        <v>0</v>
      </c>
      <c r="R530" s="40" t="str">
        <f t="shared" si="44"/>
        <v>Semana 1 — ver 🔄</v>
      </c>
      <c r="S530" t="str" cm="1">
        <f t="array" ref="S530">IF(D530="","",IFERROR(_xlfn.SWITCH(B530,"Semana 1",IFERROR(INDEX('🔄 Rotação Duplas'!$D$8:$D$17,MATCH(D530,'🔄 Rotação Duplas'!$C$8:$C$17,0)),INDEX('🔄 Rotação Duplas'!$C$8:$C$17,MATCH(D530,'🔄 Rotação Duplas'!$D$8:$D$17,0))),"Semana 2",IFERROR(INDEX('🔄 Rotação Duplas'!$D$22:$D$31,MATCH(D530,'🔄 Rotação Duplas'!$C$22:$C$31,0)),INDEX('🔄 Rotação Duplas'!$C$22:$C$31,MATCH(D530,'🔄 Rotação Duplas'!$D$22:$D$31,0))),"Semana 3",IFERROR(INDEX('🔄 Rotação Duplas'!$D$36:$D$45,MATCH(D530,'🔄 Rotação Duplas'!$C$36:$C$45,0)),INDEX('🔄 Rotação Duplas'!$C$36:$C$45,MATCH(D530,'🔄 Rotação Duplas'!$D$36:$D$45,0))),"Semana 4",IFERROR(INDEX('🔄 Rotação Duplas'!$D$50:$D$59,MATCH(D530,'🔄 Rotação Duplas'!$C$50:$C$59,0)),INDEX('🔄 Rotação Duplas'!$C$50:$C$59,MATCH(D530,'🔄 Rotação Duplas'!$D$50:$D$59,0))),"Semana 5",IFERROR(INDEX('🔄 Rotação Duplas'!$D$64:$D$73,MATCH(D530,'🔄 Rotação Duplas'!$C$64:$C$73,0)),INDEX('🔄 Rotação Duplas'!$C$64:$C$73,MATCH(D530,'🔄 Rotação Duplas'!$D$64:$D$73,0))),"Semana 6",IFERROR(INDEX('🔄 Rotação Duplas'!$D$78:$D$87,MATCH(D530,'🔄 Rotação Duplas'!$C$78:$C$87,0)),INDEX('🔄 Rotação Duplas'!$C$78:$C$87,MATCH(D530,'🔄 Rotação Duplas'!$D$78:$D$87,0))),"Semana 7",IFERROR(INDEX('🔄 Rotação Duplas'!$D$92:$D$101,MATCH(D530,'🔄 Rotação Duplas'!$C$92:$C$101,0)),INDEX('🔄 Rotação Duplas'!$C$92:$C$101,MATCH(D530,'🔄 Rotação Duplas'!$D$92:$D$101,0))),"Semana 8",IFERROR(INDEX('🔄 Rotação Duplas'!$D$106:$D$115,MATCH(D530,'🔄 Rotação Duplas'!$C$106:$C$115,0)),INDEX('🔄 Rotação Duplas'!$C$106:$C$115,MATCH(D530,'🔄 Rotação Duplas'!$D$106:$D$115,0)))),""))</f>
        <v/>
      </c>
      <c r="T530">
        <f t="shared" si="46"/>
        <v>0</v>
      </c>
    </row>
    <row r="531" spans="2:20" ht="18" customHeight="1" x14ac:dyDescent="0.2">
      <c r="B531" s="78" t="s">
        <v>119</v>
      </c>
      <c r="C531" s="79" t="str">
        <f t="shared" si="47"/>
        <v>Desafio 27</v>
      </c>
      <c r="D531" s="80" t="str">
        <f>'⚙️ Configuração'!C34</f>
        <v>João Xavier</v>
      </c>
      <c r="E531" s="50">
        <v>0</v>
      </c>
      <c r="F531" s="50">
        <v>0</v>
      </c>
      <c r="G531" s="50">
        <v>0</v>
      </c>
      <c r="H531" s="50">
        <v>0</v>
      </c>
      <c r="I531" s="50">
        <v>0</v>
      </c>
      <c r="J531" s="89">
        <v>0</v>
      </c>
      <c r="K531" s="81">
        <f>(E531*'⚙️ Configuração'!$C$6+F531*'⚙️ Configuração'!$C$7+G531*'⚙️ Configuração'!$C$8+H531*'⚙️ Configuração'!$C$9+I531*'⚙️ Configuração'!$C$10+J531*'⚙️ Configuração'!$C$11)*IF(N531="S",2,1)</f>
        <v>0</v>
      </c>
      <c r="L531" s="90" t="s">
        <v>167</v>
      </c>
      <c r="M531" s="82">
        <f>IF(L531="AT1",'⚙️ Configuração'!$C$14,IF(L531="AT2",'⚙️ Configuração'!$C$15,IF(L531="FI",'⚙️ Configuração'!$C$16,IF(L531="FJ",'⚙️ Configuração'!$C$17,0))))</f>
        <v>0</v>
      </c>
      <c r="N531" s="91" t="s">
        <v>167</v>
      </c>
      <c r="O531" s="92"/>
      <c r="P531" s="83">
        <f>IF(O531="1",'⚙️ Configuração'!$C$21,IF(O531="2",'⚙️ Configuração'!$C$22,IF(O531="3",'⚙️ Configuração'!$C$23,IF(O531="Outro",'⚙️ Configuração'!$C$24,0))))</f>
        <v>0</v>
      </c>
      <c r="Q531" s="84">
        <f t="shared" si="45"/>
        <v>0</v>
      </c>
      <c r="R531" s="40" t="str">
        <f t="shared" si="44"/>
        <v>Semana 1 — ver 🔄</v>
      </c>
      <c r="S531" t="str" cm="1">
        <f t="array" ref="S531">IF(D531="","",IFERROR(_xlfn.SWITCH(B531,"Semana 1",IFERROR(INDEX('🔄 Rotação Duplas'!$D$8:$D$17,MATCH(D531,'🔄 Rotação Duplas'!$C$8:$C$17,0)),INDEX('🔄 Rotação Duplas'!$C$8:$C$17,MATCH(D531,'🔄 Rotação Duplas'!$D$8:$D$17,0))),"Semana 2",IFERROR(INDEX('🔄 Rotação Duplas'!$D$22:$D$31,MATCH(D531,'🔄 Rotação Duplas'!$C$22:$C$31,0)),INDEX('🔄 Rotação Duplas'!$C$22:$C$31,MATCH(D531,'🔄 Rotação Duplas'!$D$22:$D$31,0))),"Semana 3",IFERROR(INDEX('🔄 Rotação Duplas'!$D$36:$D$45,MATCH(D531,'🔄 Rotação Duplas'!$C$36:$C$45,0)),INDEX('🔄 Rotação Duplas'!$C$36:$C$45,MATCH(D531,'🔄 Rotação Duplas'!$D$36:$D$45,0))),"Semana 4",IFERROR(INDEX('🔄 Rotação Duplas'!$D$50:$D$59,MATCH(D531,'🔄 Rotação Duplas'!$C$50:$C$59,0)),INDEX('🔄 Rotação Duplas'!$C$50:$C$59,MATCH(D531,'🔄 Rotação Duplas'!$D$50:$D$59,0))),"Semana 5",IFERROR(INDEX('🔄 Rotação Duplas'!$D$64:$D$73,MATCH(D531,'🔄 Rotação Duplas'!$C$64:$C$73,0)),INDEX('🔄 Rotação Duplas'!$C$64:$C$73,MATCH(D531,'🔄 Rotação Duplas'!$D$64:$D$73,0))),"Semana 6",IFERROR(INDEX('🔄 Rotação Duplas'!$D$78:$D$87,MATCH(D531,'🔄 Rotação Duplas'!$C$78:$C$87,0)),INDEX('🔄 Rotação Duplas'!$C$78:$C$87,MATCH(D531,'🔄 Rotação Duplas'!$D$78:$D$87,0))),"Semana 7",IFERROR(INDEX('🔄 Rotação Duplas'!$D$92:$D$101,MATCH(D531,'🔄 Rotação Duplas'!$C$92:$C$101,0)),INDEX('🔄 Rotação Duplas'!$C$92:$C$101,MATCH(D531,'🔄 Rotação Duplas'!$D$92:$D$101,0))),"Semana 8",IFERROR(INDEX('🔄 Rotação Duplas'!$D$106:$D$115,MATCH(D531,'🔄 Rotação Duplas'!$C$106:$C$115,0)),INDEX('🔄 Rotação Duplas'!$C$106:$C$115,MATCH(D531,'🔄 Rotação Duplas'!$D$106:$D$115,0)))),""))</f>
        <v/>
      </c>
      <c r="T531">
        <f t="shared" si="46"/>
        <v>0</v>
      </c>
    </row>
    <row r="532" spans="2:20" ht="18" customHeight="1" x14ac:dyDescent="0.2">
      <c r="B532" s="85" t="s">
        <v>119</v>
      </c>
      <c r="C532" s="86" t="str">
        <f t="shared" si="47"/>
        <v>Desafio 27</v>
      </c>
      <c r="D532" s="87" t="str">
        <f>'⚙️ Configuração'!C35</f>
        <v>Tomás Carlos</v>
      </c>
      <c r="E532" s="50">
        <v>0</v>
      </c>
      <c r="F532" s="50">
        <v>0</v>
      </c>
      <c r="G532" s="50">
        <v>0</v>
      </c>
      <c r="H532" s="50">
        <v>0</v>
      </c>
      <c r="I532" s="50">
        <v>0</v>
      </c>
      <c r="J532" s="89">
        <v>0</v>
      </c>
      <c r="K532" s="81">
        <f>(E532*'⚙️ Configuração'!$C$6+F532*'⚙️ Configuração'!$C$7+G532*'⚙️ Configuração'!$C$8+H532*'⚙️ Configuração'!$C$9+I532*'⚙️ Configuração'!$C$10+J532*'⚙️ Configuração'!$C$11)*IF(N532="S",2,1)</f>
        <v>0</v>
      </c>
      <c r="L532" s="90" t="s">
        <v>167</v>
      </c>
      <c r="M532" s="82">
        <f>IF(L532="AT1",'⚙️ Configuração'!$C$14,IF(L532="AT2",'⚙️ Configuração'!$C$15,IF(L532="FI",'⚙️ Configuração'!$C$16,IF(L532="FJ",'⚙️ Configuração'!$C$17,0))))</f>
        <v>0</v>
      </c>
      <c r="N532" s="91" t="s">
        <v>167</v>
      </c>
      <c r="O532" s="92"/>
      <c r="P532" s="83">
        <f>IF(O532="1",'⚙️ Configuração'!$C$21,IF(O532="2",'⚙️ Configuração'!$C$22,IF(O532="3",'⚙️ Configuração'!$C$23,IF(O532="Outro",'⚙️ Configuração'!$C$24,0))))</f>
        <v>0</v>
      </c>
      <c r="Q532" s="84">
        <f t="shared" si="45"/>
        <v>0</v>
      </c>
      <c r="R532" s="40" t="str">
        <f t="shared" si="44"/>
        <v>Semana 1 — ver 🔄</v>
      </c>
      <c r="S532" t="str" cm="1">
        <f t="array" ref="S532">IF(D532="","",IFERROR(_xlfn.SWITCH(B532,"Semana 1",IFERROR(INDEX('🔄 Rotação Duplas'!$D$8:$D$17,MATCH(D532,'🔄 Rotação Duplas'!$C$8:$C$17,0)),INDEX('🔄 Rotação Duplas'!$C$8:$C$17,MATCH(D532,'🔄 Rotação Duplas'!$D$8:$D$17,0))),"Semana 2",IFERROR(INDEX('🔄 Rotação Duplas'!$D$22:$D$31,MATCH(D532,'🔄 Rotação Duplas'!$C$22:$C$31,0)),INDEX('🔄 Rotação Duplas'!$C$22:$C$31,MATCH(D532,'🔄 Rotação Duplas'!$D$22:$D$31,0))),"Semana 3",IFERROR(INDEX('🔄 Rotação Duplas'!$D$36:$D$45,MATCH(D532,'🔄 Rotação Duplas'!$C$36:$C$45,0)),INDEX('🔄 Rotação Duplas'!$C$36:$C$45,MATCH(D532,'🔄 Rotação Duplas'!$D$36:$D$45,0))),"Semana 4",IFERROR(INDEX('🔄 Rotação Duplas'!$D$50:$D$59,MATCH(D532,'🔄 Rotação Duplas'!$C$50:$C$59,0)),INDEX('🔄 Rotação Duplas'!$C$50:$C$59,MATCH(D532,'🔄 Rotação Duplas'!$D$50:$D$59,0))),"Semana 5",IFERROR(INDEX('🔄 Rotação Duplas'!$D$64:$D$73,MATCH(D532,'🔄 Rotação Duplas'!$C$64:$C$73,0)),INDEX('🔄 Rotação Duplas'!$C$64:$C$73,MATCH(D532,'🔄 Rotação Duplas'!$D$64:$D$73,0))),"Semana 6",IFERROR(INDEX('🔄 Rotação Duplas'!$D$78:$D$87,MATCH(D532,'🔄 Rotação Duplas'!$C$78:$C$87,0)),INDEX('🔄 Rotação Duplas'!$C$78:$C$87,MATCH(D532,'🔄 Rotação Duplas'!$D$78:$D$87,0))),"Semana 7",IFERROR(INDEX('🔄 Rotação Duplas'!$D$92:$D$101,MATCH(D532,'🔄 Rotação Duplas'!$C$92:$C$101,0)),INDEX('🔄 Rotação Duplas'!$C$92:$C$101,MATCH(D532,'🔄 Rotação Duplas'!$D$92:$D$101,0))),"Semana 8",IFERROR(INDEX('🔄 Rotação Duplas'!$D$106:$D$115,MATCH(D532,'🔄 Rotação Duplas'!$C$106:$C$115,0)),INDEX('🔄 Rotação Duplas'!$C$106:$C$115,MATCH(D532,'🔄 Rotação Duplas'!$D$106:$D$115,0)))),""))</f>
        <v/>
      </c>
      <c r="T532">
        <f t="shared" si="46"/>
        <v>0</v>
      </c>
    </row>
    <row r="533" spans="2:20" ht="18" customHeight="1" x14ac:dyDescent="0.2">
      <c r="B533" s="78" t="s">
        <v>119</v>
      </c>
      <c r="C533" s="79" t="str">
        <f t="shared" si="47"/>
        <v>Desafio 27</v>
      </c>
      <c r="D533" s="80" t="str">
        <f>'⚙️ Configuração'!C36</f>
        <v>Alexandra Correia</v>
      </c>
      <c r="E533" s="50">
        <v>0</v>
      </c>
      <c r="F533" s="50">
        <v>0</v>
      </c>
      <c r="G533" s="50">
        <v>0</v>
      </c>
      <c r="H533" s="50">
        <v>0</v>
      </c>
      <c r="I533" s="50">
        <v>0</v>
      </c>
      <c r="J533" s="89">
        <v>0</v>
      </c>
      <c r="K533" s="81">
        <f>(E533*'⚙️ Configuração'!$C$6+F533*'⚙️ Configuração'!$C$7+G533*'⚙️ Configuração'!$C$8+H533*'⚙️ Configuração'!$C$9+I533*'⚙️ Configuração'!$C$10+J533*'⚙️ Configuração'!$C$11)*IF(N533="S",2,1)</f>
        <v>0</v>
      </c>
      <c r="L533" s="90" t="s">
        <v>167</v>
      </c>
      <c r="M533" s="82">
        <f>IF(L533="AT1",'⚙️ Configuração'!$C$14,IF(L533="AT2",'⚙️ Configuração'!$C$15,IF(L533="FI",'⚙️ Configuração'!$C$16,IF(L533="FJ",'⚙️ Configuração'!$C$17,0))))</f>
        <v>0</v>
      </c>
      <c r="N533" s="91" t="s">
        <v>167</v>
      </c>
      <c r="O533" s="92"/>
      <c r="P533" s="83">
        <f>IF(O533="1",'⚙️ Configuração'!$C$21,IF(O533="2",'⚙️ Configuração'!$C$22,IF(O533="3",'⚙️ Configuração'!$C$23,IF(O533="Outro",'⚙️ Configuração'!$C$24,0))))</f>
        <v>0</v>
      </c>
      <c r="Q533" s="84">
        <f t="shared" si="45"/>
        <v>0</v>
      </c>
      <c r="R533" s="40" t="str">
        <f t="shared" si="44"/>
        <v>Semana 1 — ver 🔄</v>
      </c>
      <c r="S533" t="str" cm="1">
        <f t="array" ref="S533">IF(D533="","",IFERROR(_xlfn.SWITCH(B533,"Semana 1",IFERROR(INDEX('🔄 Rotação Duplas'!$D$8:$D$17,MATCH(D533,'🔄 Rotação Duplas'!$C$8:$C$17,0)),INDEX('🔄 Rotação Duplas'!$C$8:$C$17,MATCH(D533,'🔄 Rotação Duplas'!$D$8:$D$17,0))),"Semana 2",IFERROR(INDEX('🔄 Rotação Duplas'!$D$22:$D$31,MATCH(D533,'🔄 Rotação Duplas'!$C$22:$C$31,0)),INDEX('🔄 Rotação Duplas'!$C$22:$C$31,MATCH(D533,'🔄 Rotação Duplas'!$D$22:$D$31,0))),"Semana 3",IFERROR(INDEX('🔄 Rotação Duplas'!$D$36:$D$45,MATCH(D533,'🔄 Rotação Duplas'!$C$36:$C$45,0)),INDEX('🔄 Rotação Duplas'!$C$36:$C$45,MATCH(D533,'🔄 Rotação Duplas'!$D$36:$D$45,0))),"Semana 4",IFERROR(INDEX('🔄 Rotação Duplas'!$D$50:$D$59,MATCH(D533,'🔄 Rotação Duplas'!$C$50:$C$59,0)),INDEX('🔄 Rotação Duplas'!$C$50:$C$59,MATCH(D533,'🔄 Rotação Duplas'!$D$50:$D$59,0))),"Semana 5",IFERROR(INDEX('🔄 Rotação Duplas'!$D$64:$D$73,MATCH(D533,'🔄 Rotação Duplas'!$C$64:$C$73,0)),INDEX('🔄 Rotação Duplas'!$C$64:$C$73,MATCH(D533,'🔄 Rotação Duplas'!$D$64:$D$73,0))),"Semana 6",IFERROR(INDEX('🔄 Rotação Duplas'!$D$78:$D$87,MATCH(D533,'🔄 Rotação Duplas'!$C$78:$C$87,0)),INDEX('🔄 Rotação Duplas'!$C$78:$C$87,MATCH(D533,'🔄 Rotação Duplas'!$D$78:$D$87,0))),"Semana 7",IFERROR(INDEX('🔄 Rotação Duplas'!$D$92:$D$101,MATCH(D533,'🔄 Rotação Duplas'!$C$92:$C$101,0)),INDEX('🔄 Rotação Duplas'!$C$92:$C$101,MATCH(D533,'🔄 Rotação Duplas'!$D$92:$D$101,0))),"Semana 8",IFERROR(INDEX('🔄 Rotação Duplas'!$D$106:$D$115,MATCH(D533,'🔄 Rotação Duplas'!$C$106:$C$115,0)),INDEX('🔄 Rotação Duplas'!$C$106:$C$115,MATCH(D533,'🔄 Rotação Duplas'!$D$106:$D$115,0)))),""))</f>
        <v/>
      </c>
      <c r="T533">
        <f t="shared" si="46"/>
        <v>0</v>
      </c>
    </row>
    <row r="534" spans="2:20" ht="18" customHeight="1" x14ac:dyDescent="0.2">
      <c r="B534" s="85" t="s">
        <v>119</v>
      </c>
      <c r="C534" s="86" t="str">
        <f t="shared" si="47"/>
        <v>Desafio 27</v>
      </c>
      <c r="D534" s="87" t="str">
        <f>'⚙️ Configuração'!C37</f>
        <v>Carla Barata</v>
      </c>
      <c r="E534" s="50">
        <v>0</v>
      </c>
      <c r="F534" s="50">
        <v>0</v>
      </c>
      <c r="G534" s="50">
        <v>0</v>
      </c>
      <c r="H534" s="50">
        <v>0</v>
      </c>
      <c r="I534" s="50">
        <v>0</v>
      </c>
      <c r="J534" s="89">
        <v>0</v>
      </c>
      <c r="K534" s="81">
        <f>(E534*'⚙️ Configuração'!$C$6+F534*'⚙️ Configuração'!$C$7+G534*'⚙️ Configuração'!$C$8+H534*'⚙️ Configuração'!$C$9+I534*'⚙️ Configuração'!$C$10+J534*'⚙️ Configuração'!$C$11)*IF(N534="S",2,1)</f>
        <v>0</v>
      </c>
      <c r="L534" s="90" t="s">
        <v>167</v>
      </c>
      <c r="M534" s="82">
        <f>IF(L534="AT1",'⚙️ Configuração'!$C$14,IF(L534="AT2",'⚙️ Configuração'!$C$15,IF(L534="FI",'⚙️ Configuração'!$C$16,IF(L534="FJ",'⚙️ Configuração'!$C$17,0))))</f>
        <v>0</v>
      </c>
      <c r="N534" s="91" t="s">
        <v>167</v>
      </c>
      <c r="O534" s="92"/>
      <c r="P534" s="83">
        <f>IF(O534="1",'⚙️ Configuração'!$C$21,IF(O534="2",'⚙️ Configuração'!$C$22,IF(O534="3",'⚙️ Configuração'!$C$23,IF(O534="Outro",'⚙️ Configuração'!$C$24,0))))</f>
        <v>0</v>
      </c>
      <c r="Q534" s="84">
        <f t="shared" si="45"/>
        <v>0</v>
      </c>
      <c r="R534" s="40" t="str">
        <f t="shared" si="44"/>
        <v>Semana 1 — ver 🔄</v>
      </c>
      <c r="S534" t="str" cm="1">
        <f t="array" ref="S534">IF(D534="","",IFERROR(_xlfn.SWITCH(B534,"Semana 1",IFERROR(INDEX('🔄 Rotação Duplas'!$D$8:$D$17,MATCH(D534,'🔄 Rotação Duplas'!$C$8:$C$17,0)),INDEX('🔄 Rotação Duplas'!$C$8:$C$17,MATCH(D534,'🔄 Rotação Duplas'!$D$8:$D$17,0))),"Semana 2",IFERROR(INDEX('🔄 Rotação Duplas'!$D$22:$D$31,MATCH(D534,'🔄 Rotação Duplas'!$C$22:$C$31,0)),INDEX('🔄 Rotação Duplas'!$C$22:$C$31,MATCH(D534,'🔄 Rotação Duplas'!$D$22:$D$31,0))),"Semana 3",IFERROR(INDEX('🔄 Rotação Duplas'!$D$36:$D$45,MATCH(D534,'🔄 Rotação Duplas'!$C$36:$C$45,0)),INDEX('🔄 Rotação Duplas'!$C$36:$C$45,MATCH(D534,'🔄 Rotação Duplas'!$D$36:$D$45,0))),"Semana 4",IFERROR(INDEX('🔄 Rotação Duplas'!$D$50:$D$59,MATCH(D534,'🔄 Rotação Duplas'!$C$50:$C$59,0)),INDEX('🔄 Rotação Duplas'!$C$50:$C$59,MATCH(D534,'🔄 Rotação Duplas'!$D$50:$D$59,0))),"Semana 5",IFERROR(INDEX('🔄 Rotação Duplas'!$D$64:$D$73,MATCH(D534,'🔄 Rotação Duplas'!$C$64:$C$73,0)),INDEX('🔄 Rotação Duplas'!$C$64:$C$73,MATCH(D534,'🔄 Rotação Duplas'!$D$64:$D$73,0))),"Semana 6",IFERROR(INDEX('🔄 Rotação Duplas'!$D$78:$D$87,MATCH(D534,'🔄 Rotação Duplas'!$C$78:$C$87,0)),INDEX('🔄 Rotação Duplas'!$C$78:$C$87,MATCH(D534,'🔄 Rotação Duplas'!$D$78:$D$87,0))),"Semana 7",IFERROR(INDEX('🔄 Rotação Duplas'!$D$92:$D$101,MATCH(D534,'🔄 Rotação Duplas'!$C$92:$C$101,0)),INDEX('🔄 Rotação Duplas'!$C$92:$C$101,MATCH(D534,'🔄 Rotação Duplas'!$D$92:$D$101,0))),"Semana 8",IFERROR(INDEX('🔄 Rotação Duplas'!$D$106:$D$115,MATCH(D534,'🔄 Rotação Duplas'!$C$106:$C$115,0)),INDEX('🔄 Rotação Duplas'!$C$106:$C$115,MATCH(D534,'🔄 Rotação Duplas'!$D$106:$D$115,0)))),""))</f>
        <v/>
      </c>
      <c r="T534">
        <f t="shared" si="46"/>
        <v>0</v>
      </c>
    </row>
    <row r="535" spans="2:20" ht="18" customHeight="1" x14ac:dyDescent="0.2">
      <c r="B535" s="78" t="s">
        <v>119</v>
      </c>
      <c r="C535" s="79" t="str">
        <f t="shared" si="47"/>
        <v>Desafio 27</v>
      </c>
      <c r="D535" s="80" t="str">
        <f>'⚙️ Configuração'!C38</f>
        <v>Denise Filipe</v>
      </c>
      <c r="E535" s="50">
        <v>0</v>
      </c>
      <c r="F535" s="50">
        <v>0</v>
      </c>
      <c r="G535" s="50">
        <v>0</v>
      </c>
      <c r="H535" s="50">
        <v>0</v>
      </c>
      <c r="I535" s="50">
        <v>0</v>
      </c>
      <c r="J535" s="89">
        <v>0</v>
      </c>
      <c r="K535" s="81">
        <f>(E535*'⚙️ Configuração'!$C$6+F535*'⚙️ Configuração'!$C$7+G535*'⚙️ Configuração'!$C$8+H535*'⚙️ Configuração'!$C$9+I535*'⚙️ Configuração'!$C$10+J535*'⚙️ Configuração'!$C$11)*IF(N535="S",2,1)</f>
        <v>0</v>
      </c>
      <c r="L535" s="90" t="s">
        <v>167</v>
      </c>
      <c r="M535" s="82">
        <f>IF(L535="AT1",'⚙️ Configuração'!$C$14,IF(L535="AT2",'⚙️ Configuração'!$C$15,IF(L535="FI",'⚙️ Configuração'!$C$16,IF(L535="FJ",'⚙️ Configuração'!$C$17,0))))</f>
        <v>0</v>
      </c>
      <c r="N535" s="91" t="s">
        <v>167</v>
      </c>
      <c r="O535" s="92"/>
      <c r="P535" s="83">
        <f>IF(O535="1",'⚙️ Configuração'!$C$21,IF(O535="2",'⚙️ Configuração'!$C$22,IF(O535="3",'⚙️ Configuração'!$C$23,IF(O535="Outro",'⚙️ Configuração'!$C$24,0))))</f>
        <v>0</v>
      </c>
      <c r="Q535" s="84">
        <f t="shared" si="45"/>
        <v>0</v>
      </c>
      <c r="R535" s="40" t="str">
        <f t="shared" si="44"/>
        <v>Semana 1 — ver 🔄</v>
      </c>
      <c r="S535" t="str" cm="1">
        <f t="array" ref="S535">IF(D535="","",IFERROR(_xlfn.SWITCH(B535,"Semana 1",IFERROR(INDEX('🔄 Rotação Duplas'!$D$8:$D$17,MATCH(D535,'🔄 Rotação Duplas'!$C$8:$C$17,0)),INDEX('🔄 Rotação Duplas'!$C$8:$C$17,MATCH(D535,'🔄 Rotação Duplas'!$D$8:$D$17,0))),"Semana 2",IFERROR(INDEX('🔄 Rotação Duplas'!$D$22:$D$31,MATCH(D535,'🔄 Rotação Duplas'!$C$22:$C$31,0)),INDEX('🔄 Rotação Duplas'!$C$22:$C$31,MATCH(D535,'🔄 Rotação Duplas'!$D$22:$D$31,0))),"Semana 3",IFERROR(INDEX('🔄 Rotação Duplas'!$D$36:$D$45,MATCH(D535,'🔄 Rotação Duplas'!$C$36:$C$45,0)),INDEX('🔄 Rotação Duplas'!$C$36:$C$45,MATCH(D535,'🔄 Rotação Duplas'!$D$36:$D$45,0))),"Semana 4",IFERROR(INDEX('🔄 Rotação Duplas'!$D$50:$D$59,MATCH(D535,'🔄 Rotação Duplas'!$C$50:$C$59,0)),INDEX('🔄 Rotação Duplas'!$C$50:$C$59,MATCH(D535,'🔄 Rotação Duplas'!$D$50:$D$59,0))),"Semana 5",IFERROR(INDEX('🔄 Rotação Duplas'!$D$64:$D$73,MATCH(D535,'🔄 Rotação Duplas'!$C$64:$C$73,0)),INDEX('🔄 Rotação Duplas'!$C$64:$C$73,MATCH(D535,'🔄 Rotação Duplas'!$D$64:$D$73,0))),"Semana 6",IFERROR(INDEX('🔄 Rotação Duplas'!$D$78:$D$87,MATCH(D535,'🔄 Rotação Duplas'!$C$78:$C$87,0)),INDEX('🔄 Rotação Duplas'!$C$78:$C$87,MATCH(D535,'🔄 Rotação Duplas'!$D$78:$D$87,0))),"Semana 7",IFERROR(INDEX('🔄 Rotação Duplas'!$D$92:$D$101,MATCH(D535,'🔄 Rotação Duplas'!$C$92:$C$101,0)),INDEX('🔄 Rotação Duplas'!$C$92:$C$101,MATCH(D535,'🔄 Rotação Duplas'!$D$92:$D$101,0))),"Semana 8",IFERROR(INDEX('🔄 Rotação Duplas'!$D$106:$D$115,MATCH(D535,'🔄 Rotação Duplas'!$C$106:$C$115,0)),INDEX('🔄 Rotação Duplas'!$C$106:$C$115,MATCH(D535,'🔄 Rotação Duplas'!$D$106:$D$115,0)))),""))</f>
        <v/>
      </c>
      <c r="T535">
        <f t="shared" si="46"/>
        <v>0</v>
      </c>
    </row>
    <row r="536" spans="2:20" ht="18" customHeight="1" x14ac:dyDescent="0.2">
      <c r="B536" s="85" t="s">
        <v>119</v>
      </c>
      <c r="C536" s="86" t="str">
        <f t="shared" si="47"/>
        <v>Desafio 27</v>
      </c>
      <c r="D536" s="87" t="str">
        <f>'⚙️ Configuração'!C39</f>
        <v>Fátima Rodriguez</v>
      </c>
      <c r="E536" s="50">
        <v>0</v>
      </c>
      <c r="F536" s="50">
        <v>0</v>
      </c>
      <c r="G536" s="50">
        <v>0</v>
      </c>
      <c r="H536" s="50">
        <v>0</v>
      </c>
      <c r="I536" s="50">
        <v>0</v>
      </c>
      <c r="J536" s="89">
        <v>0</v>
      </c>
      <c r="K536" s="81">
        <f>(E536*'⚙️ Configuração'!$C$6+F536*'⚙️ Configuração'!$C$7+G536*'⚙️ Configuração'!$C$8+H536*'⚙️ Configuração'!$C$9+I536*'⚙️ Configuração'!$C$10+J536*'⚙️ Configuração'!$C$11)*IF(N536="S",2,1)</f>
        <v>0</v>
      </c>
      <c r="L536" s="90" t="s">
        <v>167</v>
      </c>
      <c r="M536" s="82">
        <f>IF(L536="AT1",'⚙️ Configuração'!$C$14,IF(L536="AT2",'⚙️ Configuração'!$C$15,IF(L536="FI",'⚙️ Configuração'!$C$16,IF(L536="FJ",'⚙️ Configuração'!$C$17,0))))</f>
        <v>0</v>
      </c>
      <c r="N536" s="91" t="s">
        <v>167</v>
      </c>
      <c r="O536" s="92"/>
      <c r="P536" s="83">
        <f>IF(O536="1",'⚙️ Configuração'!$C$21,IF(O536="2",'⚙️ Configuração'!$C$22,IF(O536="3",'⚙️ Configuração'!$C$23,IF(O536="Outro",'⚙️ Configuração'!$C$24,0))))</f>
        <v>0</v>
      </c>
      <c r="Q536" s="84">
        <f t="shared" si="45"/>
        <v>0</v>
      </c>
      <c r="R536" s="40" t="str">
        <f t="shared" si="44"/>
        <v>Semana 1 — ver 🔄</v>
      </c>
      <c r="S536" t="str" cm="1">
        <f t="array" ref="S536">IF(D536="","",IFERROR(_xlfn.SWITCH(B536,"Semana 1",IFERROR(INDEX('🔄 Rotação Duplas'!$D$8:$D$17,MATCH(D536,'🔄 Rotação Duplas'!$C$8:$C$17,0)),INDEX('🔄 Rotação Duplas'!$C$8:$C$17,MATCH(D536,'🔄 Rotação Duplas'!$D$8:$D$17,0))),"Semana 2",IFERROR(INDEX('🔄 Rotação Duplas'!$D$22:$D$31,MATCH(D536,'🔄 Rotação Duplas'!$C$22:$C$31,0)),INDEX('🔄 Rotação Duplas'!$C$22:$C$31,MATCH(D536,'🔄 Rotação Duplas'!$D$22:$D$31,0))),"Semana 3",IFERROR(INDEX('🔄 Rotação Duplas'!$D$36:$D$45,MATCH(D536,'🔄 Rotação Duplas'!$C$36:$C$45,0)),INDEX('🔄 Rotação Duplas'!$C$36:$C$45,MATCH(D536,'🔄 Rotação Duplas'!$D$36:$D$45,0))),"Semana 4",IFERROR(INDEX('🔄 Rotação Duplas'!$D$50:$D$59,MATCH(D536,'🔄 Rotação Duplas'!$C$50:$C$59,0)),INDEX('🔄 Rotação Duplas'!$C$50:$C$59,MATCH(D536,'🔄 Rotação Duplas'!$D$50:$D$59,0))),"Semana 5",IFERROR(INDEX('🔄 Rotação Duplas'!$D$64:$D$73,MATCH(D536,'🔄 Rotação Duplas'!$C$64:$C$73,0)),INDEX('🔄 Rotação Duplas'!$C$64:$C$73,MATCH(D536,'🔄 Rotação Duplas'!$D$64:$D$73,0))),"Semana 6",IFERROR(INDEX('🔄 Rotação Duplas'!$D$78:$D$87,MATCH(D536,'🔄 Rotação Duplas'!$C$78:$C$87,0)),INDEX('🔄 Rotação Duplas'!$C$78:$C$87,MATCH(D536,'🔄 Rotação Duplas'!$D$78:$D$87,0))),"Semana 7",IFERROR(INDEX('🔄 Rotação Duplas'!$D$92:$D$101,MATCH(D536,'🔄 Rotação Duplas'!$C$92:$C$101,0)),INDEX('🔄 Rotação Duplas'!$C$92:$C$101,MATCH(D536,'🔄 Rotação Duplas'!$D$92:$D$101,0))),"Semana 8",IFERROR(INDEX('🔄 Rotação Duplas'!$D$106:$D$115,MATCH(D536,'🔄 Rotação Duplas'!$C$106:$C$115,0)),INDEX('🔄 Rotação Duplas'!$C$106:$C$115,MATCH(D536,'🔄 Rotação Duplas'!$D$106:$D$115,0)))),""))</f>
        <v/>
      </c>
      <c r="T536">
        <f t="shared" si="46"/>
        <v>0</v>
      </c>
    </row>
    <row r="537" spans="2:20" ht="18" customHeight="1" x14ac:dyDescent="0.2">
      <c r="B537" s="78" t="s">
        <v>119</v>
      </c>
      <c r="C537" s="79" t="str">
        <f t="shared" si="47"/>
        <v>Desafio 27</v>
      </c>
      <c r="D537" s="80" t="str">
        <f>'⚙️ Configuração'!C40</f>
        <v>Maria João Travassos</v>
      </c>
      <c r="E537" s="50">
        <v>0</v>
      </c>
      <c r="F537" s="50">
        <v>0</v>
      </c>
      <c r="G537" s="50">
        <v>0</v>
      </c>
      <c r="H537" s="50">
        <v>0</v>
      </c>
      <c r="I537" s="50">
        <v>0</v>
      </c>
      <c r="J537" s="89">
        <v>0</v>
      </c>
      <c r="K537" s="81">
        <f>(E537*'⚙️ Configuração'!$C$6+F537*'⚙️ Configuração'!$C$7+G537*'⚙️ Configuração'!$C$8+H537*'⚙️ Configuração'!$C$9+I537*'⚙️ Configuração'!$C$10+J537*'⚙️ Configuração'!$C$11)*IF(N537="S",2,1)</f>
        <v>0</v>
      </c>
      <c r="L537" s="90" t="s">
        <v>167</v>
      </c>
      <c r="M537" s="82">
        <f>IF(L537="AT1",'⚙️ Configuração'!$C$14,IF(L537="AT2",'⚙️ Configuração'!$C$15,IF(L537="FI",'⚙️ Configuração'!$C$16,IF(L537="FJ",'⚙️ Configuração'!$C$17,0))))</f>
        <v>0</v>
      </c>
      <c r="N537" s="91" t="s">
        <v>167</v>
      </c>
      <c r="O537" s="92"/>
      <c r="P537" s="83">
        <f>IF(O537="1",'⚙️ Configuração'!$C$21,IF(O537="2",'⚙️ Configuração'!$C$22,IF(O537="3",'⚙️ Configuração'!$C$23,IF(O537="Outro",'⚙️ Configuração'!$C$24,0))))</f>
        <v>0</v>
      </c>
      <c r="Q537" s="84">
        <f t="shared" si="45"/>
        <v>0</v>
      </c>
      <c r="R537" s="40" t="str">
        <f t="shared" si="44"/>
        <v>Semana 1 — ver 🔄</v>
      </c>
      <c r="S537" t="str" cm="1">
        <f t="array" ref="S537">IF(D537="","",IFERROR(_xlfn.SWITCH(B537,"Semana 1",IFERROR(INDEX('🔄 Rotação Duplas'!$D$8:$D$17,MATCH(D537,'🔄 Rotação Duplas'!$C$8:$C$17,0)),INDEX('🔄 Rotação Duplas'!$C$8:$C$17,MATCH(D537,'🔄 Rotação Duplas'!$D$8:$D$17,0))),"Semana 2",IFERROR(INDEX('🔄 Rotação Duplas'!$D$22:$D$31,MATCH(D537,'🔄 Rotação Duplas'!$C$22:$C$31,0)),INDEX('🔄 Rotação Duplas'!$C$22:$C$31,MATCH(D537,'🔄 Rotação Duplas'!$D$22:$D$31,0))),"Semana 3",IFERROR(INDEX('🔄 Rotação Duplas'!$D$36:$D$45,MATCH(D537,'🔄 Rotação Duplas'!$C$36:$C$45,0)),INDEX('🔄 Rotação Duplas'!$C$36:$C$45,MATCH(D537,'🔄 Rotação Duplas'!$D$36:$D$45,0))),"Semana 4",IFERROR(INDEX('🔄 Rotação Duplas'!$D$50:$D$59,MATCH(D537,'🔄 Rotação Duplas'!$C$50:$C$59,0)),INDEX('🔄 Rotação Duplas'!$C$50:$C$59,MATCH(D537,'🔄 Rotação Duplas'!$D$50:$D$59,0))),"Semana 5",IFERROR(INDEX('🔄 Rotação Duplas'!$D$64:$D$73,MATCH(D537,'🔄 Rotação Duplas'!$C$64:$C$73,0)),INDEX('🔄 Rotação Duplas'!$C$64:$C$73,MATCH(D537,'🔄 Rotação Duplas'!$D$64:$D$73,0))),"Semana 6",IFERROR(INDEX('🔄 Rotação Duplas'!$D$78:$D$87,MATCH(D537,'🔄 Rotação Duplas'!$C$78:$C$87,0)),INDEX('🔄 Rotação Duplas'!$C$78:$C$87,MATCH(D537,'🔄 Rotação Duplas'!$D$78:$D$87,0))),"Semana 7",IFERROR(INDEX('🔄 Rotação Duplas'!$D$92:$D$101,MATCH(D537,'🔄 Rotação Duplas'!$C$92:$C$101,0)),INDEX('🔄 Rotação Duplas'!$C$92:$C$101,MATCH(D537,'🔄 Rotação Duplas'!$D$92:$D$101,0))),"Semana 8",IFERROR(INDEX('🔄 Rotação Duplas'!$D$106:$D$115,MATCH(D537,'🔄 Rotação Duplas'!$C$106:$C$115,0)),INDEX('🔄 Rotação Duplas'!$C$106:$C$115,MATCH(D537,'🔄 Rotação Duplas'!$D$106:$D$115,0)))),""))</f>
        <v/>
      </c>
      <c r="T537">
        <f t="shared" si="46"/>
        <v>0</v>
      </c>
    </row>
    <row r="538" spans="2:20" ht="18" customHeight="1" x14ac:dyDescent="0.2">
      <c r="B538" s="85" t="s">
        <v>119</v>
      </c>
      <c r="C538" s="86" t="str">
        <f t="shared" si="47"/>
        <v>Desafio 27</v>
      </c>
      <c r="D538" s="87" t="str">
        <f>'⚙️ Configuração'!C41</f>
        <v>Marta Torres</v>
      </c>
      <c r="E538" s="50">
        <v>0</v>
      </c>
      <c r="F538" s="50">
        <v>0</v>
      </c>
      <c r="G538" s="50">
        <v>0</v>
      </c>
      <c r="H538" s="50">
        <v>0</v>
      </c>
      <c r="I538" s="50">
        <v>0</v>
      </c>
      <c r="J538" s="89">
        <v>0</v>
      </c>
      <c r="K538" s="81">
        <f>(E538*'⚙️ Configuração'!$C$6+F538*'⚙️ Configuração'!$C$7+G538*'⚙️ Configuração'!$C$8+H538*'⚙️ Configuração'!$C$9+I538*'⚙️ Configuração'!$C$10+J538*'⚙️ Configuração'!$C$11)*IF(N538="S",2,1)</f>
        <v>0</v>
      </c>
      <c r="L538" s="90" t="s">
        <v>167</v>
      </c>
      <c r="M538" s="82">
        <f>IF(L538="AT1",'⚙️ Configuração'!$C$14,IF(L538="AT2",'⚙️ Configuração'!$C$15,IF(L538="FI",'⚙️ Configuração'!$C$16,IF(L538="FJ",'⚙️ Configuração'!$C$17,0))))</f>
        <v>0</v>
      </c>
      <c r="N538" s="91" t="s">
        <v>167</v>
      </c>
      <c r="O538" s="92"/>
      <c r="P538" s="83">
        <f>IF(O538="1",'⚙️ Configuração'!$C$21,IF(O538="2",'⚙️ Configuração'!$C$22,IF(O538="3",'⚙️ Configuração'!$C$23,IF(O538="Outro",'⚙️ Configuração'!$C$24,0))))</f>
        <v>0</v>
      </c>
      <c r="Q538" s="84">
        <f t="shared" si="45"/>
        <v>0</v>
      </c>
      <c r="R538" s="40" t="str">
        <f t="shared" si="44"/>
        <v>Semana 1 — ver 🔄</v>
      </c>
      <c r="S538" t="str" cm="1">
        <f t="array" ref="S538">IF(D538="","",IFERROR(_xlfn.SWITCH(B538,"Semana 1",IFERROR(INDEX('🔄 Rotação Duplas'!$D$8:$D$17,MATCH(D538,'🔄 Rotação Duplas'!$C$8:$C$17,0)),INDEX('🔄 Rotação Duplas'!$C$8:$C$17,MATCH(D538,'🔄 Rotação Duplas'!$D$8:$D$17,0))),"Semana 2",IFERROR(INDEX('🔄 Rotação Duplas'!$D$22:$D$31,MATCH(D538,'🔄 Rotação Duplas'!$C$22:$C$31,0)),INDEX('🔄 Rotação Duplas'!$C$22:$C$31,MATCH(D538,'🔄 Rotação Duplas'!$D$22:$D$31,0))),"Semana 3",IFERROR(INDEX('🔄 Rotação Duplas'!$D$36:$D$45,MATCH(D538,'🔄 Rotação Duplas'!$C$36:$C$45,0)),INDEX('🔄 Rotação Duplas'!$C$36:$C$45,MATCH(D538,'🔄 Rotação Duplas'!$D$36:$D$45,0))),"Semana 4",IFERROR(INDEX('🔄 Rotação Duplas'!$D$50:$D$59,MATCH(D538,'🔄 Rotação Duplas'!$C$50:$C$59,0)),INDEX('🔄 Rotação Duplas'!$C$50:$C$59,MATCH(D538,'🔄 Rotação Duplas'!$D$50:$D$59,0))),"Semana 5",IFERROR(INDEX('🔄 Rotação Duplas'!$D$64:$D$73,MATCH(D538,'🔄 Rotação Duplas'!$C$64:$C$73,0)),INDEX('🔄 Rotação Duplas'!$C$64:$C$73,MATCH(D538,'🔄 Rotação Duplas'!$D$64:$D$73,0))),"Semana 6",IFERROR(INDEX('🔄 Rotação Duplas'!$D$78:$D$87,MATCH(D538,'🔄 Rotação Duplas'!$C$78:$C$87,0)),INDEX('🔄 Rotação Duplas'!$C$78:$C$87,MATCH(D538,'🔄 Rotação Duplas'!$D$78:$D$87,0))),"Semana 7",IFERROR(INDEX('🔄 Rotação Duplas'!$D$92:$D$101,MATCH(D538,'🔄 Rotação Duplas'!$C$92:$C$101,0)),INDEX('🔄 Rotação Duplas'!$C$92:$C$101,MATCH(D538,'🔄 Rotação Duplas'!$D$92:$D$101,0))),"Semana 8",IFERROR(INDEX('🔄 Rotação Duplas'!$D$106:$D$115,MATCH(D538,'🔄 Rotação Duplas'!$C$106:$C$115,0)),INDEX('🔄 Rotação Duplas'!$C$106:$C$115,MATCH(D538,'🔄 Rotação Duplas'!$D$106:$D$115,0)))),""))</f>
        <v/>
      </c>
      <c r="T538">
        <f t="shared" si="46"/>
        <v>0</v>
      </c>
    </row>
    <row r="539" spans="2:20" ht="18" customHeight="1" x14ac:dyDescent="0.2">
      <c r="B539" s="78" t="s">
        <v>119</v>
      </c>
      <c r="C539" s="79" t="str">
        <f t="shared" si="47"/>
        <v>Desafio 27</v>
      </c>
      <c r="D539" s="80" t="str">
        <f>'⚙️ Configuração'!C42</f>
        <v>Patricia Isabel Silva</v>
      </c>
      <c r="E539" s="50">
        <v>0</v>
      </c>
      <c r="F539" s="50">
        <v>0</v>
      </c>
      <c r="G539" s="50">
        <v>0</v>
      </c>
      <c r="H539" s="50">
        <v>0</v>
      </c>
      <c r="I539" s="50">
        <v>0</v>
      </c>
      <c r="J539" s="89">
        <v>0</v>
      </c>
      <c r="K539" s="81">
        <f>(E539*'⚙️ Configuração'!$C$6+F539*'⚙️ Configuração'!$C$7+G539*'⚙️ Configuração'!$C$8+H539*'⚙️ Configuração'!$C$9+I539*'⚙️ Configuração'!$C$10+J539*'⚙️ Configuração'!$C$11)*IF(N539="S",2,1)</f>
        <v>0</v>
      </c>
      <c r="L539" s="90" t="s">
        <v>167</v>
      </c>
      <c r="M539" s="82">
        <f>IF(L539="AT1",'⚙️ Configuração'!$C$14,IF(L539="AT2",'⚙️ Configuração'!$C$15,IF(L539="FI",'⚙️ Configuração'!$C$16,IF(L539="FJ",'⚙️ Configuração'!$C$17,0))))</f>
        <v>0</v>
      </c>
      <c r="N539" s="91" t="s">
        <v>167</v>
      </c>
      <c r="O539" s="92"/>
      <c r="P539" s="83">
        <f>IF(O539="1",'⚙️ Configuração'!$C$21,IF(O539="2",'⚙️ Configuração'!$C$22,IF(O539="3",'⚙️ Configuração'!$C$23,IF(O539="Outro",'⚙️ Configuração'!$C$24,0))))</f>
        <v>0</v>
      </c>
      <c r="Q539" s="84">
        <f t="shared" si="45"/>
        <v>0</v>
      </c>
      <c r="R539" s="40" t="str">
        <f t="shared" si="44"/>
        <v>Semana 1 — ver 🔄</v>
      </c>
      <c r="S539" t="str" cm="1">
        <f t="array" ref="S539">IF(D539="","",IFERROR(_xlfn.SWITCH(B539,"Semana 1",IFERROR(INDEX('🔄 Rotação Duplas'!$D$8:$D$17,MATCH(D539,'🔄 Rotação Duplas'!$C$8:$C$17,0)),INDEX('🔄 Rotação Duplas'!$C$8:$C$17,MATCH(D539,'🔄 Rotação Duplas'!$D$8:$D$17,0))),"Semana 2",IFERROR(INDEX('🔄 Rotação Duplas'!$D$22:$D$31,MATCH(D539,'🔄 Rotação Duplas'!$C$22:$C$31,0)),INDEX('🔄 Rotação Duplas'!$C$22:$C$31,MATCH(D539,'🔄 Rotação Duplas'!$D$22:$D$31,0))),"Semana 3",IFERROR(INDEX('🔄 Rotação Duplas'!$D$36:$D$45,MATCH(D539,'🔄 Rotação Duplas'!$C$36:$C$45,0)),INDEX('🔄 Rotação Duplas'!$C$36:$C$45,MATCH(D539,'🔄 Rotação Duplas'!$D$36:$D$45,0))),"Semana 4",IFERROR(INDEX('🔄 Rotação Duplas'!$D$50:$D$59,MATCH(D539,'🔄 Rotação Duplas'!$C$50:$C$59,0)),INDEX('🔄 Rotação Duplas'!$C$50:$C$59,MATCH(D539,'🔄 Rotação Duplas'!$D$50:$D$59,0))),"Semana 5",IFERROR(INDEX('🔄 Rotação Duplas'!$D$64:$D$73,MATCH(D539,'🔄 Rotação Duplas'!$C$64:$C$73,0)),INDEX('🔄 Rotação Duplas'!$C$64:$C$73,MATCH(D539,'🔄 Rotação Duplas'!$D$64:$D$73,0))),"Semana 6",IFERROR(INDEX('🔄 Rotação Duplas'!$D$78:$D$87,MATCH(D539,'🔄 Rotação Duplas'!$C$78:$C$87,0)),INDEX('🔄 Rotação Duplas'!$C$78:$C$87,MATCH(D539,'🔄 Rotação Duplas'!$D$78:$D$87,0))),"Semana 7",IFERROR(INDEX('🔄 Rotação Duplas'!$D$92:$D$101,MATCH(D539,'🔄 Rotação Duplas'!$C$92:$C$101,0)),INDEX('🔄 Rotação Duplas'!$C$92:$C$101,MATCH(D539,'🔄 Rotação Duplas'!$D$92:$D$101,0))),"Semana 8",IFERROR(INDEX('🔄 Rotação Duplas'!$D$106:$D$115,MATCH(D539,'🔄 Rotação Duplas'!$C$106:$C$115,0)),INDEX('🔄 Rotação Duplas'!$C$106:$C$115,MATCH(D539,'🔄 Rotação Duplas'!$D$106:$D$115,0)))),""))</f>
        <v/>
      </c>
      <c r="T539">
        <f t="shared" si="46"/>
        <v>0</v>
      </c>
    </row>
    <row r="540" spans="2:20" ht="18" customHeight="1" x14ac:dyDescent="0.2">
      <c r="B540" s="85" t="s">
        <v>119</v>
      </c>
      <c r="C540" s="86" t="str">
        <f t="shared" si="47"/>
        <v>Desafio 27</v>
      </c>
      <c r="D540" s="87" t="str">
        <f>'⚙️ Configuração'!C43</f>
        <v>Paula Martins</v>
      </c>
      <c r="E540" s="50">
        <v>0</v>
      </c>
      <c r="F540" s="50">
        <v>0</v>
      </c>
      <c r="G540" s="50">
        <v>0</v>
      </c>
      <c r="H540" s="50">
        <v>0</v>
      </c>
      <c r="I540" s="50">
        <v>0</v>
      </c>
      <c r="J540" s="89">
        <v>0</v>
      </c>
      <c r="K540" s="81">
        <f>(E540*'⚙️ Configuração'!$C$6+F540*'⚙️ Configuração'!$C$7+G540*'⚙️ Configuração'!$C$8+H540*'⚙️ Configuração'!$C$9+I540*'⚙️ Configuração'!$C$10+J540*'⚙️ Configuração'!$C$11)*IF(N540="S",2,1)</f>
        <v>0</v>
      </c>
      <c r="L540" s="90" t="s">
        <v>167</v>
      </c>
      <c r="M540" s="82">
        <f>IF(L540="AT1",'⚙️ Configuração'!$C$14,IF(L540="AT2",'⚙️ Configuração'!$C$15,IF(L540="FI",'⚙️ Configuração'!$C$16,IF(L540="FJ",'⚙️ Configuração'!$C$17,0))))</f>
        <v>0</v>
      </c>
      <c r="N540" s="91" t="s">
        <v>167</v>
      </c>
      <c r="O540" s="92"/>
      <c r="P540" s="83">
        <f>IF(O540="1",'⚙️ Configuração'!$C$21,IF(O540="2",'⚙️ Configuração'!$C$22,IF(O540="3",'⚙️ Configuração'!$C$23,IF(O540="Outro",'⚙️ Configuração'!$C$24,0))))</f>
        <v>0</v>
      </c>
      <c r="Q540" s="84">
        <f t="shared" si="45"/>
        <v>0</v>
      </c>
      <c r="R540" s="40" t="str">
        <f t="shared" si="44"/>
        <v>Semana 1 — ver 🔄</v>
      </c>
      <c r="S540" t="str" cm="1">
        <f t="array" ref="S540">IF(D540="","",IFERROR(_xlfn.SWITCH(B540,"Semana 1",IFERROR(INDEX('🔄 Rotação Duplas'!$D$8:$D$17,MATCH(D540,'🔄 Rotação Duplas'!$C$8:$C$17,0)),INDEX('🔄 Rotação Duplas'!$C$8:$C$17,MATCH(D540,'🔄 Rotação Duplas'!$D$8:$D$17,0))),"Semana 2",IFERROR(INDEX('🔄 Rotação Duplas'!$D$22:$D$31,MATCH(D540,'🔄 Rotação Duplas'!$C$22:$C$31,0)),INDEX('🔄 Rotação Duplas'!$C$22:$C$31,MATCH(D540,'🔄 Rotação Duplas'!$D$22:$D$31,0))),"Semana 3",IFERROR(INDEX('🔄 Rotação Duplas'!$D$36:$D$45,MATCH(D540,'🔄 Rotação Duplas'!$C$36:$C$45,0)),INDEX('🔄 Rotação Duplas'!$C$36:$C$45,MATCH(D540,'🔄 Rotação Duplas'!$D$36:$D$45,0))),"Semana 4",IFERROR(INDEX('🔄 Rotação Duplas'!$D$50:$D$59,MATCH(D540,'🔄 Rotação Duplas'!$C$50:$C$59,0)),INDEX('🔄 Rotação Duplas'!$C$50:$C$59,MATCH(D540,'🔄 Rotação Duplas'!$D$50:$D$59,0))),"Semana 5",IFERROR(INDEX('🔄 Rotação Duplas'!$D$64:$D$73,MATCH(D540,'🔄 Rotação Duplas'!$C$64:$C$73,0)),INDEX('🔄 Rotação Duplas'!$C$64:$C$73,MATCH(D540,'🔄 Rotação Duplas'!$D$64:$D$73,0))),"Semana 6",IFERROR(INDEX('🔄 Rotação Duplas'!$D$78:$D$87,MATCH(D540,'🔄 Rotação Duplas'!$C$78:$C$87,0)),INDEX('🔄 Rotação Duplas'!$C$78:$C$87,MATCH(D540,'🔄 Rotação Duplas'!$D$78:$D$87,0))),"Semana 7",IFERROR(INDEX('🔄 Rotação Duplas'!$D$92:$D$101,MATCH(D540,'🔄 Rotação Duplas'!$C$92:$C$101,0)),INDEX('🔄 Rotação Duplas'!$C$92:$C$101,MATCH(D540,'🔄 Rotação Duplas'!$D$92:$D$101,0))),"Semana 8",IFERROR(INDEX('🔄 Rotação Duplas'!$D$106:$D$115,MATCH(D540,'🔄 Rotação Duplas'!$C$106:$C$115,0)),INDEX('🔄 Rotação Duplas'!$C$106:$C$115,MATCH(D540,'🔄 Rotação Duplas'!$D$106:$D$115,0)))),""))</f>
        <v/>
      </c>
      <c r="T540">
        <f t="shared" si="46"/>
        <v>0</v>
      </c>
    </row>
    <row r="541" spans="2:20" ht="18" customHeight="1" x14ac:dyDescent="0.2">
      <c r="B541" s="78" t="s">
        <v>119</v>
      </c>
      <c r="C541" s="79" t="str">
        <f t="shared" si="47"/>
        <v>Desafio 27</v>
      </c>
      <c r="D541" s="80" t="str">
        <f>'⚙️ Configuração'!C44</f>
        <v>Paula Miabara</v>
      </c>
      <c r="E541" s="50">
        <v>0</v>
      </c>
      <c r="F541" s="50">
        <v>0</v>
      </c>
      <c r="G541" s="50">
        <v>0</v>
      </c>
      <c r="H541" s="50">
        <v>0</v>
      </c>
      <c r="I541" s="50">
        <v>0</v>
      </c>
      <c r="J541" s="89">
        <v>0</v>
      </c>
      <c r="K541" s="81">
        <f>(E541*'⚙️ Configuração'!$C$6+F541*'⚙️ Configuração'!$C$7+G541*'⚙️ Configuração'!$C$8+H541*'⚙️ Configuração'!$C$9+I541*'⚙️ Configuração'!$C$10+J541*'⚙️ Configuração'!$C$11)*IF(N541="S",2,1)</f>
        <v>0</v>
      </c>
      <c r="L541" s="90" t="s">
        <v>167</v>
      </c>
      <c r="M541" s="82">
        <f>IF(L541="AT1",'⚙️ Configuração'!$C$14,IF(L541="AT2",'⚙️ Configuração'!$C$15,IF(L541="FI",'⚙️ Configuração'!$C$16,IF(L541="FJ",'⚙️ Configuração'!$C$17,0))))</f>
        <v>0</v>
      </c>
      <c r="N541" s="91" t="s">
        <v>167</v>
      </c>
      <c r="O541" s="92"/>
      <c r="P541" s="83">
        <f>IF(O541="1",'⚙️ Configuração'!$C$21,IF(O541="2",'⚙️ Configuração'!$C$22,IF(O541="3",'⚙️ Configuração'!$C$23,IF(O541="Outro",'⚙️ Configuração'!$C$24,0))))</f>
        <v>0</v>
      </c>
      <c r="Q541" s="84">
        <f t="shared" si="45"/>
        <v>0</v>
      </c>
      <c r="R541" s="40" t="str">
        <f t="shared" si="44"/>
        <v>Semana 1 — ver 🔄</v>
      </c>
      <c r="S541" t="str" cm="1">
        <f t="array" ref="S541">IF(D541="","",IFERROR(_xlfn.SWITCH(B541,"Semana 1",IFERROR(INDEX('🔄 Rotação Duplas'!$D$8:$D$17,MATCH(D541,'🔄 Rotação Duplas'!$C$8:$C$17,0)),INDEX('🔄 Rotação Duplas'!$C$8:$C$17,MATCH(D541,'🔄 Rotação Duplas'!$D$8:$D$17,0))),"Semana 2",IFERROR(INDEX('🔄 Rotação Duplas'!$D$22:$D$31,MATCH(D541,'🔄 Rotação Duplas'!$C$22:$C$31,0)),INDEX('🔄 Rotação Duplas'!$C$22:$C$31,MATCH(D541,'🔄 Rotação Duplas'!$D$22:$D$31,0))),"Semana 3",IFERROR(INDEX('🔄 Rotação Duplas'!$D$36:$D$45,MATCH(D541,'🔄 Rotação Duplas'!$C$36:$C$45,0)),INDEX('🔄 Rotação Duplas'!$C$36:$C$45,MATCH(D541,'🔄 Rotação Duplas'!$D$36:$D$45,0))),"Semana 4",IFERROR(INDEX('🔄 Rotação Duplas'!$D$50:$D$59,MATCH(D541,'🔄 Rotação Duplas'!$C$50:$C$59,0)),INDEX('🔄 Rotação Duplas'!$C$50:$C$59,MATCH(D541,'🔄 Rotação Duplas'!$D$50:$D$59,0))),"Semana 5",IFERROR(INDEX('🔄 Rotação Duplas'!$D$64:$D$73,MATCH(D541,'🔄 Rotação Duplas'!$C$64:$C$73,0)),INDEX('🔄 Rotação Duplas'!$C$64:$C$73,MATCH(D541,'🔄 Rotação Duplas'!$D$64:$D$73,0))),"Semana 6",IFERROR(INDEX('🔄 Rotação Duplas'!$D$78:$D$87,MATCH(D541,'🔄 Rotação Duplas'!$C$78:$C$87,0)),INDEX('🔄 Rotação Duplas'!$C$78:$C$87,MATCH(D541,'🔄 Rotação Duplas'!$D$78:$D$87,0))),"Semana 7",IFERROR(INDEX('🔄 Rotação Duplas'!$D$92:$D$101,MATCH(D541,'🔄 Rotação Duplas'!$C$92:$C$101,0)),INDEX('🔄 Rotação Duplas'!$C$92:$C$101,MATCH(D541,'🔄 Rotação Duplas'!$D$92:$D$101,0))),"Semana 8",IFERROR(INDEX('🔄 Rotação Duplas'!$D$106:$D$115,MATCH(D541,'🔄 Rotação Duplas'!$C$106:$C$115,0)),INDEX('🔄 Rotação Duplas'!$C$106:$C$115,MATCH(D541,'🔄 Rotação Duplas'!$D$106:$D$115,0)))),""))</f>
        <v/>
      </c>
      <c r="T541">
        <f t="shared" si="46"/>
        <v>0</v>
      </c>
    </row>
    <row r="542" spans="2:20" ht="18" customHeight="1" x14ac:dyDescent="0.2">
      <c r="B542" s="85" t="s">
        <v>119</v>
      </c>
      <c r="C542" s="86" t="str">
        <f t="shared" si="47"/>
        <v>Desafio 27</v>
      </c>
      <c r="D542" s="87" t="str">
        <f>'⚙️ Configuração'!C45</f>
        <v>Rita Carmo</v>
      </c>
      <c r="E542" s="50">
        <v>0</v>
      </c>
      <c r="F542" s="50">
        <v>0</v>
      </c>
      <c r="G542" s="50">
        <v>0</v>
      </c>
      <c r="H542" s="50">
        <v>0</v>
      </c>
      <c r="I542" s="50">
        <v>0</v>
      </c>
      <c r="J542" s="89">
        <v>0</v>
      </c>
      <c r="K542" s="81">
        <f>(E542*'⚙️ Configuração'!$C$6+F542*'⚙️ Configuração'!$C$7+G542*'⚙️ Configuração'!$C$8+H542*'⚙️ Configuração'!$C$9+I542*'⚙️ Configuração'!$C$10+J542*'⚙️ Configuração'!$C$11)*IF(N542="S",2,1)</f>
        <v>0</v>
      </c>
      <c r="L542" s="90" t="s">
        <v>167</v>
      </c>
      <c r="M542" s="82">
        <f>IF(L542="AT1",'⚙️ Configuração'!$C$14,IF(L542="AT2",'⚙️ Configuração'!$C$15,IF(L542="FI",'⚙️ Configuração'!$C$16,IF(L542="FJ",'⚙️ Configuração'!$C$17,0))))</f>
        <v>0</v>
      </c>
      <c r="N542" s="91" t="s">
        <v>167</v>
      </c>
      <c r="O542" s="92"/>
      <c r="P542" s="83">
        <f>IF(O542="1",'⚙️ Configuração'!$C$21,IF(O542="2",'⚙️ Configuração'!$C$22,IF(O542="3",'⚙️ Configuração'!$C$23,IF(O542="Outro",'⚙️ Configuração'!$C$24,0))))</f>
        <v>0</v>
      </c>
      <c r="Q542" s="84">
        <f t="shared" si="45"/>
        <v>0</v>
      </c>
      <c r="R542" s="40" t="str">
        <f t="shared" si="44"/>
        <v>Semana 1 — ver 🔄</v>
      </c>
      <c r="S542" t="str" cm="1">
        <f t="array" ref="S542">IF(D542="","",IFERROR(_xlfn.SWITCH(B542,"Semana 1",IFERROR(INDEX('🔄 Rotação Duplas'!$D$8:$D$17,MATCH(D542,'🔄 Rotação Duplas'!$C$8:$C$17,0)),INDEX('🔄 Rotação Duplas'!$C$8:$C$17,MATCH(D542,'🔄 Rotação Duplas'!$D$8:$D$17,0))),"Semana 2",IFERROR(INDEX('🔄 Rotação Duplas'!$D$22:$D$31,MATCH(D542,'🔄 Rotação Duplas'!$C$22:$C$31,0)),INDEX('🔄 Rotação Duplas'!$C$22:$C$31,MATCH(D542,'🔄 Rotação Duplas'!$D$22:$D$31,0))),"Semana 3",IFERROR(INDEX('🔄 Rotação Duplas'!$D$36:$D$45,MATCH(D542,'🔄 Rotação Duplas'!$C$36:$C$45,0)),INDEX('🔄 Rotação Duplas'!$C$36:$C$45,MATCH(D542,'🔄 Rotação Duplas'!$D$36:$D$45,0))),"Semana 4",IFERROR(INDEX('🔄 Rotação Duplas'!$D$50:$D$59,MATCH(D542,'🔄 Rotação Duplas'!$C$50:$C$59,0)),INDEX('🔄 Rotação Duplas'!$C$50:$C$59,MATCH(D542,'🔄 Rotação Duplas'!$D$50:$D$59,0))),"Semana 5",IFERROR(INDEX('🔄 Rotação Duplas'!$D$64:$D$73,MATCH(D542,'🔄 Rotação Duplas'!$C$64:$C$73,0)),INDEX('🔄 Rotação Duplas'!$C$64:$C$73,MATCH(D542,'🔄 Rotação Duplas'!$D$64:$D$73,0))),"Semana 6",IFERROR(INDEX('🔄 Rotação Duplas'!$D$78:$D$87,MATCH(D542,'🔄 Rotação Duplas'!$C$78:$C$87,0)),INDEX('🔄 Rotação Duplas'!$C$78:$C$87,MATCH(D542,'🔄 Rotação Duplas'!$D$78:$D$87,0))),"Semana 7",IFERROR(INDEX('🔄 Rotação Duplas'!$D$92:$D$101,MATCH(D542,'🔄 Rotação Duplas'!$C$92:$C$101,0)),INDEX('🔄 Rotação Duplas'!$C$92:$C$101,MATCH(D542,'🔄 Rotação Duplas'!$D$92:$D$101,0))),"Semana 8",IFERROR(INDEX('🔄 Rotação Duplas'!$D$106:$D$115,MATCH(D542,'🔄 Rotação Duplas'!$C$106:$C$115,0)),INDEX('🔄 Rotação Duplas'!$C$106:$C$115,MATCH(D542,'🔄 Rotação Duplas'!$D$106:$D$115,0)))),""))</f>
        <v/>
      </c>
      <c r="T542">
        <f t="shared" si="46"/>
        <v>0</v>
      </c>
    </row>
    <row r="543" spans="2:20" ht="18" customHeight="1" x14ac:dyDescent="0.2">
      <c r="B543" s="78" t="s">
        <v>119</v>
      </c>
      <c r="C543" s="79" t="str">
        <f t="shared" si="47"/>
        <v>Desafio 27</v>
      </c>
      <c r="D543" s="80" t="str">
        <f>'⚙️ Configuração'!C46</f>
        <v>William Fernandes</v>
      </c>
      <c r="E543" s="50">
        <v>0</v>
      </c>
      <c r="F543" s="50">
        <v>0</v>
      </c>
      <c r="G543" s="50">
        <v>0</v>
      </c>
      <c r="H543" s="50">
        <v>0</v>
      </c>
      <c r="I543" s="50">
        <v>0</v>
      </c>
      <c r="J543" s="89">
        <v>0</v>
      </c>
      <c r="K543" s="81">
        <f>(E543*'⚙️ Configuração'!$C$6+F543*'⚙️ Configuração'!$C$7+G543*'⚙️ Configuração'!$C$8+H543*'⚙️ Configuração'!$C$9+I543*'⚙️ Configuração'!$C$10+J543*'⚙️ Configuração'!$C$11)*IF(N543="S",2,1)</f>
        <v>0</v>
      </c>
      <c r="L543" s="90" t="s">
        <v>167</v>
      </c>
      <c r="M543" s="82">
        <f>IF(L543="AT1",'⚙️ Configuração'!$C$14,IF(L543="AT2",'⚙️ Configuração'!$C$15,IF(L543="FI",'⚙️ Configuração'!$C$16,IF(L543="FJ",'⚙️ Configuração'!$C$17,0))))</f>
        <v>0</v>
      </c>
      <c r="N543" s="91" t="s">
        <v>167</v>
      </c>
      <c r="O543" s="92"/>
      <c r="P543" s="83">
        <f>IF(O543="1",'⚙️ Configuração'!$C$21,IF(O543="2",'⚙️ Configuração'!$C$22,IF(O543="3",'⚙️ Configuração'!$C$23,IF(O543="Outro",'⚙️ Configuração'!$C$24,0))))</f>
        <v>0</v>
      </c>
      <c r="Q543" s="84">
        <f t="shared" si="45"/>
        <v>0</v>
      </c>
      <c r="R543" s="40" t="str">
        <f t="shared" si="44"/>
        <v>Semana 1 — ver 🔄</v>
      </c>
      <c r="S543" t="str" cm="1">
        <f t="array" ref="S543">IF(D543="","",IFERROR(_xlfn.SWITCH(B543,"Semana 1",IFERROR(INDEX('🔄 Rotação Duplas'!$D$8:$D$17,MATCH(D543,'🔄 Rotação Duplas'!$C$8:$C$17,0)),INDEX('🔄 Rotação Duplas'!$C$8:$C$17,MATCH(D543,'🔄 Rotação Duplas'!$D$8:$D$17,0))),"Semana 2",IFERROR(INDEX('🔄 Rotação Duplas'!$D$22:$D$31,MATCH(D543,'🔄 Rotação Duplas'!$C$22:$C$31,0)),INDEX('🔄 Rotação Duplas'!$C$22:$C$31,MATCH(D543,'🔄 Rotação Duplas'!$D$22:$D$31,0))),"Semana 3",IFERROR(INDEX('🔄 Rotação Duplas'!$D$36:$D$45,MATCH(D543,'🔄 Rotação Duplas'!$C$36:$C$45,0)),INDEX('🔄 Rotação Duplas'!$C$36:$C$45,MATCH(D543,'🔄 Rotação Duplas'!$D$36:$D$45,0))),"Semana 4",IFERROR(INDEX('🔄 Rotação Duplas'!$D$50:$D$59,MATCH(D543,'🔄 Rotação Duplas'!$C$50:$C$59,0)),INDEX('🔄 Rotação Duplas'!$C$50:$C$59,MATCH(D543,'🔄 Rotação Duplas'!$D$50:$D$59,0))),"Semana 5",IFERROR(INDEX('🔄 Rotação Duplas'!$D$64:$D$73,MATCH(D543,'🔄 Rotação Duplas'!$C$64:$C$73,0)),INDEX('🔄 Rotação Duplas'!$C$64:$C$73,MATCH(D543,'🔄 Rotação Duplas'!$D$64:$D$73,0))),"Semana 6",IFERROR(INDEX('🔄 Rotação Duplas'!$D$78:$D$87,MATCH(D543,'🔄 Rotação Duplas'!$C$78:$C$87,0)),INDEX('🔄 Rotação Duplas'!$C$78:$C$87,MATCH(D543,'🔄 Rotação Duplas'!$D$78:$D$87,0))),"Semana 7",IFERROR(INDEX('🔄 Rotação Duplas'!$D$92:$D$101,MATCH(D543,'🔄 Rotação Duplas'!$C$92:$C$101,0)),INDEX('🔄 Rotação Duplas'!$C$92:$C$101,MATCH(D543,'🔄 Rotação Duplas'!$D$92:$D$101,0))),"Semana 8",IFERROR(INDEX('🔄 Rotação Duplas'!$D$106:$D$115,MATCH(D543,'🔄 Rotação Duplas'!$C$106:$C$115,0)),INDEX('🔄 Rotação Duplas'!$C$106:$C$115,MATCH(D543,'🔄 Rotação Duplas'!$D$106:$D$115,0)))),""))</f>
        <v/>
      </c>
      <c r="T543">
        <f t="shared" si="46"/>
        <v>0</v>
      </c>
    </row>
    <row r="544" spans="2:20" ht="18" customHeight="1" x14ac:dyDescent="0.2">
      <c r="B544" s="85" t="s">
        <v>119</v>
      </c>
      <c r="C544" s="86" t="str">
        <f t="shared" si="47"/>
        <v>Desafio 27</v>
      </c>
      <c r="D544" s="87" t="str">
        <f>'⚙️ Configuração'!C47</f>
        <v>-</v>
      </c>
      <c r="E544" s="50">
        <v>0</v>
      </c>
      <c r="F544" s="50">
        <v>0</v>
      </c>
      <c r="G544" s="50">
        <v>0</v>
      </c>
      <c r="H544" s="50">
        <v>0</v>
      </c>
      <c r="I544" s="50">
        <v>0</v>
      </c>
      <c r="J544" s="89">
        <v>0</v>
      </c>
      <c r="K544" s="81">
        <f>(E544*'⚙️ Configuração'!$C$6+F544*'⚙️ Configuração'!$C$7+G544*'⚙️ Configuração'!$C$8+H544*'⚙️ Configuração'!$C$9+I544*'⚙️ Configuração'!$C$10+J544*'⚙️ Configuração'!$C$11)*IF(N544="S",2,1)</f>
        <v>0</v>
      </c>
      <c r="L544" s="90" t="s">
        <v>167</v>
      </c>
      <c r="M544" s="82">
        <f>IF(L544="AT1",'⚙️ Configuração'!$C$14,IF(L544="AT2",'⚙️ Configuração'!$C$15,IF(L544="FI",'⚙️ Configuração'!$C$16,IF(L544="FJ",'⚙️ Configuração'!$C$17,0))))</f>
        <v>0</v>
      </c>
      <c r="N544" s="91" t="s">
        <v>167</v>
      </c>
      <c r="O544" s="92"/>
      <c r="P544" s="83">
        <f>IF(O544="1",'⚙️ Configuração'!$C$21,IF(O544="2",'⚙️ Configuração'!$C$22,IF(O544="3",'⚙️ Configuração'!$C$23,IF(O544="Outro",'⚙️ Configuração'!$C$24,0))))</f>
        <v>0</v>
      </c>
      <c r="Q544" s="84">
        <f t="shared" si="45"/>
        <v>0</v>
      </c>
      <c r="R544" s="40" t="str">
        <f t="shared" si="44"/>
        <v>Semana 1 — ver 🔄</v>
      </c>
      <c r="S544" t="str" cm="1">
        <f t="array" ref="S544">IF(D544="","",IFERROR(_xlfn.SWITCH(B544,"Semana 1",IFERROR(INDEX('🔄 Rotação Duplas'!$D$8:$D$17,MATCH(D544,'🔄 Rotação Duplas'!$C$8:$C$17,0)),INDEX('🔄 Rotação Duplas'!$C$8:$C$17,MATCH(D544,'🔄 Rotação Duplas'!$D$8:$D$17,0))),"Semana 2",IFERROR(INDEX('🔄 Rotação Duplas'!$D$22:$D$31,MATCH(D544,'🔄 Rotação Duplas'!$C$22:$C$31,0)),INDEX('🔄 Rotação Duplas'!$C$22:$C$31,MATCH(D544,'🔄 Rotação Duplas'!$D$22:$D$31,0))),"Semana 3",IFERROR(INDEX('🔄 Rotação Duplas'!$D$36:$D$45,MATCH(D544,'🔄 Rotação Duplas'!$C$36:$C$45,0)),INDEX('🔄 Rotação Duplas'!$C$36:$C$45,MATCH(D544,'🔄 Rotação Duplas'!$D$36:$D$45,0))),"Semana 4",IFERROR(INDEX('🔄 Rotação Duplas'!$D$50:$D$59,MATCH(D544,'🔄 Rotação Duplas'!$C$50:$C$59,0)),INDEX('🔄 Rotação Duplas'!$C$50:$C$59,MATCH(D544,'🔄 Rotação Duplas'!$D$50:$D$59,0))),"Semana 5",IFERROR(INDEX('🔄 Rotação Duplas'!$D$64:$D$73,MATCH(D544,'🔄 Rotação Duplas'!$C$64:$C$73,0)),INDEX('🔄 Rotação Duplas'!$C$64:$C$73,MATCH(D544,'🔄 Rotação Duplas'!$D$64:$D$73,0))),"Semana 6",IFERROR(INDEX('🔄 Rotação Duplas'!$D$78:$D$87,MATCH(D544,'🔄 Rotação Duplas'!$C$78:$C$87,0)),INDEX('🔄 Rotação Duplas'!$C$78:$C$87,MATCH(D544,'🔄 Rotação Duplas'!$D$78:$D$87,0))),"Semana 7",IFERROR(INDEX('🔄 Rotação Duplas'!$D$92:$D$101,MATCH(D544,'🔄 Rotação Duplas'!$C$92:$C$101,0)),INDEX('🔄 Rotação Duplas'!$C$92:$C$101,MATCH(D544,'🔄 Rotação Duplas'!$D$92:$D$101,0))),"Semana 8",IFERROR(INDEX('🔄 Rotação Duplas'!$D$106:$D$115,MATCH(D544,'🔄 Rotação Duplas'!$C$106:$C$115,0)),INDEX('🔄 Rotação Duplas'!$C$106:$C$115,MATCH(D544,'🔄 Rotação Duplas'!$D$106:$D$115,0)))),""))</f>
        <v/>
      </c>
      <c r="T544">
        <f t="shared" si="46"/>
        <v>0</v>
      </c>
    </row>
    <row r="545" spans="2:20" ht="18" customHeight="1" x14ac:dyDescent="0.2">
      <c r="B545" s="78" t="s">
        <v>119</v>
      </c>
      <c r="C545" s="79" t="str">
        <f t="shared" si="47"/>
        <v>Desafio 27</v>
      </c>
      <c r="D545" s="80" t="str">
        <f>'⚙️ Configuração'!C48</f>
        <v>-</v>
      </c>
      <c r="E545" s="50">
        <v>0</v>
      </c>
      <c r="F545" s="50">
        <v>0</v>
      </c>
      <c r="G545" s="50">
        <v>0</v>
      </c>
      <c r="H545" s="50">
        <v>0</v>
      </c>
      <c r="I545" s="50">
        <v>0</v>
      </c>
      <c r="J545" s="89">
        <v>0</v>
      </c>
      <c r="K545" s="81">
        <f>(E545*'⚙️ Configuração'!$C$6+F545*'⚙️ Configuração'!$C$7+G545*'⚙️ Configuração'!$C$8+H545*'⚙️ Configuração'!$C$9+I545*'⚙️ Configuração'!$C$10+J545*'⚙️ Configuração'!$C$11)*IF(N545="S",2,1)</f>
        <v>0</v>
      </c>
      <c r="L545" s="90" t="s">
        <v>167</v>
      </c>
      <c r="M545" s="82">
        <f>IF(L545="AT1",'⚙️ Configuração'!$C$14,IF(L545="AT2",'⚙️ Configuração'!$C$15,IF(L545="FI",'⚙️ Configuração'!$C$16,IF(L545="FJ",'⚙️ Configuração'!$C$17,0))))</f>
        <v>0</v>
      </c>
      <c r="N545" s="91" t="s">
        <v>167</v>
      </c>
      <c r="O545" s="92"/>
      <c r="P545" s="83">
        <f>IF(O545="1",'⚙️ Configuração'!$C$21,IF(O545="2",'⚙️ Configuração'!$C$22,IF(O545="3",'⚙️ Configuração'!$C$23,IF(O545="Outro",'⚙️ Configuração'!$C$24,0))))</f>
        <v>0</v>
      </c>
      <c r="Q545" s="84">
        <f t="shared" si="45"/>
        <v>0</v>
      </c>
      <c r="R545" s="40" t="str">
        <f t="shared" si="44"/>
        <v>Semana 1 — ver 🔄</v>
      </c>
      <c r="S545" t="str" cm="1">
        <f t="array" ref="S545">IF(D545="","",IFERROR(_xlfn.SWITCH(B545,"Semana 1",IFERROR(INDEX('🔄 Rotação Duplas'!$D$8:$D$17,MATCH(D545,'🔄 Rotação Duplas'!$C$8:$C$17,0)),INDEX('🔄 Rotação Duplas'!$C$8:$C$17,MATCH(D545,'🔄 Rotação Duplas'!$D$8:$D$17,0))),"Semana 2",IFERROR(INDEX('🔄 Rotação Duplas'!$D$22:$D$31,MATCH(D545,'🔄 Rotação Duplas'!$C$22:$C$31,0)),INDEX('🔄 Rotação Duplas'!$C$22:$C$31,MATCH(D545,'🔄 Rotação Duplas'!$D$22:$D$31,0))),"Semana 3",IFERROR(INDEX('🔄 Rotação Duplas'!$D$36:$D$45,MATCH(D545,'🔄 Rotação Duplas'!$C$36:$C$45,0)),INDEX('🔄 Rotação Duplas'!$C$36:$C$45,MATCH(D545,'🔄 Rotação Duplas'!$D$36:$D$45,0))),"Semana 4",IFERROR(INDEX('🔄 Rotação Duplas'!$D$50:$D$59,MATCH(D545,'🔄 Rotação Duplas'!$C$50:$C$59,0)),INDEX('🔄 Rotação Duplas'!$C$50:$C$59,MATCH(D545,'🔄 Rotação Duplas'!$D$50:$D$59,0))),"Semana 5",IFERROR(INDEX('🔄 Rotação Duplas'!$D$64:$D$73,MATCH(D545,'🔄 Rotação Duplas'!$C$64:$C$73,0)),INDEX('🔄 Rotação Duplas'!$C$64:$C$73,MATCH(D545,'🔄 Rotação Duplas'!$D$64:$D$73,0))),"Semana 6",IFERROR(INDEX('🔄 Rotação Duplas'!$D$78:$D$87,MATCH(D545,'🔄 Rotação Duplas'!$C$78:$C$87,0)),INDEX('🔄 Rotação Duplas'!$C$78:$C$87,MATCH(D545,'🔄 Rotação Duplas'!$D$78:$D$87,0))),"Semana 7",IFERROR(INDEX('🔄 Rotação Duplas'!$D$92:$D$101,MATCH(D545,'🔄 Rotação Duplas'!$C$92:$C$101,0)),INDEX('🔄 Rotação Duplas'!$C$92:$C$101,MATCH(D545,'🔄 Rotação Duplas'!$D$92:$D$101,0))),"Semana 8",IFERROR(INDEX('🔄 Rotação Duplas'!$D$106:$D$115,MATCH(D545,'🔄 Rotação Duplas'!$C$106:$C$115,0)),INDEX('🔄 Rotação Duplas'!$C$106:$C$115,MATCH(D545,'🔄 Rotação Duplas'!$D$106:$D$115,0)))),""))</f>
        <v/>
      </c>
      <c r="T545">
        <f t="shared" si="46"/>
        <v>0</v>
      </c>
    </row>
    <row r="546" spans="2:20" ht="18" customHeight="1" x14ac:dyDescent="0.2">
      <c r="B546" s="85" t="s">
        <v>119</v>
      </c>
      <c r="C546" s="86" t="str">
        <f t="shared" si="47"/>
        <v>Desafio 27</v>
      </c>
      <c r="D546" s="87" t="str">
        <f>'⚙️ Configuração'!C49</f>
        <v>-</v>
      </c>
      <c r="E546" s="50">
        <v>0</v>
      </c>
      <c r="F546" s="50">
        <v>0</v>
      </c>
      <c r="G546" s="50">
        <v>0</v>
      </c>
      <c r="H546" s="50">
        <v>0</v>
      </c>
      <c r="I546" s="50">
        <v>0</v>
      </c>
      <c r="J546" s="89">
        <v>0</v>
      </c>
      <c r="K546" s="81">
        <f>(E546*'⚙️ Configuração'!$C$6+F546*'⚙️ Configuração'!$C$7+G546*'⚙️ Configuração'!$C$8+H546*'⚙️ Configuração'!$C$9+I546*'⚙️ Configuração'!$C$10+J546*'⚙️ Configuração'!$C$11)*IF(N546="S",2,1)</f>
        <v>0</v>
      </c>
      <c r="L546" s="90" t="s">
        <v>167</v>
      </c>
      <c r="M546" s="82">
        <f>IF(L546="AT1",'⚙️ Configuração'!$C$14,IF(L546="AT2",'⚙️ Configuração'!$C$15,IF(L546="FI",'⚙️ Configuração'!$C$16,IF(L546="FJ",'⚙️ Configuração'!$C$17,0))))</f>
        <v>0</v>
      </c>
      <c r="N546" s="91" t="s">
        <v>167</v>
      </c>
      <c r="O546" s="92"/>
      <c r="P546" s="83">
        <f>IF(O546="1",'⚙️ Configuração'!$C$21,IF(O546="2",'⚙️ Configuração'!$C$22,IF(O546="3",'⚙️ Configuração'!$C$23,IF(O546="Outro",'⚙️ Configuração'!$C$24,0))))</f>
        <v>0</v>
      </c>
      <c r="Q546" s="84">
        <f t="shared" si="45"/>
        <v>0</v>
      </c>
      <c r="R546" s="40" t="str">
        <f t="shared" si="44"/>
        <v>Semana 1 — ver 🔄</v>
      </c>
      <c r="S546" t="str" cm="1">
        <f t="array" ref="S546">IF(D546="","",IFERROR(_xlfn.SWITCH(B546,"Semana 1",IFERROR(INDEX('🔄 Rotação Duplas'!$D$8:$D$17,MATCH(D546,'🔄 Rotação Duplas'!$C$8:$C$17,0)),INDEX('🔄 Rotação Duplas'!$C$8:$C$17,MATCH(D546,'🔄 Rotação Duplas'!$D$8:$D$17,0))),"Semana 2",IFERROR(INDEX('🔄 Rotação Duplas'!$D$22:$D$31,MATCH(D546,'🔄 Rotação Duplas'!$C$22:$C$31,0)),INDEX('🔄 Rotação Duplas'!$C$22:$C$31,MATCH(D546,'🔄 Rotação Duplas'!$D$22:$D$31,0))),"Semana 3",IFERROR(INDEX('🔄 Rotação Duplas'!$D$36:$D$45,MATCH(D546,'🔄 Rotação Duplas'!$C$36:$C$45,0)),INDEX('🔄 Rotação Duplas'!$C$36:$C$45,MATCH(D546,'🔄 Rotação Duplas'!$D$36:$D$45,0))),"Semana 4",IFERROR(INDEX('🔄 Rotação Duplas'!$D$50:$D$59,MATCH(D546,'🔄 Rotação Duplas'!$C$50:$C$59,0)),INDEX('🔄 Rotação Duplas'!$C$50:$C$59,MATCH(D546,'🔄 Rotação Duplas'!$D$50:$D$59,0))),"Semana 5",IFERROR(INDEX('🔄 Rotação Duplas'!$D$64:$D$73,MATCH(D546,'🔄 Rotação Duplas'!$C$64:$C$73,0)),INDEX('🔄 Rotação Duplas'!$C$64:$C$73,MATCH(D546,'🔄 Rotação Duplas'!$D$64:$D$73,0))),"Semana 6",IFERROR(INDEX('🔄 Rotação Duplas'!$D$78:$D$87,MATCH(D546,'🔄 Rotação Duplas'!$C$78:$C$87,0)),INDEX('🔄 Rotação Duplas'!$C$78:$C$87,MATCH(D546,'🔄 Rotação Duplas'!$D$78:$D$87,0))),"Semana 7",IFERROR(INDEX('🔄 Rotação Duplas'!$D$92:$D$101,MATCH(D546,'🔄 Rotação Duplas'!$C$92:$C$101,0)),INDEX('🔄 Rotação Duplas'!$C$92:$C$101,MATCH(D546,'🔄 Rotação Duplas'!$D$92:$D$101,0))),"Semana 8",IFERROR(INDEX('🔄 Rotação Duplas'!$D$106:$D$115,MATCH(D546,'🔄 Rotação Duplas'!$C$106:$C$115,0)),INDEX('🔄 Rotação Duplas'!$C$106:$C$115,MATCH(D546,'🔄 Rotação Duplas'!$D$106:$D$115,0)))),""))</f>
        <v/>
      </c>
      <c r="T546">
        <f t="shared" si="46"/>
        <v>0</v>
      </c>
    </row>
    <row r="547" spans="2:20" ht="18" customHeight="1" x14ac:dyDescent="0.2">
      <c r="B547" s="78" t="s">
        <v>119</v>
      </c>
      <c r="C547" s="79" t="str">
        <f t="shared" ref="C547:C566" si="48">"Desafio 28"</f>
        <v>Desafio 28</v>
      </c>
      <c r="D547" s="80" t="str">
        <f>'⚙️ Configuração'!C30</f>
        <v>Carla Cantante</v>
      </c>
      <c r="E547" s="50">
        <v>0</v>
      </c>
      <c r="F547" s="50">
        <v>0</v>
      </c>
      <c r="G547" s="50">
        <v>0</v>
      </c>
      <c r="H547" s="50">
        <v>0</v>
      </c>
      <c r="I547" s="50">
        <v>0</v>
      </c>
      <c r="J547" s="89">
        <v>0</v>
      </c>
      <c r="K547" s="81">
        <f>(E547*'⚙️ Configuração'!$C$6+F547*'⚙️ Configuração'!$C$7+G547*'⚙️ Configuração'!$C$8+H547*'⚙️ Configuração'!$C$9+I547*'⚙️ Configuração'!$C$10+J547*'⚙️ Configuração'!$C$11)*IF(N547="S",2,1)</f>
        <v>0</v>
      </c>
      <c r="L547" s="90" t="s">
        <v>167</v>
      </c>
      <c r="M547" s="82">
        <f>IF(L547="AT1",'⚙️ Configuração'!$C$14,IF(L547="AT2",'⚙️ Configuração'!$C$15,IF(L547="FI",'⚙️ Configuração'!$C$16,IF(L547="FJ",'⚙️ Configuração'!$C$17,0))))</f>
        <v>0</v>
      </c>
      <c r="N547" s="91" t="s">
        <v>167</v>
      </c>
      <c r="O547" s="92"/>
      <c r="P547" s="83">
        <f>IF(O547="1",'⚙️ Configuração'!$C$21,IF(O547="2",'⚙️ Configuração'!$C$22,IF(O547="3",'⚙️ Configuração'!$C$23,IF(O547="Outro",'⚙️ Configuração'!$C$24,0))))</f>
        <v>0</v>
      </c>
      <c r="Q547" s="84">
        <f t="shared" si="45"/>
        <v>0</v>
      </c>
      <c r="R547" s="40" t="str">
        <f t="shared" si="44"/>
        <v>Semana 1 — ver 🔄</v>
      </c>
      <c r="S547" t="str" cm="1">
        <f t="array" ref="S547">IF(D547="","",IFERROR(_xlfn.SWITCH(B547,"Semana 1",IFERROR(INDEX('🔄 Rotação Duplas'!$D$8:$D$17,MATCH(D547,'🔄 Rotação Duplas'!$C$8:$C$17,0)),INDEX('🔄 Rotação Duplas'!$C$8:$C$17,MATCH(D547,'🔄 Rotação Duplas'!$D$8:$D$17,0))),"Semana 2",IFERROR(INDEX('🔄 Rotação Duplas'!$D$22:$D$31,MATCH(D547,'🔄 Rotação Duplas'!$C$22:$C$31,0)),INDEX('🔄 Rotação Duplas'!$C$22:$C$31,MATCH(D547,'🔄 Rotação Duplas'!$D$22:$D$31,0))),"Semana 3",IFERROR(INDEX('🔄 Rotação Duplas'!$D$36:$D$45,MATCH(D547,'🔄 Rotação Duplas'!$C$36:$C$45,0)),INDEX('🔄 Rotação Duplas'!$C$36:$C$45,MATCH(D547,'🔄 Rotação Duplas'!$D$36:$D$45,0))),"Semana 4",IFERROR(INDEX('🔄 Rotação Duplas'!$D$50:$D$59,MATCH(D547,'🔄 Rotação Duplas'!$C$50:$C$59,0)),INDEX('🔄 Rotação Duplas'!$C$50:$C$59,MATCH(D547,'🔄 Rotação Duplas'!$D$50:$D$59,0))),"Semana 5",IFERROR(INDEX('🔄 Rotação Duplas'!$D$64:$D$73,MATCH(D547,'🔄 Rotação Duplas'!$C$64:$C$73,0)),INDEX('🔄 Rotação Duplas'!$C$64:$C$73,MATCH(D547,'🔄 Rotação Duplas'!$D$64:$D$73,0))),"Semana 6",IFERROR(INDEX('🔄 Rotação Duplas'!$D$78:$D$87,MATCH(D547,'🔄 Rotação Duplas'!$C$78:$C$87,0)),INDEX('🔄 Rotação Duplas'!$C$78:$C$87,MATCH(D547,'🔄 Rotação Duplas'!$D$78:$D$87,0))),"Semana 7",IFERROR(INDEX('🔄 Rotação Duplas'!$D$92:$D$101,MATCH(D547,'🔄 Rotação Duplas'!$C$92:$C$101,0)),INDEX('🔄 Rotação Duplas'!$C$92:$C$101,MATCH(D547,'🔄 Rotação Duplas'!$D$92:$D$101,0))),"Semana 8",IFERROR(INDEX('🔄 Rotação Duplas'!$D$106:$D$115,MATCH(D547,'🔄 Rotação Duplas'!$C$106:$C$115,0)),INDEX('🔄 Rotação Duplas'!$C$106:$C$115,MATCH(D547,'🔄 Rotação Duplas'!$D$106:$D$115,0)))),""))</f>
        <v/>
      </c>
      <c r="T547">
        <f t="shared" si="46"/>
        <v>0</v>
      </c>
    </row>
    <row r="548" spans="2:20" ht="18" customHeight="1" x14ac:dyDescent="0.2">
      <c r="B548" s="85" t="s">
        <v>119</v>
      </c>
      <c r="C548" s="86" t="str">
        <f t="shared" si="48"/>
        <v>Desafio 28</v>
      </c>
      <c r="D548" s="87" t="str">
        <f>'⚙️ Configuração'!C31</f>
        <v>Elisabete Mendes</v>
      </c>
      <c r="E548" s="50">
        <v>0</v>
      </c>
      <c r="F548" s="50">
        <v>0</v>
      </c>
      <c r="G548" s="50">
        <v>0</v>
      </c>
      <c r="H548" s="50">
        <v>0</v>
      </c>
      <c r="I548" s="50">
        <v>0</v>
      </c>
      <c r="J548" s="89">
        <v>0</v>
      </c>
      <c r="K548" s="81">
        <f>(E548*'⚙️ Configuração'!$C$6+F548*'⚙️ Configuração'!$C$7+G548*'⚙️ Configuração'!$C$8+H548*'⚙️ Configuração'!$C$9+I548*'⚙️ Configuração'!$C$10+J548*'⚙️ Configuração'!$C$11)*IF(N548="S",2,1)</f>
        <v>0</v>
      </c>
      <c r="L548" s="90" t="s">
        <v>167</v>
      </c>
      <c r="M548" s="82">
        <f>IF(L548="AT1",'⚙️ Configuração'!$C$14,IF(L548="AT2",'⚙️ Configuração'!$C$15,IF(L548="FI",'⚙️ Configuração'!$C$16,IF(L548="FJ",'⚙️ Configuração'!$C$17,0))))</f>
        <v>0</v>
      </c>
      <c r="N548" s="91" t="s">
        <v>167</v>
      </c>
      <c r="O548" s="92"/>
      <c r="P548" s="83">
        <f>IF(O548="1",'⚙️ Configuração'!$C$21,IF(O548="2",'⚙️ Configuração'!$C$22,IF(O548="3",'⚙️ Configuração'!$C$23,IF(O548="Outro",'⚙️ Configuração'!$C$24,0))))</f>
        <v>0</v>
      </c>
      <c r="Q548" s="84">
        <f t="shared" si="45"/>
        <v>0</v>
      </c>
      <c r="R548" s="40" t="str">
        <f t="shared" si="44"/>
        <v>Semana 1 — ver 🔄</v>
      </c>
      <c r="S548" t="str" cm="1">
        <f t="array" ref="S548">IF(D548="","",IFERROR(_xlfn.SWITCH(B548,"Semana 1",IFERROR(INDEX('🔄 Rotação Duplas'!$D$8:$D$17,MATCH(D548,'🔄 Rotação Duplas'!$C$8:$C$17,0)),INDEX('🔄 Rotação Duplas'!$C$8:$C$17,MATCH(D548,'🔄 Rotação Duplas'!$D$8:$D$17,0))),"Semana 2",IFERROR(INDEX('🔄 Rotação Duplas'!$D$22:$D$31,MATCH(D548,'🔄 Rotação Duplas'!$C$22:$C$31,0)),INDEX('🔄 Rotação Duplas'!$C$22:$C$31,MATCH(D548,'🔄 Rotação Duplas'!$D$22:$D$31,0))),"Semana 3",IFERROR(INDEX('🔄 Rotação Duplas'!$D$36:$D$45,MATCH(D548,'🔄 Rotação Duplas'!$C$36:$C$45,0)),INDEX('🔄 Rotação Duplas'!$C$36:$C$45,MATCH(D548,'🔄 Rotação Duplas'!$D$36:$D$45,0))),"Semana 4",IFERROR(INDEX('🔄 Rotação Duplas'!$D$50:$D$59,MATCH(D548,'🔄 Rotação Duplas'!$C$50:$C$59,0)),INDEX('🔄 Rotação Duplas'!$C$50:$C$59,MATCH(D548,'🔄 Rotação Duplas'!$D$50:$D$59,0))),"Semana 5",IFERROR(INDEX('🔄 Rotação Duplas'!$D$64:$D$73,MATCH(D548,'🔄 Rotação Duplas'!$C$64:$C$73,0)),INDEX('🔄 Rotação Duplas'!$C$64:$C$73,MATCH(D548,'🔄 Rotação Duplas'!$D$64:$D$73,0))),"Semana 6",IFERROR(INDEX('🔄 Rotação Duplas'!$D$78:$D$87,MATCH(D548,'🔄 Rotação Duplas'!$C$78:$C$87,0)),INDEX('🔄 Rotação Duplas'!$C$78:$C$87,MATCH(D548,'🔄 Rotação Duplas'!$D$78:$D$87,0))),"Semana 7",IFERROR(INDEX('🔄 Rotação Duplas'!$D$92:$D$101,MATCH(D548,'🔄 Rotação Duplas'!$C$92:$C$101,0)),INDEX('🔄 Rotação Duplas'!$C$92:$C$101,MATCH(D548,'🔄 Rotação Duplas'!$D$92:$D$101,0))),"Semana 8",IFERROR(INDEX('🔄 Rotação Duplas'!$D$106:$D$115,MATCH(D548,'🔄 Rotação Duplas'!$C$106:$C$115,0)),INDEX('🔄 Rotação Duplas'!$C$106:$C$115,MATCH(D548,'🔄 Rotação Duplas'!$D$106:$D$115,0)))),""))</f>
        <v/>
      </c>
      <c r="T548">
        <f t="shared" si="46"/>
        <v>0</v>
      </c>
    </row>
    <row r="549" spans="2:20" ht="18" customHeight="1" x14ac:dyDescent="0.2">
      <c r="B549" s="78" t="s">
        <v>119</v>
      </c>
      <c r="C549" s="79" t="str">
        <f t="shared" si="48"/>
        <v>Desafio 28</v>
      </c>
      <c r="D549" s="80" t="str">
        <f>'⚙️ Configuração'!C32</f>
        <v>Filipa Cunha</v>
      </c>
      <c r="E549" s="50">
        <v>0</v>
      </c>
      <c r="F549" s="50">
        <v>0</v>
      </c>
      <c r="G549" s="50">
        <v>0</v>
      </c>
      <c r="H549" s="50">
        <v>0</v>
      </c>
      <c r="I549" s="50">
        <v>0</v>
      </c>
      <c r="J549" s="89">
        <v>0</v>
      </c>
      <c r="K549" s="81">
        <f>(E549*'⚙️ Configuração'!$C$6+F549*'⚙️ Configuração'!$C$7+G549*'⚙️ Configuração'!$C$8+H549*'⚙️ Configuração'!$C$9+I549*'⚙️ Configuração'!$C$10+J549*'⚙️ Configuração'!$C$11)*IF(N549="S",2,1)</f>
        <v>0</v>
      </c>
      <c r="L549" s="90" t="s">
        <v>167</v>
      </c>
      <c r="M549" s="82">
        <f>IF(L549="AT1",'⚙️ Configuração'!$C$14,IF(L549="AT2",'⚙️ Configuração'!$C$15,IF(L549="FI",'⚙️ Configuração'!$C$16,IF(L549="FJ",'⚙️ Configuração'!$C$17,0))))</f>
        <v>0</v>
      </c>
      <c r="N549" s="91" t="s">
        <v>167</v>
      </c>
      <c r="O549" s="92"/>
      <c r="P549" s="83">
        <f>IF(O549="1",'⚙️ Configuração'!$C$21,IF(O549="2",'⚙️ Configuração'!$C$22,IF(O549="3",'⚙️ Configuração'!$C$23,IF(O549="Outro",'⚙️ Configuração'!$C$24,0))))</f>
        <v>0</v>
      </c>
      <c r="Q549" s="84">
        <f t="shared" si="45"/>
        <v>0</v>
      </c>
      <c r="R549" s="40" t="str">
        <f t="shared" si="44"/>
        <v>Semana 1 — ver 🔄</v>
      </c>
      <c r="S549" t="str" cm="1">
        <f t="array" ref="S549">IF(D549="","",IFERROR(_xlfn.SWITCH(B549,"Semana 1",IFERROR(INDEX('🔄 Rotação Duplas'!$D$8:$D$17,MATCH(D549,'🔄 Rotação Duplas'!$C$8:$C$17,0)),INDEX('🔄 Rotação Duplas'!$C$8:$C$17,MATCH(D549,'🔄 Rotação Duplas'!$D$8:$D$17,0))),"Semana 2",IFERROR(INDEX('🔄 Rotação Duplas'!$D$22:$D$31,MATCH(D549,'🔄 Rotação Duplas'!$C$22:$C$31,0)),INDEX('🔄 Rotação Duplas'!$C$22:$C$31,MATCH(D549,'🔄 Rotação Duplas'!$D$22:$D$31,0))),"Semana 3",IFERROR(INDEX('🔄 Rotação Duplas'!$D$36:$D$45,MATCH(D549,'🔄 Rotação Duplas'!$C$36:$C$45,0)),INDEX('🔄 Rotação Duplas'!$C$36:$C$45,MATCH(D549,'🔄 Rotação Duplas'!$D$36:$D$45,0))),"Semana 4",IFERROR(INDEX('🔄 Rotação Duplas'!$D$50:$D$59,MATCH(D549,'🔄 Rotação Duplas'!$C$50:$C$59,0)),INDEX('🔄 Rotação Duplas'!$C$50:$C$59,MATCH(D549,'🔄 Rotação Duplas'!$D$50:$D$59,0))),"Semana 5",IFERROR(INDEX('🔄 Rotação Duplas'!$D$64:$D$73,MATCH(D549,'🔄 Rotação Duplas'!$C$64:$C$73,0)),INDEX('🔄 Rotação Duplas'!$C$64:$C$73,MATCH(D549,'🔄 Rotação Duplas'!$D$64:$D$73,0))),"Semana 6",IFERROR(INDEX('🔄 Rotação Duplas'!$D$78:$D$87,MATCH(D549,'🔄 Rotação Duplas'!$C$78:$C$87,0)),INDEX('🔄 Rotação Duplas'!$C$78:$C$87,MATCH(D549,'🔄 Rotação Duplas'!$D$78:$D$87,0))),"Semana 7",IFERROR(INDEX('🔄 Rotação Duplas'!$D$92:$D$101,MATCH(D549,'🔄 Rotação Duplas'!$C$92:$C$101,0)),INDEX('🔄 Rotação Duplas'!$C$92:$C$101,MATCH(D549,'🔄 Rotação Duplas'!$D$92:$D$101,0))),"Semana 8",IFERROR(INDEX('🔄 Rotação Duplas'!$D$106:$D$115,MATCH(D549,'🔄 Rotação Duplas'!$C$106:$C$115,0)),INDEX('🔄 Rotação Duplas'!$C$106:$C$115,MATCH(D549,'🔄 Rotação Duplas'!$D$106:$D$115,0)))),""))</f>
        <v/>
      </c>
      <c r="T549">
        <f t="shared" si="46"/>
        <v>0</v>
      </c>
    </row>
    <row r="550" spans="2:20" ht="18" customHeight="1" x14ac:dyDescent="0.2">
      <c r="B550" s="85" t="s">
        <v>119</v>
      </c>
      <c r="C550" s="86" t="str">
        <f t="shared" si="48"/>
        <v>Desafio 28</v>
      </c>
      <c r="D550" s="87" t="str">
        <f>'⚙️ Configuração'!C33</f>
        <v>Helena Rocha</v>
      </c>
      <c r="E550" s="50">
        <v>0</v>
      </c>
      <c r="F550" s="50">
        <v>0</v>
      </c>
      <c r="G550" s="50">
        <v>0</v>
      </c>
      <c r="H550" s="50">
        <v>0</v>
      </c>
      <c r="I550" s="50">
        <v>0</v>
      </c>
      <c r="J550" s="89">
        <v>0</v>
      </c>
      <c r="K550" s="81">
        <f>(E550*'⚙️ Configuração'!$C$6+F550*'⚙️ Configuração'!$C$7+G550*'⚙️ Configuração'!$C$8+H550*'⚙️ Configuração'!$C$9+I550*'⚙️ Configuração'!$C$10+J550*'⚙️ Configuração'!$C$11)*IF(N550="S",2,1)</f>
        <v>0</v>
      </c>
      <c r="L550" s="90" t="s">
        <v>167</v>
      </c>
      <c r="M550" s="82">
        <f>IF(L550="AT1",'⚙️ Configuração'!$C$14,IF(L550="AT2",'⚙️ Configuração'!$C$15,IF(L550="FI",'⚙️ Configuração'!$C$16,IF(L550="FJ",'⚙️ Configuração'!$C$17,0))))</f>
        <v>0</v>
      </c>
      <c r="N550" s="91" t="s">
        <v>167</v>
      </c>
      <c r="O550" s="92"/>
      <c r="P550" s="83">
        <f>IF(O550="1",'⚙️ Configuração'!$C$21,IF(O550="2",'⚙️ Configuração'!$C$22,IF(O550="3",'⚙️ Configuração'!$C$23,IF(O550="Outro",'⚙️ Configuração'!$C$24,0))))</f>
        <v>0</v>
      </c>
      <c r="Q550" s="84">
        <f t="shared" si="45"/>
        <v>0</v>
      </c>
      <c r="R550" s="40" t="str">
        <f t="shared" si="44"/>
        <v>Semana 1 — ver 🔄</v>
      </c>
      <c r="S550" t="str" cm="1">
        <f t="array" ref="S550">IF(D550="","",IFERROR(_xlfn.SWITCH(B550,"Semana 1",IFERROR(INDEX('🔄 Rotação Duplas'!$D$8:$D$17,MATCH(D550,'🔄 Rotação Duplas'!$C$8:$C$17,0)),INDEX('🔄 Rotação Duplas'!$C$8:$C$17,MATCH(D550,'🔄 Rotação Duplas'!$D$8:$D$17,0))),"Semana 2",IFERROR(INDEX('🔄 Rotação Duplas'!$D$22:$D$31,MATCH(D550,'🔄 Rotação Duplas'!$C$22:$C$31,0)),INDEX('🔄 Rotação Duplas'!$C$22:$C$31,MATCH(D550,'🔄 Rotação Duplas'!$D$22:$D$31,0))),"Semana 3",IFERROR(INDEX('🔄 Rotação Duplas'!$D$36:$D$45,MATCH(D550,'🔄 Rotação Duplas'!$C$36:$C$45,0)),INDEX('🔄 Rotação Duplas'!$C$36:$C$45,MATCH(D550,'🔄 Rotação Duplas'!$D$36:$D$45,0))),"Semana 4",IFERROR(INDEX('🔄 Rotação Duplas'!$D$50:$D$59,MATCH(D550,'🔄 Rotação Duplas'!$C$50:$C$59,0)),INDEX('🔄 Rotação Duplas'!$C$50:$C$59,MATCH(D550,'🔄 Rotação Duplas'!$D$50:$D$59,0))),"Semana 5",IFERROR(INDEX('🔄 Rotação Duplas'!$D$64:$D$73,MATCH(D550,'🔄 Rotação Duplas'!$C$64:$C$73,0)),INDEX('🔄 Rotação Duplas'!$C$64:$C$73,MATCH(D550,'🔄 Rotação Duplas'!$D$64:$D$73,0))),"Semana 6",IFERROR(INDEX('🔄 Rotação Duplas'!$D$78:$D$87,MATCH(D550,'🔄 Rotação Duplas'!$C$78:$C$87,0)),INDEX('🔄 Rotação Duplas'!$C$78:$C$87,MATCH(D550,'🔄 Rotação Duplas'!$D$78:$D$87,0))),"Semana 7",IFERROR(INDEX('🔄 Rotação Duplas'!$D$92:$D$101,MATCH(D550,'🔄 Rotação Duplas'!$C$92:$C$101,0)),INDEX('🔄 Rotação Duplas'!$C$92:$C$101,MATCH(D550,'🔄 Rotação Duplas'!$D$92:$D$101,0))),"Semana 8",IFERROR(INDEX('🔄 Rotação Duplas'!$D$106:$D$115,MATCH(D550,'🔄 Rotação Duplas'!$C$106:$C$115,0)),INDEX('🔄 Rotação Duplas'!$C$106:$C$115,MATCH(D550,'🔄 Rotação Duplas'!$D$106:$D$115,0)))),""))</f>
        <v/>
      </c>
      <c r="T550">
        <f t="shared" si="46"/>
        <v>0</v>
      </c>
    </row>
    <row r="551" spans="2:20" ht="18" customHeight="1" x14ac:dyDescent="0.2">
      <c r="B551" s="78" t="s">
        <v>119</v>
      </c>
      <c r="C551" s="79" t="str">
        <f t="shared" si="48"/>
        <v>Desafio 28</v>
      </c>
      <c r="D551" s="80" t="str">
        <f>'⚙️ Configuração'!C34</f>
        <v>João Xavier</v>
      </c>
      <c r="E551" s="50">
        <v>0</v>
      </c>
      <c r="F551" s="50">
        <v>0</v>
      </c>
      <c r="G551" s="50">
        <v>0</v>
      </c>
      <c r="H551" s="50">
        <v>0</v>
      </c>
      <c r="I551" s="50">
        <v>0</v>
      </c>
      <c r="J551" s="89">
        <v>0</v>
      </c>
      <c r="K551" s="81">
        <f>(E551*'⚙️ Configuração'!$C$6+F551*'⚙️ Configuração'!$C$7+G551*'⚙️ Configuração'!$C$8+H551*'⚙️ Configuração'!$C$9+I551*'⚙️ Configuração'!$C$10+J551*'⚙️ Configuração'!$C$11)*IF(N551="S",2,1)</f>
        <v>0</v>
      </c>
      <c r="L551" s="90" t="s">
        <v>167</v>
      </c>
      <c r="M551" s="82">
        <f>IF(L551="AT1",'⚙️ Configuração'!$C$14,IF(L551="AT2",'⚙️ Configuração'!$C$15,IF(L551="FI",'⚙️ Configuração'!$C$16,IF(L551="FJ",'⚙️ Configuração'!$C$17,0))))</f>
        <v>0</v>
      </c>
      <c r="N551" s="91" t="s">
        <v>167</v>
      </c>
      <c r="O551" s="92"/>
      <c r="P551" s="83">
        <f>IF(O551="1",'⚙️ Configuração'!$C$21,IF(O551="2",'⚙️ Configuração'!$C$22,IF(O551="3",'⚙️ Configuração'!$C$23,IF(O551="Outro",'⚙️ Configuração'!$C$24,0))))</f>
        <v>0</v>
      </c>
      <c r="Q551" s="84">
        <f t="shared" si="45"/>
        <v>0</v>
      </c>
      <c r="R551" s="40" t="str">
        <f t="shared" si="44"/>
        <v>Semana 1 — ver 🔄</v>
      </c>
      <c r="S551" t="str" cm="1">
        <f t="array" ref="S551">IF(D551="","",IFERROR(_xlfn.SWITCH(B551,"Semana 1",IFERROR(INDEX('🔄 Rotação Duplas'!$D$8:$D$17,MATCH(D551,'🔄 Rotação Duplas'!$C$8:$C$17,0)),INDEX('🔄 Rotação Duplas'!$C$8:$C$17,MATCH(D551,'🔄 Rotação Duplas'!$D$8:$D$17,0))),"Semana 2",IFERROR(INDEX('🔄 Rotação Duplas'!$D$22:$D$31,MATCH(D551,'🔄 Rotação Duplas'!$C$22:$C$31,0)),INDEX('🔄 Rotação Duplas'!$C$22:$C$31,MATCH(D551,'🔄 Rotação Duplas'!$D$22:$D$31,0))),"Semana 3",IFERROR(INDEX('🔄 Rotação Duplas'!$D$36:$D$45,MATCH(D551,'🔄 Rotação Duplas'!$C$36:$C$45,0)),INDEX('🔄 Rotação Duplas'!$C$36:$C$45,MATCH(D551,'🔄 Rotação Duplas'!$D$36:$D$45,0))),"Semana 4",IFERROR(INDEX('🔄 Rotação Duplas'!$D$50:$D$59,MATCH(D551,'🔄 Rotação Duplas'!$C$50:$C$59,0)),INDEX('🔄 Rotação Duplas'!$C$50:$C$59,MATCH(D551,'🔄 Rotação Duplas'!$D$50:$D$59,0))),"Semana 5",IFERROR(INDEX('🔄 Rotação Duplas'!$D$64:$D$73,MATCH(D551,'🔄 Rotação Duplas'!$C$64:$C$73,0)),INDEX('🔄 Rotação Duplas'!$C$64:$C$73,MATCH(D551,'🔄 Rotação Duplas'!$D$64:$D$73,0))),"Semana 6",IFERROR(INDEX('🔄 Rotação Duplas'!$D$78:$D$87,MATCH(D551,'🔄 Rotação Duplas'!$C$78:$C$87,0)),INDEX('🔄 Rotação Duplas'!$C$78:$C$87,MATCH(D551,'🔄 Rotação Duplas'!$D$78:$D$87,0))),"Semana 7",IFERROR(INDEX('🔄 Rotação Duplas'!$D$92:$D$101,MATCH(D551,'🔄 Rotação Duplas'!$C$92:$C$101,0)),INDEX('🔄 Rotação Duplas'!$C$92:$C$101,MATCH(D551,'🔄 Rotação Duplas'!$D$92:$D$101,0))),"Semana 8",IFERROR(INDEX('🔄 Rotação Duplas'!$D$106:$D$115,MATCH(D551,'🔄 Rotação Duplas'!$C$106:$C$115,0)),INDEX('🔄 Rotação Duplas'!$C$106:$C$115,MATCH(D551,'🔄 Rotação Duplas'!$D$106:$D$115,0)))),""))</f>
        <v/>
      </c>
      <c r="T551">
        <f t="shared" si="46"/>
        <v>0</v>
      </c>
    </row>
    <row r="552" spans="2:20" ht="18" customHeight="1" x14ac:dyDescent="0.2">
      <c r="B552" s="85" t="s">
        <v>119</v>
      </c>
      <c r="C552" s="86" t="str">
        <f t="shared" si="48"/>
        <v>Desafio 28</v>
      </c>
      <c r="D552" s="87" t="str">
        <f>'⚙️ Configuração'!C35</f>
        <v>Tomás Carlos</v>
      </c>
      <c r="E552" s="50">
        <v>0</v>
      </c>
      <c r="F552" s="50">
        <v>0</v>
      </c>
      <c r="G552" s="50">
        <v>0</v>
      </c>
      <c r="H552" s="50">
        <v>0</v>
      </c>
      <c r="I552" s="50">
        <v>0</v>
      </c>
      <c r="J552" s="89">
        <v>0</v>
      </c>
      <c r="K552" s="81">
        <f>(E552*'⚙️ Configuração'!$C$6+F552*'⚙️ Configuração'!$C$7+G552*'⚙️ Configuração'!$C$8+H552*'⚙️ Configuração'!$C$9+I552*'⚙️ Configuração'!$C$10+J552*'⚙️ Configuração'!$C$11)*IF(N552="S",2,1)</f>
        <v>0</v>
      </c>
      <c r="L552" s="90" t="s">
        <v>167</v>
      </c>
      <c r="M552" s="82">
        <f>IF(L552="AT1",'⚙️ Configuração'!$C$14,IF(L552="AT2",'⚙️ Configuração'!$C$15,IF(L552="FI",'⚙️ Configuração'!$C$16,IF(L552="FJ",'⚙️ Configuração'!$C$17,0))))</f>
        <v>0</v>
      </c>
      <c r="N552" s="91" t="s">
        <v>167</v>
      </c>
      <c r="O552" s="92"/>
      <c r="P552" s="83">
        <f>IF(O552="1",'⚙️ Configuração'!$C$21,IF(O552="2",'⚙️ Configuração'!$C$22,IF(O552="3",'⚙️ Configuração'!$C$23,IF(O552="Outro",'⚙️ Configuração'!$C$24,0))))</f>
        <v>0</v>
      </c>
      <c r="Q552" s="84">
        <f t="shared" si="45"/>
        <v>0</v>
      </c>
      <c r="R552" s="40" t="str">
        <f t="shared" si="44"/>
        <v>Semana 1 — ver 🔄</v>
      </c>
      <c r="S552" t="str" cm="1">
        <f t="array" ref="S552">IF(D552="","",IFERROR(_xlfn.SWITCH(B552,"Semana 1",IFERROR(INDEX('🔄 Rotação Duplas'!$D$8:$D$17,MATCH(D552,'🔄 Rotação Duplas'!$C$8:$C$17,0)),INDEX('🔄 Rotação Duplas'!$C$8:$C$17,MATCH(D552,'🔄 Rotação Duplas'!$D$8:$D$17,0))),"Semana 2",IFERROR(INDEX('🔄 Rotação Duplas'!$D$22:$D$31,MATCH(D552,'🔄 Rotação Duplas'!$C$22:$C$31,0)),INDEX('🔄 Rotação Duplas'!$C$22:$C$31,MATCH(D552,'🔄 Rotação Duplas'!$D$22:$D$31,0))),"Semana 3",IFERROR(INDEX('🔄 Rotação Duplas'!$D$36:$D$45,MATCH(D552,'🔄 Rotação Duplas'!$C$36:$C$45,0)),INDEX('🔄 Rotação Duplas'!$C$36:$C$45,MATCH(D552,'🔄 Rotação Duplas'!$D$36:$D$45,0))),"Semana 4",IFERROR(INDEX('🔄 Rotação Duplas'!$D$50:$D$59,MATCH(D552,'🔄 Rotação Duplas'!$C$50:$C$59,0)),INDEX('🔄 Rotação Duplas'!$C$50:$C$59,MATCH(D552,'🔄 Rotação Duplas'!$D$50:$D$59,0))),"Semana 5",IFERROR(INDEX('🔄 Rotação Duplas'!$D$64:$D$73,MATCH(D552,'🔄 Rotação Duplas'!$C$64:$C$73,0)),INDEX('🔄 Rotação Duplas'!$C$64:$C$73,MATCH(D552,'🔄 Rotação Duplas'!$D$64:$D$73,0))),"Semana 6",IFERROR(INDEX('🔄 Rotação Duplas'!$D$78:$D$87,MATCH(D552,'🔄 Rotação Duplas'!$C$78:$C$87,0)),INDEX('🔄 Rotação Duplas'!$C$78:$C$87,MATCH(D552,'🔄 Rotação Duplas'!$D$78:$D$87,0))),"Semana 7",IFERROR(INDEX('🔄 Rotação Duplas'!$D$92:$D$101,MATCH(D552,'🔄 Rotação Duplas'!$C$92:$C$101,0)),INDEX('🔄 Rotação Duplas'!$C$92:$C$101,MATCH(D552,'🔄 Rotação Duplas'!$D$92:$D$101,0))),"Semana 8",IFERROR(INDEX('🔄 Rotação Duplas'!$D$106:$D$115,MATCH(D552,'🔄 Rotação Duplas'!$C$106:$C$115,0)),INDEX('🔄 Rotação Duplas'!$C$106:$C$115,MATCH(D552,'🔄 Rotação Duplas'!$D$106:$D$115,0)))),""))</f>
        <v/>
      </c>
      <c r="T552">
        <f t="shared" si="46"/>
        <v>0</v>
      </c>
    </row>
    <row r="553" spans="2:20" ht="18" customHeight="1" x14ac:dyDescent="0.2">
      <c r="B553" s="78" t="s">
        <v>119</v>
      </c>
      <c r="C553" s="79" t="str">
        <f t="shared" si="48"/>
        <v>Desafio 28</v>
      </c>
      <c r="D553" s="80" t="str">
        <f>'⚙️ Configuração'!C36</f>
        <v>Alexandra Correia</v>
      </c>
      <c r="E553" s="50">
        <v>0</v>
      </c>
      <c r="F553" s="50">
        <v>0</v>
      </c>
      <c r="G553" s="50">
        <v>0</v>
      </c>
      <c r="H553" s="50">
        <v>0</v>
      </c>
      <c r="I553" s="50">
        <v>0</v>
      </c>
      <c r="J553" s="89">
        <v>0</v>
      </c>
      <c r="K553" s="81">
        <f>(E553*'⚙️ Configuração'!$C$6+F553*'⚙️ Configuração'!$C$7+G553*'⚙️ Configuração'!$C$8+H553*'⚙️ Configuração'!$C$9+I553*'⚙️ Configuração'!$C$10+J553*'⚙️ Configuração'!$C$11)*IF(N553="S",2,1)</f>
        <v>0</v>
      </c>
      <c r="L553" s="90" t="s">
        <v>167</v>
      </c>
      <c r="M553" s="82">
        <f>IF(L553="AT1",'⚙️ Configuração'!$C$14,IF(L553="AT2",'⚙️ Configuração'!$C$15,IF(L553="FI",'⚙️ Configuração'!$C$16,IF(L553="FJ",'⚙️ Configuração'!$C$17,0))))</f>
        <v>0</v>
      </c>
      <c r="N553" s="91" t="s">
        <v>167</v>
      </c>
      <c r="O553" s="92"/>
      <c r="P553" s="83">
        <f>IF(O553="1",'⚙️ Configuração'!$C$21,IF(O553="2",'⚙️ Configuração'!$C$22,IF(O553="3",'⚙️ Configuração'!$C$23,IF(O553="Outro",'⚙️ Configuração'!$C$24,0))))</f>
        <v>0</v>
      </c>
      <c r="Q553" s="84">
        <f t="shared" si="45"/>
        <v>0</v>
      </c>
      <c r="R553" s="40" t="str">
        <f t="shared" si="44"/>
        <v>Semana 1 — ver 🔄</v>
      </c>
      <c r="S553" t="str" cm="1">
        <f t="array" ref="S553">IF(D553="","",IFERROR(_xlfn.SWITCH(B553,"Semana 1",IFERROR(INDEX('🔄 Rotação Duplas'!$D$8:$D$17,MATCH(D553,'🔄 Rotação Duplas'!$C$8:$C$17,0)),INDEX('🔄 Rotação Duplas'!$C$8:$C$17,MATCH(D553,'🔄 Rotação Duplas'!$D$8:$D$17,0))),"Semana 2",IFERROR(INDEX('🔄 Rotação Duplas'!$D$22:$D$31,MATCH(D553,'🔄 Rotação Duplas'!$C$22:$C$31,0)),INDEX('🔄 Rotação Duplas'!$C$22:$C$31,MATCH(D553,'🔄 Rotação Duplas'!$D$22:$D$31,0))),"Semana 3",IFERROR(INDEX('🔄 Rotação Duplas'!$D$36:$D$45,MATCH(D553,'🔄 Rotação Duplas'!$C$36:$C$45,0)),INDEX('🔄 Rotação Duplas'!$C$36:$C$45,MATCH(D553,'🔄 Rotação Duplas'!$D$36:$D$45,0))),"Semana 4",IFERROR(INDEX('🔄 Rotação Duplas'!$D$50:$D$59,MATCH(D553,'🔄 Rotação Duplas'!$C$50:$C$59,0)),INDEX('🔄 Rotação Duplas'!$C$50:$C$59,MATCH(D553,'🔄 Rotação Duplas'!$D$50:$D$59,0))),"Semana 5",IFERROR(INDEX('🔄 Rotação Duplas'!$D$64:$D$73,MATCH(D553,'🔄 Rotação Duplas'!$C$64:$C$73,0)),INDEX('🔄 Rotação Duplas'!$C$64:$C$73,MATCH(D553,'🔄 Rotação Duplas'!$D$64:$D$73,0))),"Semana 6",IFERROR(INDEX('🔄 Rotação Duplas'!$D$78:$D$87,MATCH(D553,'🔄 Rotação Duplas'!$C$78:$C$87,0)),INDEX('🔄 Rotação Duplas'!$C$78:$C$87,MATCH(D553,'🔄 Rotação Duplas'!$D$78:$D$87,0))),"Semana 7",IFERROR(INDEX('🔄 Rotação Duplas'!$D$92:$D$101,MATCH(D553,'🔄 Rotação Duplas'!$C$92:$C$101,0)),INDEX('🔄 Rotação Duplas'!$C$92:$C$101,MATCH(D553,'🔄 Rotação Duplas'!$D$92:$D$101,0))),"Semana 8",IFERROR(INDEX('🔄 Rotação Duplas'!$D$106:$D$115,MATCH(D553,'🔄 Rotação Duplas'!$C$106:$C$115,0)),INDEX('🔄 Rotação Duplas'!$C$106:$C$115,MATCH(D553,'🔄 Rotação Duplas'!$D$106:$D$115,0)))),""))</f>
        <v/>
      </c>
      <c r="T553">
        <f t="shared" si="46"/>
        <v>0</v>
      </c>
    </row>
    <row r="554" spans="2:20" ht="18" customHeight="1" x14ac:dyDescent="0.2">
      <c r="B554" s="85" t="s">
        <v>119</v>
      </c>
      <c r="C554" s="86" t="str">
        <f t="shared" si="48"/>
        <v>Desafio 28</v>
      </c>
      <c r="D554" s="87" t="str">
        <f>'⚙️ Configuração'!C37</f>
        <v>Carla Barata</v>
      </c>
      <c r="E554" s="50">
        <v>0</v>
      </c>
      <c r="F554" s="50">
        <v>0</v>
      </c>
      <c r="G554" s="50">
        <v>0</v>
      </c>
      <c r="H554" s="50">
        <v>0</v>
      </c>
      <c r="I554" s="50">
        <v>0</v>
      </c>
      <c r="J554" s="89">
        <v>0</v>
      </c>
      <c r="K554" s="81">
        <f>(E554*'⚙️ Configuração'!$C$6+F554*'⚙️ Configuração'!$C$7+G554*'⚙️ Configuração'!$C$8+H554*'⚙️ Configuração'!$C$9+I554*'⚙️ Configuração'!$C$10+J554*'⚙️ Configuração'!$C$11)*IF(N554="S",2,1)</f>
        <v>0</v>
      </c>
      <c r="L554" s="90" t="s">
        <v>167</v>
      </c>
      <c r="M554" s="82">
        <f>IF(L554="AT1",'⚙️ Configuração'!$C$14,IF(L554="AT2",'⚙️ Configuração'!$C$15,IF(L554="FI",'⚙️ Configuração'!$C$16,IF(L554="FJ",'⚙️ Configuração'!$C$17,0))))</f>
        <v>0</v>
      </c>
      <c r="N554" s="91" t="s">
        <v>167</v>
      </c>
      <c r="O554" s="92"/>
      <c r="P554" s="83">
        <f>IF(O554="1",'⚙️ Configuração'!$C$21,IF(O554="2",'⚙️ Configuração'!$C$22,IF(O554="3",'⚙️ Configuração'!$C$23,IF(O554="Outro",'⚙️ Configuração'!$C$24,0))))</f>
        <v>0</v>
      </c>
      <c r="Q554" s="84">
        <f t="shared" si="45"/>
        <v>0</v>
      </c>
      <c r="R554" s="40" t="str">
        <f t="shared" si="44"/>
        <v>Semana 1 — ver 🔄</v>
      </c>
      <c r="S554" t="str" cm="1">
        <f t="array" ref="S554">IF(D554="","",IFERROR(_xlfn.SWITCH(B554,"Semana 1",IFERROR(INDEX('🔄 Rotação Duplas'!$D$8:$D$17,MATCH(D554,'🔄 Rotação Duplas'!$C$8:$C$17,0)),INDEX('🔄 Rotação Duplas'!$C$8:$C$17,MATCH(D554,'🔄 Rotação Duplas'!$D$8:$D$17,0))),"Semana 2",IFERROR(INDEX('🔄 Rotação Duplas'!$D$22:$D$31,MATCH(D554,'🔄 Rotação Duplas'!$C$22:$C$31,0)),INDEX('🔄 Rotação Duplas'!$C$22:$C$31,MATCH(D554,'🔄 Rotação Duplas'!$D$22:$D$31,0))),"Semana 3",IFERROR(INDEX('🔄 Rotação Duplas'!$D$36:$D$45,MATCH(D554,'🔄 Rotação Duplas'!$C$36:$C$45,0)),INDEX('🔄 Rotação Duplas'!$C$36:$C$45,MATCH(D554,'🔄 Rotação Duplas'!$D$36:$D$45,0))),"Semana 4",IFERROR(INDEX('🔄 Rotação Duplas'!$D$50:$D$59,MATCH(D554,'🔄 Rotação Duplas'!$C$50:$C$59,0)),INDEX('🔄 Rotação Duplas'!$C$50:$C$59,MATCH(D554,'🔄 Rotação Duplas'!$D$50:$D$59,0))),"Semana 5",IFERROR(INDEX('🔄 Rotação Duplas'!$D$64:$D$73,MATCH(D554,'🔄 Rotação Duplas'!$C$64:$C$73,0)),INDEX('🔄 Rotação Duplas'!$C$64:$C$73,MATCH(D554,'🔄 Rotação Duplas'!$D$64:$D$73,0))),"Semana 6",IFERROR(INDEX('🔄 Rotação Duplas'!$D$78:$D$87,MATCH(D554,'🔄 Rotação Duplas'!$C$78:$C$87,0)),INDEX('🔄 Rotação Duplas'!$C$78:$C$87,MATCH(D554,'🔄 Rotação Duplas'!$D$78:$D$87,0))),"Semana 7",IFERROR(INDEX('🔄 Rotação Duplas'!$D$92:$D$101,MATCH(D554,'🔄 Rotação Duplas'!$C$92:$C$101,0)),INDEX('🔄 Rotação Duplas'!$C$92:$C$101,MATCH(D554,'🔄 Rotação Duplas'!$D$92:$D$101,0))),"Semana 8",IFERROR(INDEX('🔄 Rotação Duplas'!$D$106:$D$115,MATCH(D554,'🔄 Rotação Duplas'!$C$106:$C$115,0)),INDEX('🔄 Rotação Duplas'!$C$106:$C$115,MATCH(D554,'🔄 Rotação Duplas'!$D$106:$D$115,0)))),""))</f>
        <v/>
      </c>
      <c r="T554">
        <f t="shared" si="46"/>
        <v>0</v>
      </c>
    </row>
    <row r="555" spans="2:20" ht="18" customHeight="1" x14ac:dyDescent="0.2">
      <c r="B555" s="78" t="s">
        <v>119</v>
      </c>
      <c r="C555" s="79" t="str">
        <f t="shared" si="48"/>
        <v>Desafio 28</v>
      </c>
      <c r="D555" s="80" t="str">
        <f>'⚙️ Configuração'!C38</f>
        <v>Denise Filipe</v>
      </c>
      <c r="E555" s="50">
        <v>0</v>
      </c>
      <c r="F555" s="50">
        <v>0</v>
      </c>
      <c r="G555" s="50">
        <v>0</v>
      </c>
      <c r="H555" s="50">
        <v>0</v>
      </c>
      <c r="I555" s="50">
        <v>0</v>
      </c>
      <c r="J555" s="89">
        <v>0</v>
      </c>
      <c r="K555" s="81">
        <f>(E555*'⚙️ Configuração'!$C$6+F555*'⚙️ Configuração'!$C$7+G555*'⚙️ Configuração'!$C$8+H555*'⚙️ Configuração'!$C$9+I555*'⚙️ Configuração'!$C$10+J555*'⚙️ Configuração'!$C$11)*IF(N555="S",2,1)</f>
        <v>0</v>
      </c>
      <c r="L555" s="90" t="s">
        <v>167</v>
      </c>
      <c r="M555" s="82">
        <f>IF(L555="AT1",'⚙️ Configuração'!$C$14,IF(L555="AT2",'⚙️ Configuração'!$C$15,IF(L555="FI",'⚙️ Configuração'!$C$16,IF(L555="FJ",'⚙️ Configuração'!$C$17,0))))</f>
        <v>0</v>
      </c>
      <c r="N555" s="91" t="s">
        <v>167</v>
      </c>
      <c r="O555" s="92"/>
      <c r="P555" s="83">
        <f>IF(O555="1",'⚙️ Configuração'!$C$21,IF(O555="2",'⚙️ Configuração'!$C$22,IF(O555="3",'⚙️ Configuração'!$C$23,IF(O555="Outro",'⚙️ Configuração'!$C$24,0))))</f>
        <v>0</v>
      </c>
      <c r="Q555" s="84">
        <f t="shared" si="45"/>
        <v>0</v>
      </c>
      <c r="R555" s="40" t="str">
        <f t="shared" si="44"/>
        <v>Semana 1 — ver 🔄</v>
      </c>
      <c r="S555" t="str" cm="1">
        <f t="array" ref="S555">IF(D555="","",IFERROR(_xlfn.SWITCH(B555,"Semana 1",IFERROR(INDEX('🔄 Rotação Duplas'!$D$8:$D$17,MATCH(D555,'🔄 Rotação Duplas'!$C$8:$C$17,0)),INDEX('🔄 Rotação Duplas'!$C$8:$C$17,MATCH(D555,'🔄 Rotação Duplas'!$D$8:$D$17,0))),"Semana 2",IFERROR(INDEX('🔄 Rotação Duplas'!$D$22:$D$31,MATCH(D555,'🔄 Rotação Duplas'!$C$22:$C$31,0)),INDEX('🔄 Rotação Duplas'!$C$22:$C$31,MATCH(D555,'🔄 Rotação Duplas'!$D$22:$D$31,0))),"Semana 3",IFERROR(INDEX('🔄 Rotação Duplas'!$D$36:$D$45,MATCH(D555,'🔄 Rotação Duplas'!$C$36:$C$45,0)),INDEX('🔄 Rotação Duplas'!$C$36:$C$45,MATCH(D555,'🔄 Rotação Duplas'!$D$36:$D$45,0))),"Semana 4",IFERROR(INDEX('🔄 Rotação Duplas'!$D$50:$D$59,MATCH(D555,'🔄 Rotação Duplas'!$C$50:$C$59,0)),INDEX('🔄 Rotação Duplas'!$C$50:$C$59,MATCH(D555,'🔄 Rotação Duplas'!$D$50:$D$59,0))),"Semana 5",IFERROR(INDEX('🔄 Rotação Duplas'!$D$64:$D$73,MATCH(D555,'🔄 Rotação Duplas'!$C$64:$C$73,0)),INDEX('🔄 Rotação Duplas'!$C$64:$C$73,MATCH(D555,'🔄 Rotação Duplas'!$D$64:$D$73,0))),"Semana 6",IFERROR(INDEX('🔄 Rotação Duplas'!$D$78:$D$87,MATCH(D555,'🔄 Rotação Duplas'!$C$78:$C$87,0)),INDEX('🔄 Rotação Duplas'!$C$78:$C$87,MATCH(D555,'🔄 Rotação Duplas'!$D$78:$D$87,0))),"Semana 7",IFERROR(INDEX('🔄 Rotação Duplas'!$D$92:$D$101,MATCH(D555,'🔄 Rotação Duplas'!$C$92:$C$101,0)),INDEX('🔄 Rotação Duplas'!$C$92:$C$101,MATCH(D555,'🔄 Rotação Duplas'!$D$92:$D$101,0))),"Semana 8",IFERROR(INDEX('🔄 Rotação Duplas'!$D$106:$D$115,MATCH(D555,'🔄 Rotação Duplas'!$C$106:$C$115,0)),INDEX('🔄 Rotação Duplas'!$C$106:$C$115,MATCH(D555,'🔄 Rotação Duplas'!$D$106:$D$115,0)))),""))</f>
        <v/>
      </c>
      <c r="T555">
        <f t="shared" si="46"/>
        <v>0</v>
      </c>
    </row>
    <row r="556" spans="2:20" ht="18" customHeight="1" x14ac:dyDescent="0.2">
      <c r="B556" s="85" t="s">
        <v>119</v>
      </c>
      <c r="C556" s="86" t="str">
        <f t="shared" si="48"/>
        <v>Desafio 28</v>
      </c>
      <c r="D556" s="87" t="str">
        <f>'⚙️ Configuração'!C39</f>
        <v>Fátima Rodriguez</v>
      </c>
      <c r="E556" s="50">
        <v>0</v>
      </c>
      <c r="F556" s="50">
        <v>0</v>
      </c>
      <c r="G556" s="50">
        <v>0</v>
      </c>
      <c r="H556" s="50">
        <v>0</v>
      </c>
      <c r="I556" s="50">
        <v>0</v>
      </c>
      <c r="J556" s="89">
        <v>0</v>
      </c>
      <c r="K556" s="81">
        <f>(E556*'⚙️ Configuração'!$C$6+F556*'⚙️ Configuração'!$C$7+G556*'⚙️ Configuração'!$C$8+H556*'⚙️ Configuração'!$C$9+I556*'⚙️ Configuração'!$C$10+J556*'⚙️ Configuração'!$C$11)*IF(N556="S",2,1)</f>
        <v>0</v>
      </c>
      <c r="L556" s="90" t="s">
        <v>167</v>
      </c>
      <c r="M556" s="82">
        <f>IF(L556="AT1",'⚙️ Configuração'!$C$14,IF(L556="AT2",'⚙️ Configuração'!$C$15,IF(L556="FI",'⚙️ Configuração'!$C$16,IF(L556="FJ",'⚙️ Configuração'!$C$17,0))))</f>
        <v>0</v>
      </c>
      <c r="N556" s="91" t="s">
        <v>167</v>
      </c>
      <c r="O556" s="92"/>
      <c r="P556" s="83">
        <f>IF(O556="1",'⚙️ Configuração'!$C$21,IF(O556="2",'⚙️ Configuração'!$C$22,IF(O556="3",'⚙️ Configuração'!$C$23,IF(O556="Outro",'⚙️ Configuração'!$C$24,0))))</f>
        <v>0</v>
      </c>
      <c r="Q556" s="84">
        <f t="shared" si="45"/>
        <v>0</v>
      </c>
      <c r="R556" s="40" t="str">
        <f t="shared" si="44"/>
        <v>Semana 1 — ver 🔄</v>
      </c>
      <c r="S556" t="str" cm="1">
        <f t="array" ref="S556">IF(D556="","",IFERROR(_xlfn.SWITCH(B556,"Semana 1",IFERROR(INDEX('🔄 Rotação Duplas'!$D$8:$D$17,MATCH(D556,'🔄 Rotação Duplas'!$C$8:$C$17,0)),INDEX('🔄 Rotação Duplas'!$C$8:$C$17,MATCH(D556,'🔄 Rotação Duplas'!$D$8:$D$17,0))),"Semana 2",IFERROR(INDEX('🔄 Rotação Duplas'!$D$22:$D$31,MATCH(D556,'🔄 Rotação Duplas'!$C$22:$C$31,0)),INDEX('🔄 Rotação Duplas'!$C$22:$C$31,MATCH(D556,'🔄 Rotação Duplas'!$D$22:$D$31,0))),"Semana 3",IFERROR(INDEX('🔄 Rotação Duplas'!$D$36:$D$45,MATCH(D556,'🔄 Rotação Duplas'!$C$36:$C$45,0)),INDEX('🔄 Rotação Duplas'!$C$36:$C$45,MATCH(D556,'🔄 Rotação Duplas'!$D$36:$D$45,0))),"Semana 4",IFERROR(INDEX('🔄 Rotação Duplas'!$D$50:$D$59,MATCH(D556,'🔄 Rotação Duplas'!$C$50:$C$59,0)),INDEX('🔄 Rotação Duplas'!$C$50:$C$59,MATCH(D556,'🔄 Rotação Duplas'!$D$50:$D$59,0))),"Semana 5",IFERROR(INDEX('🔄 Rotação Duplas'!$D$64:$D$73,MATCH(D556,'🔄 Rotação Duplas'!$C$64:$C$73,0)),INDEX('🔄 Rotação Duplas'!$C$64:$C$73,MATCH(D556,'🔄 Rotação Duplas'!$D$64:$D$73,0))),"Semana 6",IFERROR(INDEX('🔄 Rotação Duplas'!$D$78:$D$87,MATCH(D556,'🔄 Rotação Duplas'!$C$78:$C$87,0)),INDEX('🔄 Rotação Duplas'!$C$78:$C$87,MATCH(D556,'🔄 Rotação Duplas'!$D$78:$D$87,0))),"Semana 7",IFERROR(INDEX('🔄 Rotação Duplas'!$D$92:$D$101,MATCH(D556,'🔄 Rotação Duplas'!$C$92:$C$101,0)),INDEX('🔄 Rotação Duplas'!$C$92:$C$101,MATCH(D556,'🔄 Rotação Duplas'!$D$92:$D$101,0))),"Semana 8",IFERROR(INDEX('🔄 Rotação Duplas'!$D$106:$D$115,MATCH(D556,'🔄 Rotação Duplas'!$C$106:$C$115,0)),INDEX('🔄 Rotação Duplas'!$C$106:$C$115,MATCH(D556,'🔄 Rotação Duplas'!$D$106:$D$115,0)))),""))</f>
        <v/>
      </c>
      <c r="T556">
        <f t="shared" si="46"/>
        <v>0</v>
      </c>
    </row>
    <row r="557" spans="2:20" ht="18" customHeight="1" x14ac:dyDescent="0.2">
      <c r="B557" s="78" t="s">
        <v>119</v>
      </c>
      <c r="C557" s="79" t="str">
        <f t="shared" si="48"/>
        <v>Desafio 28</v>
      </c>
      <c r="D557" s="80" t="str">
        <f>'⚙️ Configuração'!C40</f>
        <v>Maria João Travassos</v>
      </c>
      <c r="E557" s="50">
        <v>0</v>
      </c>
      <c r="F557" s="50">
        <v>0</v>
      </c>
      <c r="G557" s="50">
        <v>0</v>
      </c>
      <c r="H557" s="50">
        <v>0</v>
      </c>
      <c r="I557" s="50">
        <v>0</v>
      </c>
      <c r="J557" s="89">
        <v>0</v>
      </c>
      <c r="K557" s="81">
        <f>(E557*'⚙️ Configuração'!$C$6+F557*'⚙️ Configuração'!$C$7+G557*'⚙️ Configuração'!$C$8+H557*'⚙️ Configuração'!$C$9+I557*'⚙️ Configuração'!$C$10+J557*'⚙️ Configuração'!$C$11)*IF(N557="S",2,1)</f>
        <v>0</v>
      </c>
      <c r="L557" s="90" t="s">
        <v>167</v>
      </c>
      <c r="M557" s="82">
        <f>IF(L557="AT1",'⚙️ Configuração'!$C$14,IF(L557="AT2",'⚙️ Configuração'!$C$15,IF(L557="FI",'⚙️ Configuração'!$C$16,IF(L557="FJ",'⚙️ Configuração'!$C$17,0))))</f>
        <v>0</v>
      </c>
      <c r="N557" s="91" t="s">
        <v>167</v>
      </c>
      <c r="O557" s="92"/>
      <c r="P557" s="83">
        <f>IF(O557="1",'⚙️ Configuração'!$C$21,IF(O557="2",'⚙️ Configuração'!$C$22,IF(O557="3",'⚙️ Configuração'!$C$23,IF(O557="Outro",'⚙️ Configuração'!$C$24,0))))</f>
        <v>0</v>
      </c>
      <c r="Q557" s="84">
        <f t="shared" si="45"/>
        <v>0</v>
      </c>
      <c r="R557" s="40" t="str">
        <f t="shared" si="44"/>
        <v>Semana 1 — ver 🔄</v>
      </c>
      <c r="S557" t="str" cm="1">
        <f t="array" ref="S557">IF(D557="","",IFERROR(_xlfn.SWITCH(B557,"Semana 1",IFERROR(INDEX('🔄 Rotação Duplas'!$D$8:$D$17,MATCH(D557,'🔄 Rotação Duplas'!$C$8:$C$17,0)),INDEX('🔄 Rotação Duplas'!$C$8:$C$17,MATCH(D557,'🔄 Rotação Duplas'!$D$8:$D$17,0))),"Semana 2",IFERROR(INDEX('🔄 Rotação Duplas'!$D$22:$D$31,MATCH(D557,'🔄 Rotação Duplas'!$C$22:$C$31,0)),INDEX('🔄 Rotação Duplas'!$C$22:$C$31,MATCH(D557,'🔄 Rotação Duplas'!$D$22:$D$31,0))),"Semana 3",IFERROR(INDEX('🔄 Rotação Duplas'!$D$36:$D$45,MATCH(D557,'🔄 Rotação Duplas'!$C$36:$C$45,0)),INDEX('🔄 Rotação Duplas'!$C$36:$C$45,MATCH(D557,'🔄 Rotação Duplas'!$D$36:$D$45,0))),"Semana 4",IFERROR(INDEX('🔄 Rotação Duplas'!$D$50:$D$59,MATCH(D557,'🔄 Rotação Duplas'!$C$50:$C$59,0)),INDEX('🔄 Rotação Duplas'!$C$50:$C$59,MATCH(D557,'🔄 Rotação Duplas'!$D$50:$D$59,0))),"Semana 5",IFERROR(INDEX('🔄 Rotação Duplas'!$D$64:$D$73,MATCH(D557,'🔄 Rotação Duplas'!$C$64:$C$73,0)),INDEX('🔄 Rotação Duplas'!$C$64:$C$73,MATCH(D557,'🔄 Rotação Duplas'!$D$64:$D$73,0))),"Semana 6",IFERROR(INDEX('🔄 Rotação Duplas'!$D$78:$D$87,MATCH(D557,'🔄 Rotação Duplas'!$C$78:$C$87,0)),INDEX('🔄 Rotação Duplas'!$C$78:$C$87,MATCH(D557,'🔄 Rotação Duplas'!$D$78:$D$87,0))),"Semana 7",IFERROR(INDEX('🔄 Rotação Duplas'!$D$92:$D$101,MATCH(D557,'🔄 Rotação Duplas'!$C$92:$C$101,0)),INDEX('🔄 Rotação Duplas'!$C$92:$C$101,MATCH(D557,'🔄 Rotação Duplas'!$D$92:$D$101,0))),"Semana 8",IFERROR(INDEX('🔄 Rotação Duplas'!$D$106:$D$115,MATCH(D557,'🔄 Rotação Duplas'!$C$106:$C$115,0)),INDEX('🔄 Rotação Duplas'!$C$106:$C$115,MATCH(D557,'🔄 Rotação Duplas'!$D$106:$D$115,0)))),""))</f>
        <v/>
      </c>
      <c r="T557">
        <f t="shared" si="46"/>
        <v>0</v>
      </c>
    </row>
    <row r="558" spans="2:20" ht="18" customHeight="1" x14ac:dyDescent="0.2">
      <c r="B558" s="85" t="s">
        <v>119</v>
      </c>
      <c r="C558" s="86" t="str">
        <f t="shared" si="48"/>
        <v>Desafio 28</v>
      </c>
      <c r="D558" s="87" t="str">
        <f>'⚙️ Configuração'!C41</f>
        <v>Marta Torres</v>
      </c>
      <c r="E558" s="50">
        <v>0</v>
      </c>
      <c r="F558" s="50">
        <v>0</v>
      </c>
      <c r="G558" s="50">
        <v>0</v>
      </c>
      <c r="H558" s="50">
        <v>0</v>
      </c>
      <c r="I558" s="50">
        <v>0</v>
      </c>
      <c r="J558" s="89">
        <v>0</v>
      </c>
      <c r="K558" s="81">
        <f>(E558*'⚙️ Configuração'!$C$6+F558*'⚙️ Configuração'!$C$7+G558*'⚙️ Configuração'!$C$8+H558*'⚙️ Configuração'!$C$9+I558*'⚙️ Configuração'!$C$10+J558*'⚙️ Configuração'!$C$11)*IF(N558="S",2,1)</f>
        <v>0</v>
      </c>
      <c r="L558" s="90" t="s">
        <v>167</v>
      </c>
      <c r="M558" s="82">
        <f>IF(L558="AT1",'⚙️ Configuração'!$C$14,IF(L558="AT2",'⚙️ Configuração'!$C$15,IF(L558="FI",'⚙️ Configuração'!$C$16,IF(L558="FJ",'⚙️ Configuração'!$C$17,0))))</f>
        <v>0</v>
      </c>
      <c r="N558" s="91" t="s">
        <v>167</v>
      </c>
      <c r="O558" s="92"/>
      <c r="P558" s="83">
        <f>IF(O558="1",'⚙️ Configuração'!$C$21,IF(O558="2",'⚙️ Configuração'!$C$22,IF(O558="3",'⚙️ Configuração'!$C$23,IF(O558="Outro",'⚙️ Configuração'!$C$24,0))))</f>
        <v>0</v>
      </c>
      <c r="Q558" s="84">
        <f t="shared" si="45"/>
        <v>0</v>
      </c>
      <c r="R558" s="40" t="str">
        <f t="shared" si="44"/>
        <v>Semana 1 — ver 🔄</v>
      </c>
      <c r="S558" t="str" cm="1">
        <f t="array" ref="S558">IF(D558="","",IFERROR(_xlfn.SWITCH(B558,"Semana 1",IFERROR(INDEX('🔄 Rotação Duplas'!$D$8:$D$17,MATCH(D558,'🔄 Rotação Duplas'!$C$8:$C$17,0)),INDEX('🔄 Rotação Duplas'!$C$8:$C$17,MATCH(D558,'🔄 Rotação Duplas'!$D$8:$D$17,0))),"Semana 2",IFERROR(INDEX('🔄 Rotação Duplas'!$D$22:$D$31,MATCH(D558,'🔄 Rotação Duplas'!$C$22:$C$31,0)),INDEX('🔄 Rotação Duplas'!$C$22:$C$31,MATCH(D558,'🔄 Rotação Duplas'!$D$22:$D$31,0))),"Semana 3",IFERROR(INDEX('🔄 Rotação Duplas'!$D$36:$D$45,MATCH(D558,'🔄 Rotação Duplas'!$C$36:$C$45,0)),INDEX('🔄 Rotação Duplas'!$C$36:$C$45,MATCH(D558,'🔄 Rotação Duplas'!$D$36:$D$45,0))),"Semana 4",IFERROR(INDEX('🔄 Rotação Duplas'!$D$50:$D$59,MATCH(D558,'🔄 Rotação Duplas'!$C$50:$C$59,0)),INDEX('🔄 Rotação Duplas'!$C$50:$C$59,MATCH(D558,'🔄 Rotação Duplas'!$D$50:$D$59,0))),"Semana 5",IFERROR(INDEX('🔄 Rotação Duplas'!$D$64:$D$73,MATCH(D558,'🔄 Rotação Duplas'!$C$64:$C$73,0)),INDEX('🔄 Rotação Duplas'!$C$64:$C$73,MATCH(D558,'🔄 Rotação Duplas'!$D$64:$D$73,0))),"Semana 6",IFERROR(INDEX('🔄 Rotação Duplas'!$D$78:$D$87,MATCH(D558,'🔄 Rotação Duplas'!$C$78:$C$87,0)),INDEX('🔄 Rotação Duplas'!$C$78:$C$87,MATCH(D558,'🔄 Rotação Duplas'!$D$78:$D$87,0))),"Semana 7",IFERROR(INDEX('🔄 Rotação Duplas'!$D$92:$D$101,MATCH(D558,'🔄 Rotação Duplas'!$C$92:$C$101,0)),INDEX('🔄 Rotação Duplas'!$C$92:$C$101,MATCH(D558,'🔄 Rotação Duplas'!$D$92:$D$101,0))),"Semana 8",IFERROR(INDEX('🔄 Rotação Duplas'!$D$106:$D$115,MATCH(D558,'🔄 Rotação Duplas'!$C$106:$C$115,0)),INDEX('🔄 Rotação Duplas'!$C$106:$C$115,MATCH(D558,'🔄 Rotação Duplas'!$D$106:$D$115,0)))),""))</f>
        <v/>
      </c>
      <c r="T558">
        <f t="shared" si="46"/>
        <v>0</v>
      </c>
    </row>
    <row r="559" spans="2:20" ht="18" customHeight="1" x14ac:dyDescent="0.2">
      <c r="B559" s="78" t="s">
        <v>119</v>
      </c>
      <c r="C559" s="79" t="str">
        <f t="shared" si="48"/>
        <v>Desafio 28</v>
      </c>
      <c r="D559" s="80" t="str">
        <f>'⚙️ Configuração'!C42</f>
        <v>Patricia Isabel Silva</v>
      </c>
      <c r="E559" s="50">
        <v>0</v>
      </c>
      <c r="F559" s="50">
        <v>0</v>
      </c>
      <c r="G559" s="50">
        <v>0</v>
      </c>
      <c r="H559" s="50">
        <v>0</v>
      </c>
      <c r="I559" s="50">
        <v>0</v>
      </c>
      <c r="J559" s="89">
        <v>0</v>
      </c>
      <c r="K559" s="81">
        <f>(E559*'⚙️ Configuração'!$C$6+F559*'⚙️ Configuração'!$C$7+G559*'⚙️ Configuração'!$C$8+H559*'⚙️ Configuração'!$C$9+I559*'⚙️ Configuração'!$C$10+J559*'⚙️ Configuração'!$C$11)*IF(N559="S",2,1)</f>
        <v>0</v>
      </c>
      <c r="L559" s="90" t="s">
        <v>167</v>
      </c>
      <c r="M559" s="82">
        <f>IF(L559="AT1",'⚙️ Configuração'!$C$14,IF(L559="AT2",'⚙️ Configuração'!$C$15,IF(L559="FI",'⚙️ Configuração'!$C$16,IF(L559="FJ",'⚙️ Configuração'!$C$17,0))))</f>
        <v>0</v>
      </c>
      <c r="N559" s="91" t="s">
        <v>167</v>
      </c>
      <c r="O559" s="92"/>
      <c r="P559" s="83">
        <f>IF(O559="1",'⚙️ Configuração'!$C$21,IF(O559="2",'⚙️ Configuração'!$C$22,IF(O559="3",'⚙️ Configuração'!$C$23,IF(O559="Outro",'⚙️ Configuração'!$C$24,0))))</f>
        <v>0</v>
      </c>
      <c r="Q559" s="84">
        <f t="shared" si="45"/>
        <v>0</v>
      </c>
      <c r="R559" s="40" t="str">
        <f t="shared" si="44"/>
        <v>Semana 1 — ver 🔄</v>
      </c>
      <c r="S559" t="str" cm="1">
        <f t="array" ref="S559">IF(D559="","",IFERROR(_xlfn.SWITCH(B559,"Semana 1",IFERROR(INDEX('🔄 Rotação Duplas'!$D$8:$D$17,MATCH(D559,'🔄 Rotação Duplas'!$C$8:$C$17,0)),INDEX('🔄 Rotação Duplas'!$C$8:$C$17,MATCH(D559,'🔄 Rotação Duplas'!$D$8:$D$17,0))),"Semana 2",IFERROR(INDEX('🔄 Rotação Duplas'!$D$22:$D$31,MATCH(D559,'🔄 Rotação Duplas'!$C$22:$C$31,0)),INDEX('🔄 Rotação Duplas'!$C$22:$C$31,MATCH(D559,'🔄 Rotação Duplas'!$D$22:$D$31,0))),"Semana 3",IFERROR(INDEX('🔄 Rotação Duplas'!$D$36:$D$45,MATCH(D559,'🔄 Rotação Duplas'!$C$36:$C$45,0)),INDEX('🔄 Rotação Duplas'!$C$36:$C$45,MATCH(D559,'🔄 Rotação Duplas'!$D$36:$D$45,0))),"Semana 4",IFERROR(INDEX('🔄 Rotação Duplas'!$D$50:$D$59,MATCH(D559,'🔄 Rotação Duplas'!$C$50:$C$59,0)),INDEX('🔄 Rotação Duplas'!$C$50:$C$59,MATCH(D559,'🔄 Rotação Duplas'!$D$50:$D$59,0))),"Semana 5",IFERROR(INDEX('🔄 Rotação Duplas'!$D$64:$D$73,MATCH(D559,'🔄 Rotação Duplas'!$C$64:$C$73,0)),INDEX('🔄 Rotação Duplas'!$C$64:$C$73,MATCH(D559,'🔄 Rotação Duplas'!$D$64:$D$73,0))),"Semana 6",IFERROR(INDEX('🔄 Rotação Duplas'!$D$78:$D$87,MATCH(D559,'🔄 Rotação Duplas'!$C$78:$C$87,0)),INDEX('🔄 Rotação Duplas'!$C$78:$C$87,MATCH(D559,'🔄 Rotação Duplas'!$D$78:$D$87,0))),"Semana 7",IFERROR(INDEX('🔄 Rotação Duplas'!$D$92:$D$101,MATCH(D559,'🔄 Rotação Duplas'!$C$92:$C$101,0)),INDEX('🔄 Rotação Duplas'!$C$92:$C$101,MATCH(D559,'🔄 Rotação Duplas'!$D$92:$D$101,0))),"Semana 8",IFERROR(INDEX('🔄 Rotação Duplas'!$D$106:$D$115,MATCH(D559,'🔄 Rotação Duplas'!$C$106:$C$115,0)),INDEX('🔄 Rotação Duplas'!$C$106:$C$115,MATCH(D559,'🔄 Rotação Duplas'!$D$106:$D$115,0)))),""))</f>
        <v/>
      </c>
      <c r="T559">
        <f t="shared" si="46"/>
        <v>0</v>
      </c>
    </row>
    <row r="560" spans="2:20" ht="18" customHeight="1" x14ac:dyDescent="0.2">
      <c r="B560" s="85" t="s">
        <v>119</v>
      </c>
      <c r="C560" s="86" t="str">
        <f t="shared" si="48"/>
        <v>Desafio 28</v>
      </c>
      <c r="D560" s="87" t="str">
        <f>'⚙️ Configuração'!C43</f>
        <v>Paula Martins</v>
      </c>
      <c r="E560" s="50">
        <v>0</v>
      </c>
      <c r="F560" s="50">
        <v>0</v>
      </c>
      <c r="G560" s="50">
        <v>0</v>
      </c>
      <c r="H560" s="50">
        <v>0</v>
      </c>
      <c r="I560" s="50">
        <v>0</v>
      </c>
      <c r="J560" s="89">
        <v>0</v>
      </c>
      <c r="K560" s="81">
        <f>(E560*'⚙️ Configuração'!$C$6+F560*'⚙️ Configuração'!$C$7+G560*'⚙️ Configuração'!$C$8+H560*'⚙️ Configuração'!$C$9+I560*'⚙️ Configuração'!$C$10+J560*'⚙️ Configuração'!$C$11)*IF(N560="S",2,1)</f>
        <v>0</v>
      </c>
      <c r="L560" s="90" t="s">
        <v>167</v>
      </c>
      <c r="M560" s="82">
        <f>IF(L560="AT1",'⚙️ Configuração'!$C$14,IF(L560="AT2",'⚙️ Configuração'!$C$15,IF(L560="FI",'⚙️ Configuração'!$C$16,IF(L560="FJ",'⚙️ Configuração'!$C$17,0))))</f>
        <v>0</v>
      </c>
      <c r="N560" s="91" t="s">
        <v>167</v>
      </c>
      <c r="O560" s="92"/>
      <c r="P560" s="83">
        <f>IF(O560="1",'⚙️ Configuração'!$C$21,IF(O560="2",'⚙️ Configuração'!$C$22,IF(O560="3",'⚙️ Configuração'!$C$23,IF(O560="Outro",'⚙️ Configuração'!$C$24,0))))</f>
        <v>0</v>
      </c>
      <c r="Q560" s="84">
        <f t="shared" si="45"/>
        <v>0</v>
      </c>
      <c r="R560" s="40" t="str">
        <f t="shared" si="44"/>
        <v>Semana 1 — ver 🔄</v>
      </c>
      <c r="S560" t="str" cm="1">
        <f t="array" ref="S560">IF(D560="","",IFERROR(_xlfn.SWITCH(B560,"Semana 1",IFERROR(INDEX('🔄 Rotação Duplas'!$D$8:$D$17,MATCH(D560,'🔄 Rotação Duplas'!$C$8:$C$17,0)),INDEX('🔄 Rotação Duplas'!$C$8:$C$17,MATCH(D560,'🔄 Rotação Duplas'!$D$8:$D$17,0))),"Semana 2",IFERROR(INDEX('🔄 Rotação Duplas'!$D$22:$D$31,MATCH(D560,'🔄 Rotação Duplas'!$C$22:$C$31,0)),INDEX('🔄 Rotação Duplas'!$C$22:$C$31,MATCH(D560,'🔄 Rotação Duplas'!$D$22:$D$31,0))),"Semana 3",IFERROR(INDEX('🔄 Rotação Duplas'!$D$36:$D$45,MATCH(D560,'🔄 Rotação Duplas'!$C$36:$C$45,0)),INDEX('🔄 Rotação Duplas'!$C$36:$C$45,MATCH(D560,'🔄 Rotação Duplas'!$D$36:$D$45,0))),"Semana 4",IFERROR(INDEX('🔄 Rotação Duplas'!$D$50:$D$59,MATCH(D560,'🔄 Rotação Duplas'!$C$50:$C$59,0)),INDEX('🔄 Rotação Duplas'!$C$50:$C$59,MATCH(D560,'🔄 Rotação Duplas'!$D$50:$D$59,0))),"Semana 5",IFERROR(INDEX('🔄 Rotação Duplas'!$D$64:$D$73,MATCH(D560,'🔄 Rotação Duplas'!$C$64:$C$73,0)),INDEX('🔄 Rotação Duplas'!$C$64:$C$73,MATCH(D560,'🔄 Rotação Duplas'!$D$64:$D$73,0))),"Semana 6",IFERROR(INDEX('🔄 Rotação Duplas'!$D$78:$D$87,MATCH(D560,'🔄 Rotação Duplas'!$C$78:$C$87,0)),INDEX('🔄 Rotação Duplas'!$C$78:$C$87,MATCH(D560,'🔄 Rotação Duplas'!$D$78:$D$87,0))),"Semana 7",IFERROR(INDEX('🔄 Rotação Duplas'!$D$92:$D$101,MATCH(D560,'🔄 Rotação Duplas'!$C$92:$C$101,0)),INDEX('🔄 Rotação Duplas'!$C$92:$C$101,MATCH(D560,'🔄 Rotação Duplas'!$D$92:$D$101,0))),"Semana 8",IFERROR(INDEX('🔄 Rotação Duplas'!$D$106:$D$115,MATCH(D560,'🔄 Rotação Duplas'!$C$106:$C$115,0)),INDEX('🔄 Rotação Duplas'!$C$106:$C$115,MATCH(D560,'🔄 Rotação Duplas'!$D$106:$D$115,0)))),""))</f>
        <v/>
      </c>
      <c r="T560">
        <f t="shared" si="46"/>
        <v>0</v>
      </c>
    </row>
    <row r="561" spans="2:20" ht="18" customHeight="1" x14ac:dyDescent="0.2">
      <c r="B561" s="78" t="s">
        <v>119</v>
      </c>
      <c r="C561" s="79" t="str">
        <f t="shared" si="48"/>
        <v>Desafio 28</v>
      </c>
      <c r="D561" s="80" t="str">
        <f>'⚙️ Configuração'!C44</f>
        <v>Paula Miabara</v>
      </c>
      <c r="E561" s="50">
        <v>0</v>
      </c>
      <c r="F561" s="50">
        <v>0</v>
      </c>
      <c r="G561" s="50">
        <v>0</v>
      </c>
      <c r="H561" s="50">
        <v>0</v>
      </c>
      <c r="I561" s="50">
        <v>0</v>
      </c>
      <c r="J561" s="89">
        <v>0</v>
      </c>
      <c r="K561" s="81">
        <f>(E561*'⚙️ Configuração'!$C$6+F561*'⚙️ Configuração'!$C$7+G561*'⚙️ Configuração'!$C$8+H561*'⚙️ Configuração'!$C$9+I561*'⚙️ Configuração'!$C$10+J561*'⚙️ Configuração'!$C$11)*IF(N561="S",2,1)</f>
        <v>0</v>
      </c>
      <c r="L561" s="90" t="s">
        <v>167</v>
      </c>
      <c r="M561" s="82">
        <f>IF(L561="AT1",'⚙️ Configuração'!$C$14,IF(L561="AT2",'⚙️ Configuração'!$C$15,IF(L561="FI",'⚙️ Configuração'!$C$16,IF(L561="FJ",'⚙️ Configuração'!$C$17,0))))</f>
        <v>0</v>
      </c>
      <c r="N561" s="91" t="s">
        <v>167</v>
      </c>
      <c r="O561" s="92"/>
      <c r="P561" s="83">
        <f>IF(O561="1",'⚙️ Configuração'!$C$21,IF(O561="2",'⚙️ Configuração'!$C$22,IF(O561="3",'⚙️ Configuração'!$C$23,IF(O561="Outro",'⚙️ Configuração'!$C$24,0))))</f>
        <v>0</v>
      </c>
      <c r="Q561" s="84">
        <f t="shared" si="45"/>
        <v>0</v>
      </c>
      <c r="R561" s="40" t="str">
        <f t="shared" si="44"/>
        <v>Semana 1 — ver 🔄</v>
      </c>
      <c r="S561" t="str" cm="1">
        <f t="array" ref="S561">IF(D561="","",IFERROR(_xlfn.SWITCH(B561,"Semana 1",IFERROR(INDEX('🔄 Rotação Duplas'!$D$8:$D$17,MATCH(D561,'🔄 Rotação Duplas'!$C$8:$C$17,0)),INDEX('🔄 Rotação Duplas'!$C$8:$C$17,MATCH(D561,'🔄 Rotação Duplas'!$D$8:$D$17,0))),"Semana 2",IFERROR(INDEX('🔄 Rotação Duplas'!$D$22:$D$31,MATCH(D561,'🔄 Rotação Duplas'!$C$22:$C$31,0)),INDEX('🔄 Rotação Duplas'!$C$22:$C$31,MATCH(D561,'🔄 Rotação Duplas'!$D$22:$D$31,0))),"Semana 3",IFERROR(INDEX('🔄 Rotação Duplas'!$D$36:$D$45,MATCH(D561,'🔄 Rotação Duplas'!$C$36:$C$45,0)),INDEX('🔄 Rotação Duplas'!$C$36:$C$45,MATCH(D561,'🔄 Rotação Duplas'!$D$36:$D$45,0))),"Semana 4",IFERROR(INDEX('🔄 Rotação Duplas'!$D$50:$D$59,MATCH(D561,'🔄 Rotação Duplas'!$C$50:$C$59,0)),INDEX('🔄 Rotação Duplas'!$C$50:$C$59,MATCH(D561,'🔄 Rotação Duplas'!$D$50:$D$59,0))),"Semana 5",IFERROR(INDEX('🔄 Rotação Duplas'!$D$64:$D$73,MATCH(D561,'🔄 Rotação Duplas'!$C$64:$C$73,0)),INDEX('🔄 Rotação Duplas'!$C$64:$C$73,MATCH(D561,'🔄 Rotação Duplas'!$D$64:$D$73,0))),"Semana 6",IFERROR(INDEX('🔄 Rotação Duplas'!$D$78:$D$87,MATCH(D561,'🔄 Rotação Duplas'!$C$78:$C$87,0)),INDEX('🔄 Rotação Duplas'!$C$78:$C$87,MATCH(D561,'🔄 Rotação Duplas'!$D$78:$D$87,0))),"Semana 7",IFERROR(INDEX('🔄 Rotação Duplas'!$D$92:$D$101,MATCH(D561,'🔄 Rotação Duplas'!$C$92:$C$101,0)),INDEX('🔄 Rotação Duplas'!$C$92:$C$101,MATCH(D561,'🔄 Rotação Duplas'!$D$92:$D$101,0))),"Semana 8",IFERROR(INDEX('🔄 Rotação Duplas'!$D$106:$D$115,MATCH(D561,'🔄 Rotação Duplas'!$C$106:$C$115,0)),INDEX('🔄 Rotação Duplas'!$C$106:$C$115,MATCH(D561,'🔄 Rotação Duplas'!$D$106:$D$115,0)))),""))</f>
        <v/>
      </c>
      <c r="T561">
        <f t="shared" si="46"/>
        <v>0</v>
      </c>
    </row>
    <row r="562" spans="2:20" ht="18" customHeight="1" x14ac:dyDescent="0.2">
      <c r="B562" s="85" t="s">
        <v>119</v>
      </c>
      <c r="C562" s="86" t="str">
        <f t="shared" si="48"/>
        <v>Desafio 28</v>
      </c>
      <c r="D562" s="87" t="str">
        <f>'⚙️ Configuração'!C45</f>
        <v>Rita Carmo</v>
      </c>
      <c r="E562" s="50">
        <v>0</v>
      </c>
      <c r="F562" s="50">
        <v>0</v>
      </c>
      <c r="G562" s="50">
        <v>0</v>
      </c>
      <c r="H562" s="50">
        <v>0</v>
      </c>
      <c r="I562" s="50">
        <v>0</v>
      </c>
      <c r="J562" s="89">
        <v>0</v>
      </c>
      <c r="K562" s="81">
        <f>(E562*'⚙️ Configuração'!$C$6+F562*'⚙️ Configuração'!$C$7+G562*'⚙️ Configuração'!$C$8+H562*'⚙️ Configuração'!$C$9+I562*'⚙️ Configuração'!$C$10+J562*'⚙️ Configuração'!$C$11)*IF(N562="S",2,1)</f>
        <v>0</v>
      </c>
      <c r="L562" s="90" t="s">
        <v>167</v>
      </c>
      <c r="M562" s="82">
        <f>IF(L562="AT1",'⚙️ Configuração'!$C$14,IF(L562="AT2",'⚙️ Configuração'!$C$15,IF(L562="FI",'⚙️ Configuração'!$C$16,IF(L562="FJ",'⚙️ Configuração'!$C$17,0))))</f>
        <v>0</v>
      </c>
      <c r="N562" s="91" t="s">
        <v>167</v>
      </c>
      <c r="O562" s="92"/>
      <c r="P562" s="83">
        <f>IF(O562="1",'⚙️ Configuração'!$C$21,IF(O562="2",'⚙️ Configuração'!$C$22,IF(O562="3",'⚙️ Configuração'!$C$23,IF(O562="Outro",'⚙️ Configuração'!$C$24,0))))</f>
        <v>0</v>
      </c>
      <c r="Q562" s="84">
        <f t="shared" si="45"/>
        <v>0</v>
      </c>
      <c r="R562" s="40" t="str">
        <f t="shared" si="44"/>
        <v>Semana 1 — ver 🔄</v>
      </c>
      <c r="S562" t="str" cm="1">
        <f t="array" ref="S562">IF(D562="","",IFERROR(_xlfn.SWITCH(B562,"Semana 1",IFERROR(INDEX('🔄 Rotação Duplas'!$D$8:$D$17,MATCH(D562,'🔄 Rotação Duplas'!$C$8:$C$17,0)),INDEX('🔄 Rotação Duplas'!$C$8:$C$17,MATCH(D562,'🔄 Rotação Duplas'!$D$8:$D$17,0))),"Semana 2",IFERROR(INDEX('🔄 Rotação Duplas'!$D$22:$D$31,MATCH(D562,'🔄 Rotação Duplas'!$C$22:$C$31,0)),INDEX('🔄 Rotação Duplas'!$C$22:$C$31,MATCH(D562,'🔄 Rotação Duplas'!$D$22:$D$31,0))),"Semana 3",IFERROR(INDEX('🔄 Rotação Duplas'!$D$36:$D$45,MATCH(D562,'🔄 Rotação Duplas'!$C$36:$C$45,0)),INDEX('🔄 Rotação Duplas'!$C$36:$C$45,MATCH(D562,'🔄 Rotação Duplas'!$D$36:$D$45,0))),"Semana 4",IFERROR(INDEX('🔄 Rotação Duplas'!$D$50:$D$59,MATCH(D562,'🔄 Rotação Duplas'!$C$50:$C$59,0)),INDEX('🔄 Rotação Duplas'!$C$50:$C$59,MATCH(D562,'🔄 Rotação Duplas'!$D$50:$D$59,0))),"Semana 5",IFERROR(INDEX('🔄 Rotação Duplas'!$D$64:$D$73,MATCH(D562,'🔄 Rotação Duplas'!$C$64:$C$73,0)),INDEX('🔄 Rotação Duplas'!$C$64:$C$73,MATCH(D562,'🔄 Rotação Duplas'!$D$64:$D$73,0))),"Semana 6",IFERROR(INDEX('🔄 Rotação Duplas'!$D$78:$D$87,MATCH(D562,'🔄 Rotação Duplas'!$C$78:$C$87,0)),INDEX('🔄 Rotação Duplas'!$C$78:$C$87,MATCH(D562,'🔄 Rotação Duplas'!$D$78:$D$87,0))),"Semana 7",IFERROR(INDEX('🔄 Rotação Duplas'!$D$92:$D$101,MATCH(D562,'🔄 Rotação Duplas'!$C$92:$C$101,0)),INDEX('🔄 Rotação Duplas'!$C$92:$C$101,MATCH(D562,'🔄 Rotação Duplas'!$D$92:$D$101,0))),"Semana 8",IFERROR(INDEX('🔄 Rotação Duplas'!$D$106:$D$115,MATCH(D562,'🔄 Rotação Duplas'!$C$106:$C$115,0)),INDEX('🔄 Rotação Duplas'!$C$106:$C$115,MATCH(D562,'🔄 Rotação Duplas'!$D$106:$D$115,0)))),""))</f>
        <v/>
      </c>
      <c r="T562">
        <f t="shared" si="46"/>
        <v>0</v>
      </c>
    </row>
    <row r="563" spans="2:20" ht="18" customHeight="1" x14ac:dyDescent="0.2">
      <c r="B563" s="78" t="s">
        <v>119</v>
      </c>
      <c r="C563" s="79" t="str">
        <f t="shared" si="48"/>
        <v>Desafio 28</v>
      </c>
      <c r="D563" s="80" t="str">
        <f>'⚙️ Configuração'!C46</f>
        <v>William Fernandes</v>
      </c>
      <c r="E563" s="50">
        <v>0</v>
      </c>
      <c r="F563" s="50">
        <v>0</v>
      </c>
      <c r="G563" s="50">
        <v>0</v>
      </c>
      <c r="H563" s="50">
        <v>0</v>
      </c>
      <c r="I563" s="50">
        <v>0</v>
      </c>
      <c r="J563" s="89">
        <v>0</v>
      </c>
      <c r="K563" s="81">
        <f>(E563*'⚙️ Configuração'!$C$6+F563*'⚙️ Configuração'!$C$7+G563*'⚙️ Configuração'!$C$8+H563*'⚙️ Configuração'!$C$9+I563*'⚙️ Configuração'!$C$10+J563*'⚙️ Configuração'!$C$11)*IF(N563="S",2,1)</f>
        <v>0</v>
      </c>
      <c r="L563" s="90" t="s">
        <v>167</v>
      </c>
      <c r="M563" s="82">
        <f>IF(L563="AT1",'⚙️ Configuração'!$C$14,IF(L563="AT2",'⚙️ Configuração'!$C$15,IF(L563="FI",'⚙️ Configuração'!$C$16,IF(L563="FJ",'⚙️ Configuração'!$C$17,0))))</f>
        <v>0</v>
      </c>
      <c r="N563" s="91" t="s">
        <v>167</v>
      </c>
      <c r="O563" s="92"/>
      <c r="P563" s="83">
        <f>IF(O563="1",'⚙️ Configuração'!$C$21,IF(O563="2",'⚙️ Configuração'!$C$22,IF(O563="3",'⚙️ Configuração'!$C$23,IF(O563="Outro",'⚙️ Configuração'!$C$24,0))))</f>
        <v>0</v>
      </c>
      <c r="Q563" s="84">
        <f t="shared" si="45"/>
        <v>0</v>
      </c>
      <c r="R563" s="40" t="str">
        <f t="shared" si="44"/>
        <v>Semana 1 — ver 🔄</v>
      </c>
      <c r="S563" t="str" cm="1">
        <f t="array" ref="S563">IF(D563="","",IFERROR(_xlfn.SWITCH(B563,"Semana 1",IFERROR(INDEX('🔄 Rotação Duplas'!$D$8:$D$17,MATCH(D563,'🔄 Rotação Duplas'!$C$8:$C$17,0)),INDEX('🔄 Rotação Duplas'!$C$8:$C$17,MATCH(D563,'🔄 Rotação Duplas'!$D$8:$D$17,0))),"Semana 2",IFERROR(INDEX('🔄 Rotação Duplas'!$D$22:$D$31,MATCH(D563,'🔄 Rotação Duplas'!$C$22:$C$31,0)),INDEX('🔄 Rotação Duplas'!$C$22:$C$31,MATCH(D563,'🔄 Rotação Duplas'!$D$22:$D$31,0))),"Semana 3",IFERROR(INDEX('🔄 Rotação Duplas'!$D$36:$D$45,MATCH(D563,'🔄 Rotação Duplas'!$C$36:$C$45,0)),INDEX('🔄 Rotação Duplas'!$C$36:$C$45,MATCH(D563,'🔄 Rotação Duplas'!$D$36:$D$45,0))),"Semana 4",IFERROR(INDEX('🔄 Rotação Duplas'!$D$50:$D$59,MATCH(D563,'🔄 Rotação Duplas'!$C$50:$C$59,0)),INDEX('🔄 Rotação Duplas'!$C$50:$C$59,MATCH(D563,'🔄 Rotação Duplas'!$D$50:$D$59,0))),"Semana 5",IFERROR(INDEX('🔄 Rotação Duplas'!$D$64:$D$73,MATCH(D563,'🔄 Rotação Duplas'!$C$64:$C$73,0)),INDEX('🔄 Rotação Duplas'!$C$64:$C$73,MATCH(D563,'🔄 Rotação Duplas'!$D$64:$D$73,0))),"Semana 6",IFERROR(INDEX('🔄 Rotação Duplas'!$D$78:$D$87,MATCH(D563,'🔄 Rotação Duplas'!$C$78:$C$87,0)),INDEX('🔄 Rotação Duplas'!$C$78:$C$87,MATCH(D563,'🔄 Rotação Duplas'!$D$78:$D$87,0))),"Semana 7",IFERROR(INDEX('🔄 Rotação Duplas'!$D$92:$D$101,MATCH(D563,'🔄 Rotação Duplas'!$C$92:$C$101,0)),INDEX('🔄 Rotação Duplas'!$C$92:$C$101,MATCH(D563,'🔄 Rotação Duplas'!$D$92:$D$101,0))),"Semana 8",IFERROR(INDEX('🔄 Rotação Duplas'!$D$106:$D$115,MATCH(D563,'🔄 Rotação Duplas'!$C$106:$C$115,0)),INDEX('🔄 Rotação Duplas'!$C$106:$C$115,MATCH(D563,'🔄 Rotação Duplas'!$D$106:$D$115,0)))),""))</f>
        <v/>
      </c>
      <c r="T563">
        <f t="shared" si="46"/>
        <v>0</v>
      </c>
    </row>
    <row r="564" spans="2:20" ht="18" customHeight="1" x14ac:dyDescent="0.2">
      <c r="B564" s="85" t="s">
        <v>119</v>
      </c>
      <c r="C564" s="86" t="str">
        <f t="shared" si="48"/>
        <v>Desafio 28</v>
      </c>
      <c r="D564" s="87" t="str">
        <f>'⚙️ Configuração'!C47</f>
        <v>-</v>
      </c>
      <c r="E564" s="50">
        <v>0</v>
      </c>
      <c r="F564" s="50">
        <v>0</v>
      </c>
      <c r="G564" s="50">
        <v>0</v>
      </c>
      <c r="H564" s="50">
        <v>0</v>
      </c>
      <c r="I564" s="50">
        <v>0</v>
      </c>
      <c r="J564" s="89">
        <v>0</v>
      </c>
      <c r="K564" s="81">
        <f>(E564*'⚙️ Configuração'!$C$6+F564*'⚙️ Configuração'!$C$7+G564*'⚙️ Configuração'!$C$8+H564*'⚙️ Configuração'!$C$9+I564*'⚙️ Configuração'!$C$10+J564*'⚙️ Configuração'!$C$11)*IF(N564="S",2,1)</f>
        <v>0</v>
      </c>
      <c r="L564" s="90" t="s">
        <v>167</v>
      </c>
      <c r="M564" s="82">
        <f>IF(L564="AT1",'⚙️ Configuração'!$C$14,IF(L564="AT2",'⚙️ Configuração'!$C$15,IF(L564="FI",'⚙️ Configuração'!$C$16,IF(L564="FJ",'⚙️ Configuração'!$C$17,0))))</f>
        <v>0</v>
      </c>
      <c r="N564" s="91" t="s">
        <v>167</v>
      </c>
      <c r="O564" s="92"/>
      <c r="P564" s="83">
        <f>IF(O564="1",'⚙️ Configuração'!$C$21,IF(O564="2",'⚙️ Configuração'!$C$22,IF(O564="3",'⚙️ Configuração'!$C$23,IF(O564="Outro",'⚙️ Configuração'!$C$24,0))))</f>
        <v>0</v>
      </c>
      <c r="Q564" s="84">
        <f t="shared" si="45"/>
        <v>0</v>
      </c>
      <c r="R564" s="40" t="str">
        <f t="shared" si="44"/>
        <v>Semana 1 — ver 🔄</v>
      </c>
      <c r="S564" t="str" cm="1">
        <f t="array" ref="S564">IF(D564="","",IFERROR(_xlfn.SWITCH(B564,"Semana 1",IFERROR(INDEX('🔄 Rotação Duplas'!$D$8:$D$17,MATCH(D564,'🔄 Rotação Duplas'!$C$8:$C$17,0)),INDEX('🔄 Rotação Duplas'!$C$8:$C$17,MATCH(D564,'🔄 Rotação Duplas'!$D$8:$D$17,0))),"Semana 2",IFERROR(INDEX('🔄 Rotação Duplas'!$D$22:$D$31,MATCH(D564,'🔄 Rotação Duplas'!$C$22:$C$31,0)),INDEX('🔄 Rotação Duplas'!$C$22:$C$31,MATCH(D564,'🔄 Rotação Duplas'!$D$22:$D$31,0))),"Semana 3",IFERROR(INDEX('🔄 Rotação Duplas'!$D$36:$D$45,MATCH(D564,'🔄 Rotação Duplas'!$C$36:$C$45,0)),INDEX('🔄 Rotação Duplas'!$C$36:$C$45,MATCH(D564,'🔄 Rotação Duplas'!$D$36:$D$45,0))),"Semana 4",IFERROR(INDEX('🔄 Rotação Duplas'!$D$50:$D$59,MATCH(D564,'🔄 Rotação Duplas'!$C$50:$C$59,0)),INDEX('🔄 Rotação Duplas'!$C$50:$C$59,MATCH(D564,'🔄 Rotação Duplas'!$D$50:$D$59,0))),"Semana 5",IFERROR(INDEX('🔄 Rotação Duplas'!$D$64:$D$73,MATCH(D564,'🔄 Rotação Duplas'!$C$64:$C$73,0)),INDEX('🔄 Rotação Duplas'!$C$64:$C$73,MATCH(D564,'🔄 Rotação Duplas'!$D$64:$D$73,0))),"Semana 6",IFERROR(INDEX('🔄 Rotação Duplas'!$D$78:$D$87,MATCH(D564,'🔄 Rotação Duplas'!$C$78:$C$87,0)),INDEX('🔄 Rotação Duplas'!$C$78:$C$87,MATCH(D564,'🔄 Rotação Duplas'!$D$78:$D$87,0))),"Semana 7",IFERROR(INDEX('🔄 Rotação Duplas'!$D$92:$D$101,MATCH(D564,'🔄 Rotação Duplas'!$C$92:$C$101,0)),INDEX('🔄 Rotação Duplas'!$C$92:$C$101,MATCH(D564,'🔄 Rotação Duplas'!$D$92:$D$101,0))),"Semana 8",IFERROR(INDEX('🔄 Rotação Duplas'!$D$106:$D$115,MATCH(D564,'🔄 Rotação Duplas'!$C$106:$C$115,0)),INDEX('🔄 Rotação Duplas'!$C$106:$C$115,MATCH(D564,'🔄 Rotação Duplas'!$D$106:$D$115,0)))),""))</f>
        <v/>
      </c>
      <c r="T564">
        <f t="shared" si="46"/>
        <v>0</v>
      </c>
    </row>
    <row r="565" spans="2:20" ht="18" customHeight="1" x14ac:dyDescent="0.2">
      <c r="B565" s="78" t="s">
        <v>119</v>
      </c>
      <c r="C565" s="79" t="str">
        <f t="shared" si="48"/>
        <v>Desafio 28</v>
      </c>
      <c r="D565" s="80" t="str">
        <f>'⚙️ Configuração'!C48</f>
        <v>-</v>
      </c>
      <c r="E565" s="50">
        <v>0</v>
      </c>
      <c r="F565" s="50">
        <v>0</v>
      </c>
      <c r="G565" s="50">
        <v>0</v>
      </c>
      <c r="H565" s="50">
        <v>0</v>
      </c>
      <c r="I565" s="50">
        <v>0</v>
      </c>
      <c r="J565" s="89">
        <v>0</v>
      </c>
      <c r="K565" s="81">
        <f>(E565*'⚙️ Configuração'!$C$6+F565*'⚙️ Configuração'!$C$7+G565*'⚙️ Configuração'!$C$8+H565*'⚙️ Configuração'!$C$9+I565*'⚙️ Configuração'!$C$10+J565*'⚙️ Configuração'!$C$11)*IF(N565="S",2,1)</f>
        <v>0</v>
      </c>
      <c r="L565" s="90" t="s">
        <v>167</v>
      </c>
      <c r="M565" s="82">
        <f>IF(L565="AT1",'⚙️ Configuração'!$C$14,IF(L565="AT2",'⚙️ Configuração'!$C$15,IF(L565="FI",'⚙️ Configuração'!$C$16,IF(L565="FJ",'⚙️ Configuração'!$C$17,0))))</f>
        <v>0</v>
      </c>
      <c r="N565" s="91" t="s">
        <v>167</v>
      </c>
      <c r="O565" s="92"/>
      <c r="P565" s="83">
        <f>IF(O565="1",'⚙️ Configuração'!$C$21,IF(O565="2",'⚙️ Configuração'!$C$22,IF(O565="3",'⚙️ Configuração'!$C$23,IF(O565="Outro",'⚙️ Configuração'!$C$24,0))))</f>
        <v>0</v>
      </c>
      <c r="Q565" s="84">
        <f t="shared" si="45"/>
        <v>0</v>
      </c>
      <c r="R565" s="40" t="str">
        <f t="shared" si="44"/>
        <v>Semana 1 — ver 🔄</v>
      </c>
      <c r="S565" t="str" cm="1">
        <f t="array" ref="S565">IF(D565="","",IFERROR(_xlfn.SWITCH(B565,"Semana 1",IFERROR(INDEX('🔄 Rotação Duplas'!$D$8:$D$17,MATCH(D565,'🔄 Rotação Duplas'!$C$8:$C$17,0)),INDEX('🔄 Rotação Duplas'!$C$8:$C$17,MATCH(D565,'🔄 Rotação Duplas'!$D$8:$D$17,0))),"Semana 2",IFERROR(INDEX('🔄 Rotação Duplas'!$D$22:$D$31,MATCH(D565,'🔄 Rotação Duplas'!$C$22:$C$31,0)),INDEX('🔄 Rotação Duplas'!$C$22:$C$31,MATCH(D565,'🔄 Rotação Duplas'!$D$22:$D$31,0))),"Semana 3",IFERROR(INDEX('🔄 Rotação Duplas'!$D$36:$D$45,MATCH(D565,'🔄 Rotação Duplas'!$C$36:$C$45,0)),INDEX('🔄 Rotação Duplas'!$C$36:$C$45,MATCH(D565,'🔄 Rotação Duplas'!$D$36:$D$45,0))),"Semana 4",IFERROR(INDEX('🔄 Rotação Duplas'!$D$50:$D$59,MATCH(D565,'🔄 Rotação Duplas'!$C$50:$C$59,0)),INDEX('🔄 Rotação Duplas'!$C$50:$C$59,MATCH(D565,'🔄 Rotação Duplas'!$D$50:$D$59,0))),"Semana 5",IFERROR(INDEX('🔄 Rotação Duplas'!$D$64:$D$73,MATCH(D565,'🔄 Rotação Duplas'!$C$64:$C$73,0)),INDEX('🔄 Rotação Duplas'!$C$64:$C$73,MATCH(D565,'🔄 Rotação Duplas'!$D$64:$D$73,0))),"Semana 6",IFERROR(INDEX('🔄 Rotação Duplas'!$D$78:$D$87,MATCH(D565,'🔄 Rotação Duplas'!$C$78:$C$87,0)),INDEX('🔄 Rotação Duplas'!$C$78:$C$87,MATCH(D565,'🔄 Rotação Duplas'!$D$78:$D$87,0))),"Semana 7",IFERROR(INDEX('🔄 Rotação Duplas'!$D$92:$D$101,MATCH(D565,'🔄 Rotação Duplas'!$C$92:$C$101,0)),INDEX('🔄 Rotação Duplas'!$C$92:$C$101,MATCH(D565,'🔄 Rotação Duplas'!$D$92:$D$101,0))),"Semana 8",IFERROR(INDEX('🔄 Rotação Duplas'!$D$106:$D$115,MATCH(D565,'🔄 Rotação Duplas'!$C$106:$C$115,0)),INDEX('🔄 Rotação Duplas'!$C$106:$C$115,MATCH(D565,'🔄 Rotação Duplas'!$D$106:$D$115,0)))),""))</f>
        <v/>
      </c>
      <c r="T565">
        <f t="shared" si="46"/>
        <v>0</v>
      </c>
    </row>
    <row r="566" spans="2:20" ht="18" customHeight="1" x14ac:dyDescent="0.2">
      <c r="B566" s="85" t="s">
        <v>119</v>
      </c>
      <c r="C566" s="86" t="str">
        <f t="shared" si="48"/>
        <v>Desafio 28</v>
      </c>
      <c r="D566" s="87" t="str">
        <f>'⚙️ Configuração'!C49</f>
        <v>-</v>
      </c>
      <c r="E566" s="50">
        <v>0</v>
      </c>
      <c r="F566" s="50">
        <v>0</v>
      </c>
      <c r="G566" s="50">
        <v>0</v>
      </c>
      <c r="H566" s="50">
        <v>0</v>
      </c>
      <c r="I566" s="50">
        <v>0</v>
      </c>
      <c r="J566" s="89">
        <v>0</v>
      </c>
      <c r="K566" s="81">
        <f>(E566*'⚙️ Configuração'!$C$6+F566*'⚙️ Configuração'!$C$7+G566*'⚙️ Configuração'!$C$8+H566*'⚙️ Configuração'!$C$9+I566*'⚙️ Configuração'!$C$10+J566*'⚙️ Configuração'!$C$11)*IF(N566="S",2,1)</f>
        <v>0</v>
      </c>
      <c r="L566" s="90" t="s">
        <v>167</v>
      </c>
      <c r="M566" s="82">
        <f>IF(L566="AT1",'⚙️ Configuração'!$C$14,IF(L566="AT2",'⚙️ Configuração'!$C$15,IF(L566="FI",'⚙️ Configuração'!$C$16,IF(L566="FJ",'⚙️ Configuração'!$C$17,0))))</f>
        <v>0</v>
      </c>
      <c r="N566" s="91" t="s">
        <v>167</v>
      </c>
      <c r="O566" s="92"/>
      <c r="P566" s="83">
        <f>IF(O566="1",'⚙️ Configuração'!$C$21,IF(O566="2",'⚙️ Configuração'!$C$22,IF(O566="3",'⚙️ Configuração'!$C$23,IF(O566="Outro",'⚙️ Configuração'!$C$24,0))))</f>
        <v>0</v>
      </c>
      <c r="Q566" s="84">
        <f t="shared" si="45"/>
        <v>0</v>
      </c>
      <c r="R566" s="40" t="str">
        <f t="shared" si="44"/>
        <v>Semana 1 — ver 🔄</v>
      </c>
      <c r="S566" t="str" cm="1">
        <f t="array" ref="S566">IF(D566="","",IFERROR(_xlfn.SWITCH(B566,"Semana 1",IFERROR(INDEX('🔄 Rotação Duplas'!$D$8:$D$17,MATCH(D566,'🔄 Rotação Duplas'!$C$8:$C$17,0)),INDEX('🔄 Rotação Duplas'!$C$8:$C$17,MATCH(D566,'🔄 Rotação Duplas'!$D$8:$D$17,0))),"Semana 2",IFERROR(INDEX('🔄 Rotação Duplas'!$D$22:$D$31,MATCH(D566,'🔄 Rotação Duplas'!$C$22:$C$31,0)),INDEX('🔄 Rotação Duplas'!$C$22:$C$31,MATCH(D566,'🔄 Rotação Duplas'!$D$22:$D$31,0))),"Semana 3",IFERROR(INDEX('🔄 Rotação Duplas'!$D$36:$D$45,MATCH(D566,'🔄 Rotação Duplas'!$C$36:$C$45,0)),INDEX('🔄 Rotação Duplas'!$C$36:$C$45,MATCH(D566,'🔄 Rotação Duplas'!$D$36:$D$45,0))),"Semana 4",IFERROR(INDEX('🔄 Rotação Duplas'!$D$50:$D$59,MATCH(D566,'🔄 Rotação Duplas'!$C$50:$C$59,0)),INDEX('🔄 Rotação Duplas'!$C$50:$C$59,MATCH(D566,'🔄 Rotação Duplas'!$D$50:$D$59,0))),"Semana 5",IFERROR(INDEX('🔄 Rotação Duplas'!$D$64:$D$73,MATCH(D566,'🔄 Rotação Duplas'!$C$64:$C$73,0)),INDEX('🔄 Rotação Duplas'!$C$64:$C$73,MATCH(D566,'🔄 Rotação Duplas'!$D$64:$D$73,0))),"Semana 6",IFERROR(INDEX('🔄 Rotação Duplas'!$D$78:$D$87,MATCH(D566,'🔄 Rotação Duplas'!$C$78:$C$87,0)),INDEX('🔄 Rotação Duplas'!$C$78:$C$87,MATCH(D566,'🔄 Rotação Duplas'!$D$78:$D$87,0))),"Semana 7",IFERROR(INDEX('🔄 Rotação Duplas'!$D$92:$D$101,MATCH(D566,'🔄 Rotação Duplas'!$C$92:$C$101,0)),INDEX('🔄 Rotação Duplas'!$C$92:$C$101,MATCH(D566,'🔄 Rotação Duplas'!$D$92:$D$101,0))),"Semana 8",IFERROR(INDEX('🔄 Rotação Duplas'!$D$106:$D$115,MATCH(D566,'🔄 Rotação Duplas'!$C$106:$C$115,0)),INDEX('🔄 Rotação Duplas'!$C$106:$C$115,MATCH(D566,'🔄 Rotação Duplas'!$D$106:$D$115,0)))),""))</f>
        <v/>
      </c>
      <c r="T566">
        <f t="shared" si="46"/>
        <v>0</v>
      </c>
    </row>
    <row r="567" spans="2:20" ht="18" customHeight="1" x14ac:dyDescent="0.2">
      <c r="B567" s="78" t="s">
        <v>132</v>
      </c>
      <c r="C567" s="79" t="str">
        <f t="shared" ref="C567:C586" si="49">"Desafio 29"</f>
        <v>Desafio 29</v>
      </c>
      <c r="D567" s="80" t="str">
        <f>'⚙️ Configuração'!C30</f>
        <v>Carla Cantante</v>
      </c>
      <c r="E567" s="50">
        <v>0</v>
      </c>
      <c r="F567" s="50">
        <v>0</v>
      </c>
      <c r="G567" s="50">
        <v>0</v>
      </c>
      <c r="H567" s="50">
        <v>0</v>
      </c>
      <c r="I567" s="50">
        <v>0</v>
      </c>
      <c r="J567" s="89">
        <v>0</v>
      </c>
      <c r="K567" s="81">
        <f>(E567*'⚙️ Configuração'!$C$6+F567*'⚙️ Configuração'!$C$7+G567*'⚙️ Configuração'!$C$8+H567*'⚙️ Configuração'!$C$9+I567*'⚙️ Configuração'!$C$10+J567*'⚙️ Configuração'!$C$11)*IF(N567="S",2,1)</f>
        <v>0</v>
      </c>
      <c r="L567" s="90" t="s">
        <v>167</v>
      </c>
      <c r="M567" s="82">
        <f>IF(L567="AT1",'⚙️ Configuração'!$C$14,IF(L567="AT2",'⚙️ Configuração'!$C$15,IF(L567="FI",'⚙️ Configuração'!$C$16,IF(L567="FJ",'⚙️ Configuração'!$C$17,0))))</f>
        <v>0</v>
      </c>
      <c r="N567" s="91" t="s">
        <v>167</v>
      </c>
      <c r="O567" s="92"/>
      <c r="P567" s="83">
        <f>IF(O567="1",'⚙️ Configuração'!$C$21,IF(O567="2",'⚙️ Configuração'!$C$22,IF(O567="3",'⚙️ Configuração'!$C$23,IF(O567="Outro",'⚙️ Configuração'!$C$24,0))))</f>
        <v>0</v>
      </c>
      <c r="Q567" s="84">
        <f t="shared" si="45"/>
        <v>0</v>
      </c>
      <c r="R567" s="40" t="str">
        <f t="shared" si="44"/>
        <v>Semana 1 — ver 🔄</v>
      </c>
      <c r="S567" t="str" cm="1">
        <f t="array" ref="S567">IF(D567="","",IFERROR(_xlfn.SWITCH(B567,"Semana 1",IFERROR(INDEX('🔄 Rotação Duplas'!$D$8:$D$17,MATCH(D567,'🔄 Rotação Duplas'!$C$8:$C$17,0)),INDEX('🔄 Rotação Duplas'!$C$8:$C$17,MATCH(D567,'🔄 Rotação Duplas'!$D$8:$D$17,0))),"Semana 2",IFERROR(INDEX('🔄 Rotação Duplas'!$D$22:$D$31,MATCH(D567,'🔄 Rotação Duplas'!$C$22:$C$31,0)),INDEX('🔄 Rotação Duplas'!$C$22:$C$31,MATCH(D567,'🔄 Rotação Duplas'!$D$22:$D$31,0))),"Semana 3",IFERROR(INDEX('🔄 Rotação Duplas'!$D$36:$D$45,MATCH(D567,'🔄 Rotação Duplas'!$C$36:$C$45,0)),INDEX('🔄 Rotação Duplas'!$C$36:$C$45,MATCH(D567,'🔄 Rotação Duplas'!$D$36:$D$45,0))),"Semana 4",IFERROR(INDEX('🔄 Rotação Duplas'!$D$50:$D$59,MATCH(D567,'🔄 Rotação Duplas'!$C$50:$C$59,0)),INDEX('🔄 Rotação Duplas'!$C$50:$C$59,MATCH(D567,'🔄 Rotação Duplas'!$D$50:$D$59,0))),"Semana 5",IFERROR(INDEX('🔄 Rotação Duplas'!$D$64:$D$73,MATCH(D567,'🔄 Rotação Duplas'!$C$64:$C$73,0)),INDEX('🔄 Rotação Duplas'!$C$64:$C$73,MATCH(D567,'🔄 Rotação Duplas'!$D$64:$D$73,0))),"Semana 6",IFERROR(INDEX('🔄 Rotação Duplas'!$D$78:$D$87,MATCH(D567,'🔄 Rotação Duplas'!$C$78:$C$87,0)),INDEX('🔄 Rotação Duplas'!$C$78:$C$87,MATCH(D567,'🔄 Rotação Duplas'!$D$78:$D$87,0))),"Semana 7",IFERROR(INDEX('🔄 Rotação Duplas'!$D$92:$D$101,MATCH(D567,'🔄 Rotação Duplas'!$C$92:$C$101,0)),INDEX('🔄 Rotação Duplas'!$C$92:$C$101,MATCH(D567,'🔄 Rotação Duplas'!$D$92:$D$101,0))),"Semana 8",IFERROR(INDEX('🔄 Rotação Duplas'!$D$106:$D$115,MATCH(D567,'🔄 Rotação Duplas'!$C$106:$C$115,0)),INDEX('🔄 Rotação Duplas'!$C$106:$C$115,MATCH(D567,'🔄 Rotação Duplas'!$D$106:$D$115,0)))),""))</f>
        <v/>
      </c>
      <c r="T567">
        <f t="shared" si="46"/>
        <v>0</v>
      </c>
    </row>
    <row r="568" spans="2:20" ht="18" customHeight="1" x14ac:dyDescent="0.2">
      <c r="B568" s="85" t="s">
        <v>132</v>
      </c>
      <c r="C568" s="86" t="str">
        <f t="shared" si="49"/>
        <v>Desafio 29</v>
      </c>
      <c r="D568" s="87" t="str">
        <f>'⚙️ Configuração'!C31</f>
        <v>Elisabete Mendes</v>
      </c>
      <c r="E568" s="50">
        <v>0</v>
      </c>
      <c r="F568" s="50">
        <v>0</v>
      </c>
      <c r="G568" s="50">
        <v>0</v>
      </c>
      <c r="H568" s="50">
        <v>0</v>
      </c>
      <c r="I568" s="50">
        <v>0</v>
      </c>
      <c r="J568" s="89">
        <v>0</v>
      </c>
      <c r="K568" s="81">
        <f>(E568*'⚙️ Configuração'!$C$6+F568*'⚙️ Configuração'!$C$7+G568*'⚙️ Configuração'!$C$8+H568*'⚙️ Configuração'!$C$9+I568*'⚙️ Configuração'!$C$10+J568*'⚙️ Configuração'!$C$11)*IF(N568="S",2,1)</f>
        <v>0</v>
      </c>
      <c r="L568" s="90" t="s">
        <v>167</v>
      </c>
      <c r="M568" s="82">
        <f>IF(L568="AT1",'⚙️ Configuração'!$C$14,IF(L568="AT2",'⚙️ Configuração'!$C$15,IF(L568="FI",'⚙️ Configuração'!$C$16,IF(L568="FJ",'⚙️ Configuração'!$C$17,0))))</f>
        <v>0</v>
      </c>
      <c r="N568" s="91" t="s">
        <v>167</v>
      </c>
      <c r="O568" s="92"/>
      <c r="P568" s="83">
        <f>IF(O568="1",'⚙️ Configuração'!$C$21,IF(O568="2",'⚙️ Configuração'!$C$22,IF(O568="3",'⚙️ Configuração'!$C$23,IF(O568="Outro",'⚙️ Configuração'!$C$24,0))))</f>
        <v>0</v>
      </c>
      <c r="Q568" s="84">
        <f t="shared" si="45"/>
        <v>0</v>
      </c>
      <c r="R568" s="40" t="str">
        <f t="shared" si="44"/>
        <v>Semana 1 — ver 🔄</v>
      </c>
      <c r="S568" t="str" cm="1">
        <f t="array" ref="S568">IF(D568="","",IFERROR(_xlfn.SWITCH(B568,"Semana 1",IFERROR(INDEX('🔄 Rotação Duplas'!$D$8:$D$17,MATCH(D568,'🔄 Rotação Duplas'!$C$8:$C$17,0)),INDEX('🔄 Rotação Duplas'!$C$8:$C$17,MATCH(D568,'🔄 Rotação Duplas'!$D$8:$D$17,0))),"Semana 2",IFERROR(INDEX('🔄 Rotação Duplas'!$D$22:$D$31,MATCH(D568,'🔄 Rotação Duplas'!$C$22:$C$31,0)),INDEX('🔄 Rotação Duplas'!$C$22:$C$31,MATCH(D568,'🔄 Rotação Duplas'!$D$22:$D$31,0))),"Semana 3",IFERROR(INDEX('🔄 Rotação Duplas'!$D$36:$D$45,MATCH(D568,'🔄 Rotação Duplas'!$C$36:$C$45,0)),INDEX('🔄 Rotação Duplas'!$C$36:$C$45,MATCH(D568,'🔄 Rotação Duplas'!$D$36:$D$45,0))),"Semana 4",IFERROR(INDEX('🔄 Rotação Duplas'!$D$50:$D$59,MATCH(D568,'🔄 Rotação Duplas'!$C$50:$C$59,0)),INDEX('🔄 Rotação Duplas'!$C$50:$C$59,MATCH(D568,'🔄 Rotação Duplas'!$D$50:$D$59,0))),"Semana 5",IFERROR(INDEX('🔄 Rotação Duplas'!$D$64:$D$73,MATCH(D568,'🔄 Rotação Duplas'!$C$64:$C$73,0)),INDEX('🔄 Rotação Duplas'!$C$64:$C$73,MATCH(D568,'🔄 Rotação Duplas'!$D$64:$D$73,0))),"Semana 6",IFERROR(INDEX('🔄 Rotação Duplas'!$D$78:$D$87,MATCH(D568,'🔄 Rotação Duplas'!$C$78:$C$87,0)),INDEX('🔄 Rotação Duplas'!$C$78:$C$87,MATCH(D568,'🔄 Rotação Duplas'!$D$78:$D$87,0))),"Semana 7",IFERROR(INDEX('🔄 Rotação Duplas'!$D$92:$D$101,MATCH(D568,'🔄 Rotação Duplas'!$C$92:$C$101,0)),INDEX('🔄 Rotação Duplas'!$C$92:$C$101,MATCH(D568,'🔄 Rotação Duplas'!$D$92:$D$101,0))),"Semana 8",IFERROR(INDEX('🔄 Rotação Duplas'!$D$106:$D$115,MATCH(D568,'🔄 Rotação Duplas'!$C$106:$C$115,0)),INDEX('🔄 Rotação Duplas'!$C$106:$C$115,MATCH(D568,'🔄 Rotação Duplas'!$D$106:$D$115,0)))),""))</f>
        <v/>
      </c>
      <c r="T568">
        <f t="shared" si="46"/>
        <v>0</v>
      </c>
    </row>
    <row r="569" spans="2:20" ht="18" customHeight="1" x14ac:dyDescent="0.2">
      <c r="B569" s="78" t="s">
        <v>132</v>
      </c>
      <c r="C569" s="79" t="str">
        <f t="shared" si="49"/>
        <v>Desafio 29</v>
      </c>
      <c r="D569" s="80" t="str">
        <f>'⚙️ Configuração'!C32</f>
        <v>Filipa Cunha</v>
      </c>
      <c r="E569" s="50">
        <v>0</v>
      </c>
      <c r="F569" s="50">
        <v>0</v>
      </c>
      <c r="G569" s="50">
        <v>0</v>
      </c>
      <c r="H569" s="50">
        <v>0</v>
      </c>
      <c r="I569" s="50">
        <v>0</v>
      </c>
      <c r="J569" s="89">
        <v>0</v>
      </c>
      <c r="K569" s="81">
        <f>(E569*'⚙️ Configuração'!$C$6+F569*'⚙️ Configuração'!$C$7+G569*'⚙️ Configuração'!$C$8+H569*'⚙️ Configuração'!$C$9+I569*'⚙️ Configuração'!$C$10+J569*'⚙️ Configuração'!$C$11)*IF(N569="S",2,1)</f>
        <v>0</v>
      </c>
      <c r="L569" s="90" t="s">
        <v>167</v>
      </c>
      <c r="M569" s="82">
        <f>IF(L569="AT1",'⚙️ Configuração'!$C$14,IF(L569="AT2",'⚙️ Configuração'!$C$15,IF(L569="FI",'⚙️ Configuração'!$C$16,IF(L569="FJ",'⚙️ Configuração'!$C$17,0))))</f>
        <v>0</v>
      </c>
      <c r="N569" s="91" t="s">
        <v>167</v>
      </c>
      <c r="O569" s="92"/>
      <c r="P569" s="83">
        <f>IF(O569="1",'⚙️ Configuração'!$C$21,IF(O569="2",'⚙️ Configuração'!$C$22,IF(O569="3",'⚙️ Configuração'!$C$23,IF(O569="Outro",'⚙️ Configuração'!$C$24,0))))</f>
        <v>0</v>
      </c>
      <c r="Q569" s="84">
        <f t="shared" si="45"/>
        <v>0</v>
      </c>
      <c r="R569" s="40" t="str">
        <f t="shared" si="44"/>
        <v>Semana 1 — ver 🔄</v>
      </c>
      <c r="S569" t="str" cm="1">
        <f t="array" ref="S569">IF(D569="","",IFERROR(_xlfn.SWITCH(B569,"Semana 1",IFERROR(INDEX('🔄 Rotação Duplas'!$D$8:$D$17,MATCH(D569,'🔄 Rotação Duplas'!$C$8:$C$17,0)),INDEX('🔄 Rotação Duplas'!$C$8:$C$17,MATCH(D569,'🔄 Rotação Duplas'!$D$8:$D$17,0))),"Semana 2",IFERROR(INDEX('🔄 Rotação Duplas'!$D$22:$D$31,MATCH(D569,'🔄 Rotação Duplas'!$C$22:$C$31,0)),INDEX('🔄 Rotação Duplas'!$C$22:$C$31,MATCH(D569,'🔄 Rotação Duplas'!$D$22:$D$31,0))),"Semana 3",IFERROR(INDEX('🔄 Rotação Duplas'!$D$36:$D$45,MATCH(D569,'🔄 Rotação Duplas'!$C$36:$C$45,0)),INDEX('🔄 Rotação Duplas'!$C$36:$C$45,MATCH(D569,'🔄 Rotação Duplas'!$D$36:$D$45,0))),"Semana 4",IFERROR(INDEX('🔄 Rotação Duplas'!$D$50:$D$59,MATCH(D569,'🔄 Rotação Duplas'!$C$50:$C$59,0)),INDEX('🔄 Rotação Duplas'!$C$50:$C$59,MATCH(D569,'🔄 Rotação Duplas'!$D$50:$D$59,0))),"Semana 5",IFERROR(INDEX('🔄 Rotação Duplas'!$D$64:$D$73,MATCH(D569,'🔄 Rotação Duplas'!$C$64:$C$73,0)),INDEX('🔄 Rotação Duplas'!$C$64:$C$73,MATCH(D569,'🔄 Rotação Duplas'!$D$64:$D$73,0))),"Semana 6",IFERROR(INDEX('🔄 Rotação Duplas'!$D$78:$D$87,MATCH(D569,'🔄 Rotação Duplas'!$C$78:$C$87,0)),INDEX('🔄 Rotação Duplas'!$C$78:$C$87,MATCH(D569,'🔄 Rotação Duplas'!$D$78:$D$87,0))),"Semana 7",IFERROR(INDEX('🔄 Rotação Duplas'!$D$92:$D$101,MATCH(D569,'🔄 Rotação Duplas'!$C$92:$C$101,0)),INDEX('🔄 Rotação Duplas'!$C$92:$C$101,MATCH(D569,'🔄 Rotação Duplas'!$D$92:$D$101,0))),"Semana 8",IFERROR(INDEX('🔄 Rotação Duplas'!$D$106:$D$115,MATCH(D569,'🔄 Rotação Duplas'!$C$106:$C$115,0)),INDEX('🔄 Rotação Duplas'!$C$106:$C$115,MATCH(D569,'🔄 Rotação Duplas'!$D$106:$D$115,0)))),""))</f>
        <v/>
      </c>
      <c r="T569">
        <f t="shared" si="46"/>
        <v>0</v>
      </c>
    </row>
    <row r="570" spans="2:20" ht="18" customHeight="1" x14ac:dyDescent="0.2">
      <c r="B570" s="85" t="s">
        <v>132</v>
      </c>
      <c r="C570" s="86" t="str">
        <f t="shared" si="49"/>
        <v>Desafio 29</v>
      </c>
      <c r="D570" s="87" t="str">
        <f>'⚙️ Configuração'!C33</f>
        <v>Helena Rocha</v>
      </c>
      <c r="E570" s="50">
        <v>0</v>
      </c>
      <c r="F570" s="50">
        <v>0</v>
      </c>
      <c r="G570" s="50">
        <v>0</v>
      </c>
      <c r="H570" s="50">
        <v>0</v>
      </c>
      <c r="I570" s="50">
        <v>0</v>
      </c>
      <c r="J570" s="89">
        <v>0</v>
      </c>
      <c r="K570" s="81">
        <f>(E570*'⚙️ Configuração'!$C$6+F570*'⚙️ Configuração'!$C$7+G570*'⚙️ Configuração'!$C$8+H570*'⚙️ Configuração'!$C$9+I570*'⚙️ Configuração'!$C$10+J570*'⚙️ Configuração'!$C$11)*IF(N570="S",2,1)</f>
        <v>0</v>
      </c>
      <c r="L570" s="90" t="s">
        <v>167</v>
      </c>
      <c r="M570" s="82">
        <f>IF(L570="AT1",'⚙️ Configuração'!$C$14,IF(L570="AT2",'⚙️ Configuração'!$C$15,IF(L570="FI",'⚙️ Configuração'!$C$16,IF(L570="FJ",'⚙️ Configuração'!$C$17,0))))</f>
        <v>0</v>
      </c>
      <c r="N570" s="91" t="s">
        <v>167</v>
      </c>
      <c r="O570" s="92"/>
      <c r="P570" s="83">
        <f>IF(O570="1",'⚙️ Configuração'!$C$21,IF(O570="2",'⚙️ Configuração'!$C$22,IF(O570="3",'⚙️ Configuração'!$C$23,IF(O570="Outro",'⚙️ Configuração'!$C$24,0))))</f>
        <v>0</v>
      </c>
      <c r="Q570" s="84">
        <f t="shared" si="45"/>
        <v>0</v>
      </c>
      <c r="R570" s="40" t="str">
        <f t="shared" si="44"/>
        <v>Semana 1 — ver 🔄</v>
      </c>
      <c r="S570" t="str" cm="1">
        <f t="array" ref="S570">IF(D570="","",IFERROR(_xlfn.SWITCH(B570,"Semana 1",IFERROR(INDEX('🔄 Rotação Duplas'!$D$8:$D$17,MATCH(D570,'🔄 Rotação Duplas'!$C$8:$C$17,0)),INDEX('🔄 Rotação Duplas'!$C$8:$C$17,MATCH(D570,'🔄 Rotação Duplas'!$D$8:$D$17,0))),"Semana 2",IFERROR(INDEX('🔄 Rotação Duplas'!$D$22:$D$31,MATCH(D570,'🔄 Rotação Duplas'!$C$22:$C$31,0)),INDEX('🔄 Rotação Duplas'!$C$22:$C$31,MATCH(D570,'🔄 Rotação Duplas'!$D$22:$D$31,0))),"Semana 3",IFERROR(INDEX('🔄 Rotação Duplas'!$D$36:$D$45,MATCH(D570,'🔄 Rotação Duplas'!$C$36:$C$45,0)),INDEX('🔄 Rotação Duplas'!$C$36:$C$45,MATCH(D570,'🔄 Rotação Duplas'!$D$36:$D$45,0))),"Semana 4",IFERROR(INDEX('🔄 Rotação Duplas'!$D$50:$D$59,MATCH(D570,'🔄 Rotação Duplas'!$C$50:$C$59,0)),INDEX('🔄 Rotação Duplas'!$C$50:$C$59,MATCH(D570,'🔄 Rotação Duplas'!$D$50:$D$59,0))),"Semana 5",IFERROR(INDEX('🔄 Rotação Duplas'!$D$64:$D$73,MATCH(D570,'🔄 Rotação Duplas'!$C$64:$C$73,0)),INDEX('🔄 Rotação Duplas'!$C$64:$C$73,MATCH(D570,'🔄 Rotação Duplas'!$D$64:$D$73,0))),"Semana 6",IFERROR(INDEX('🔄 Rotação Duplas'!$D$78:$D$87,MATCH(D570,'🔄 Rotação Duplas'!$C$78:$C$87,0)),INDEX('🔄 Rotação Duplas'!$C$78:$C$87,MATCH(D570,'🔄 Rotação Duplas'!$D$78:$D$87,0))),"Semana 7",IFERROR(INDEX('🔄 Rotação Duplas'!$D$92:$D$101,MATCH(D570,'🔄 Rotação Duplas'!$C$92:$C$101,0)),INDEX('🔄 Rotação Duplas'!$C$92:$C$101,MATCH(D570,'🔄 Rotação Duplas'!$D$92:$D$101,0))),"Semana 8",IFERROR(INDEX('🔄 Rotação Duplas'!$D$106:$D$115,MATCH(D570,'🔄 Rotação Duplas'!$C$106:$C$115,0)),INDEX('🔄 Rotação Duplas'!$C$106:$C$115,MATCH(D570,'🔄 Rotação Duplas'!$D$106:$D$115,0)))),""))</f>
        <v/>
      </c>
      <c r="T570">
        <f t="shared" si="46"/>
        <v>0</v>
      </c>
    </row>
    <row r="571" spans="2:20" ht="18" customHeight="1" x14ac:dyDescent="0.2">
      <c r="B571" s="78" t="s">
        <v>132</v>
      </c>
      <c r="C571" s="79" t="str">
        <f t="shared" si="49"/>
        <v>Desafio 29</v>
      </c>
      <c r="D571" s="80" t="str">
        <f>'⚙️ Configuração'!C34</f>
        <v>João Xavier</v>
      </c>
      <c r="E571" s="50">
        <v>0</v>
      </c>
      <c r="F571" s="50">
        <v>0</v>
      </c>
      <c r="G571" s="50">
        <v>0</v>
      </c>
      <c r="H571" s="50">
        <v>0</v>
      </c>
      <c r="I571" s="50">
        <v>0</v>
      </c>
      <c r="J571" s="89">
        <v>0</v>
      </c>
      <c r="K571" s="81">
        <f>(E571*'⚙️ Configuração'!$C$6+F571*'⚙️ Configuração'!$C$7+G571*'⚙️ Configuração'!$C$8+H571*'⚙️ Configuração'!$C$9+I571*'⚙️ Configuração'!$C$10+J571*'⚙️ Configuração'!$C$11)*IF(N571="S",2,1)</f>
        <v>0</v>
      </c>
      <c r="L571" s="90" t="s">
        <v>167</v>
      </c>
      <c r="M571" s="82">
        <f>IF(L571="AT1",'⚙️ Configuração'!$C$14,IF(L571="AT2",'⚙️ Configuração'!$C$15,IF(L571="FI",'⚙️ Configuração'!$C$16,IF(L571="FJ",'⚙️ Configuração'!$C$17,0))))</f>
        <v>0</v>
      </c>
      <c r="N571" s="91" t="s">
        <v>167</v>
      </c>
      <c r="O571" s="92"/>
      <c r="P571" s="83">
        <f>IF(O571="1",'⚙️ Configuração'!$C$21,IF(O571="2",'⚙️ Configuração'!$C$22,IF(O571="3",'⚙️ Configuração'!$C$23,IF(O571="Outro",'⚙️ Configuração'!$C$24,0))))</f>
        <v>0</v>
      </c>
      <c r="Q571" s="84">
        <f t="shared" si="45"/>
        <v>0</v>
      </c>
      <c r="R571" s="40" t="str">
        <f t="shared" si="44"/>
        <v>Semana 1 — ver 🔄</v>
      </c>
      <c r="S571" t="str" cm="1">
        <f t="array" ref="S571">IF(D571="","",IFERROR(_xlfn.SWITCH(B571,"Semana 1",IFERROR(INDEX('🔄 Rotação Duplas'!$D$8:$D$17,MATCH(D571,'🔄 Rotação Duplas'!$C$8:$C$17,0)),INDEX('🔄 Rotação Duplas'!$C$8:$C$17,MATCH(D571,'🔄 Rotação Duplas'!$D$8:$D$17,0))),"Semana 2",IFERROR(INDEX('🔄 Rotação Duplas'!$D$22:$D$31,MATCH(D571,'🔄 Rotação Duplas'!$C$22:$C$31,0)),INDEX('🔄 Rotação Duplas'!$C$22:$C$31,MATCH(D571,'🔄 Rotação Duplas'!$D$22:$D$31,0))),"Semana 3",IFERROR(INDEX('🔄 Rotação Duplas'!$D$36:$D$45,MATCH(D571,'🔄 Rotação Duplas'!$C$36:$C$45,0)),INDEX('🔄 Rotação Duplas'!$C$36:$C$45,MATCH(D571,'🔄 Rotação Duplas'!$D$36:$D$45,0))),"Semana 4",IFERROR(INDEX('🔄 Rotação Duplas'!$D$50:$D$59,MATCH(D571,'🔄 Rotação Duplas'!$C$50:$C$59,0)),INDEX('🔄 Rotação Duplas'!$C$50:$C$59,MATCH(D571,'🔄 Rotação Duplas'!$D$50:$D$59,0))),"Semana 5",IFERROR(INDEX('🔄 Rotação Duplas'!$D$64:$D$73,MATCH(D571,'🔄 Rotação Duplas'!$C$64:$C$73,0)),INDEX('🔄 Rotação Duplas'!$C$64:$C$73,MATCH(D571,'🔄 Rotação Duplas'!$D$64:$D$73,0))),"Semana 6",IFERROR(INDEX('🔄 Rotação Duplas'!$D$78:$D$87,MATCH(D571,'🔄 Rotação Duplas'!$C$78:$C$87,0)),INDEX('🔄 Rotação Duplas'!$C$78:$C$87,MATCH(D571,'🔄 Rotação Duplas'!$D$78:$D$87,0))),"Semana 7",IFERROR(INDEX('🔄 Rotação Duplas'!$D$92:$D$101,MATCH(D571,'🔄 Rotação Duplas'!$C$92:$C$101,0)),INDEX('🔄 Rotação Duplas'!$C$92:$C$101,MATCH(D571,'🔄 Rotação Duplas'!$D$92:$D$101,0))),"Semana 8",IFERROR(INDEX('🔄 Rotação Duplas'!$D$106:$D$115,MATCH(D571,'🔄 Rotação Duplas'!$C$106:$C$115,0)),INDEX('🔄 Rotação Duplas'!$C$106:$C$115,MATCH(D571,'🔄 Rotação Duplas'!$D$106:$D$115,0)))),""))</f>
        <v/>
      </c>
      <c r="T571">
        <f t="shared" si="46"/>
        <v>0</v>
      </c>
    </row>
    <row r="572" spans="2:20" ht="18" customHeight="1" x14ac:dyDescent="0.2">
      <c r="B572" s="85" t="s">
        <v>132</v>
      </c>
      <c r="C572" s="86" t="str">
        <f t="shared" si="49"/>
        <v>Desafio 29</v>
      </c>
      <c r="D572" s="87" t="str">
        <f>'⚙️ Configuração'!C35</f>
        <v>Tomás Carlos</v>
      </c>
      <c r="E572" s="50">
        <v>0</v>
      </c>
      <c r="F572" s="50">
        <v>0</v>
      </c>
      <c r="G572" s="50">
        <v>0</v>
      </c>
      <c r="H572" s="50">
        <v>0</v>
      </c>
      <c r="I572" s="50">
        <v>0</v>
      </c>
      <c r="J572" s="89">
        <v>0</v>
      </c>
      <c r="K572" s="81">
        <f>(E572*'⚙️ Configuração'!$C$6+F572*'⚙️ Configuração'!$C$7+G572*'⚙️ Configuração'!$C$8+H572*'⚙️ Configuração'!$C$9+I572*'⚙️ Configuração'!$C$10+J572*'⚙️ Configuração'!$C$11)*IF(N572="S",2,1)</f>
        <v>0</v>
      </c>
      <c r="L572" s="90" t="s">
        <v>167</v>
      </c>
      <c r="M572" s="82">
        <f>IF(L572="AT1",'⚙️ Configuração'!$C$14,IF(L572="AT2",'⚙️ Configuração'!$C$15,IF(L572="FI",'⚙️ Configuração'!$C$16,IF(L572="FJ",'⚙️ Configuração'!$C$17,0))))</f>
        <v>0</v>
      </c>
      <c r="N572" s="91" t="s">
        <v>167</v>
      </c>
      <c r="O572" s="92"/>
      <c r="P572" s="83">
        <f>IF(O572="1",'⚙️ Configuração'!$C$21,IF(O572="2",'⚙️ Configuração'!$C$22,IF(O572="3",'⚙️ Configuração'!$C$23,IF(O572="Outro",'⚙️ Configuração'!$C$24,0))))</f>
        <v>0</v>
      </c>
      <c r="Q572" s="84">
        <f t="shared" si="45"/>
        <v>0</v>
      </c>
      <c r="R572" s="40" t="str">
        <f t="shared" si="44"/>
        <v>Semana 1 — ver 🔄</v>
      </c>
      <c r="S572" t="str" cm="1">
        <f t="array" ref="S572">IF(D572="","",IFERROR(_xlfn.SWITCH(B572,"Semana 1",IFERROR(INDEX('🔄 Rotação Duplas'!$D$8:$D$17,MATCH(D572,'🔄 Rotação Duplas'!$C$8:$C$17,0)),INDEX('🔄 Rotação Duplas'!$C$8:$C$17,MATCH(D572,'🔄 Rotação Duplas'!$D$8:$D$17,0))),"Semana 2",IFERROR(INDEX('🔄 Rotação Duplas'!$D$22:$D$31,MATCH(D572,'🔄 Rotação Duplas'!$C$22:$C$31,0)),INDEX('🔄 Rotação Duplas'!$C$22:$C$31,MATCH(D572,'🔄 Rotação Duplas'!$D$22:$D$31,0))),"Semana 3",IFERROR(INDEX('🔄 Rotação Duplas'!$D$36:$D$45,MATCH(D572,'🔄 Rotação Duplas'!$C$36:$C$45,0)),INDEX('🔄 Rotação Duplas'!$C$36:$C$45,MATCH(D572,'🔄 Rotação Duplas'!$D$36:$D$45,0))),"Semana 4",IFERROR(INDEX('🔄 Rotação Duplas'!$D$50:$D$59,MATCH(D572,'🔄 Rotação Duplas'!$C$50:$C$59,0)),INDEX('🔄 Rotação Duplas'!$C$50:$C$59,MATCH(D572,'🔄 Rotação Duplas'!$D$50:$D$59,0))),"Semana 5",IFERROR(INDEX('🔄 Rotação Duplas'!$D$64:$D$73,MATCH(D572,'🔄 Rotação Duplas'!$C$64:$C$73,0)),INDEX('🔄 Rotação Duplas'!$C$64:$C$73,MATCH(D572,'🔄 Rotação Duplas'!$D$64:$D$73,0))),"Semana 6",IFERROR(INDEX('🔄 Rotação Duplas'!$D$78:$D$87,MATCH(D572,'🔄 Rotação Duplas'!$C$78:$C$87,0)),INDEX('🔄 Rotação Duplas'!$C$78:$C$87,MATCH(D572,'🔄 Rotação Duplas'!$D$78:$D$87,0))),"Semana 7",IFERROR(INDEX('🔄 Rotação Duplas'!$D$92:$D$101,MATCH(D572,'🔄 Rotação Duplas'!$C$92:$C$101,0)),INDEX('🔄 Rotação Duplas'!$C$92:$C$101,MATCH(D572,'🔄 Rotação Duplas'!$D$92:$D$101,0))),"Semana 8",IFERROR(INDEX('🔄 Rotação Duplas'!$D$106:$D$115,MATCH(D572,'🔄 Rotação Duplas'!$C$106:$C$115,0)),INDEX('🔄 Rotação Duplas'!$C$106:$C$115,MATCH(D572,'🔄 Rotação Duplas'!$D$106:$D$115,0)))),""))</f>
        <v/>
      </c>
      <c r="T572">
        <f t="shared" si="46"/>
        <v>0</v>
      </c>
    </row>
    <row r="573" spans="2:20" ht="18" customHeight="1" x14ac:dyDescent="0.2">
      <c r="B573" s="78" t="s">
        <v>132</v>
      </c>
      <c r="C573" s="79" t="str">
        <f t="shared" si="49"/>
        <v>Desafio 29</v>
      </c>
      <c r="D573" s="80" t="str">
        <f>'⚙️ Configuração'!C36</f>
        <v>Alexandra Correia</v>
      </c>
      <c r="E573" s="50">
        <v>0</v>
      </c>
      <c r="F573" s="50">
        <v>0</v>
      </c>
      <c r="G573" s="50">
        <v>0</v>
      </c>
      <c r="H573" s="50">
        <v>0</v>
      </c>
      <c r="I573" s="50">
        <v>0</v>
      </c>
      <c r="J573" s="89">
        <v>0</v>
      </c>
      <c r="K573" s="81">
        <f>(E573*'⚙️ Configuração'!$C$6+F573*'⚙️ Configuração'!$C$7+G573*'⚙️ Configuração'!$C$8+H573*'⚙️ Configuração'!$C$9+I573*'⚙️ Configuração'!$C$10+J573*'⚙️ Configuração'!$C$11)*IF(N573="S",2,1)</f>
        <v>0</v>
      </c>
      <c r="L573" s="90" t="s">
        <v>167</v>
      </c>
      <c r="M573" s="82">
        <f>IF(L573="AT1",'⚙️ Configuração'!$C$14,IF(L573="AT2",'⚙️ Configuração'!$C$15,IF(L573="FI",'⚙️ Configuração'!$C$16,IF(L573="FJ",'⚙️ Configuração'!$C$17,0))))</f>
        <v>0</v>
      </c>
      <c r="N573" s="91" t="s">
        <v>167</v>
      </c>
      <c r="O573" s="92"/>
      <c r="P573" s="83">
        <f>IF(O573="1",'⚙️ Configuração'!$C$21,IF(O573="2",'⚙️ Configuração'!$C$22,IF(O573="3",'⚙️ Configuração'!$C$23,IF(O573="Outro",'⚙️ Configuração'!$C$24,0))))</f>
        <v>0</v>
      </c>
      <c r="Q573" s="84">
        <f t="shared" si="45"/>
        <v>0</v>
      </c>
      <c r="R573" s="40" t="str">
        <f t="shared" si="44"/>
        <v>Semana 1 — ver 🔄</v>
      </c>
      <c r="S573" t="str" cm="1">
        <f t="array" ref="S573">IF(D573="","",IFERROR(_xlfn.SWITCH(B573,"Semana 1",IFERROR(INDEX('🔄 Rotação Duplas'!$D$8:$D$17,MATCH(D573,'🔄 Rotação Duplas'!$C$8:$C$17,0)),INDEX('🔄 Rotação Duplas'!$C$8:$C$17,MATCH(D573,'🔄 Rotação Duplas'!$D$8:$D$17,0))),"Semana 2",IFERROR(INDEX('🔄 Rotação Duplas'!$D$22:$D$31,MATCH(D573,'🔄 Rotação Duplas'!$C$22:$C$31,0)),INDEX('🔄 Rotação Duplas'!$C$22:$C$31,MATCH(D573,'🔄 Rotação Duplas'!$D$22:$D$31,0))),"Semana 3",IFERROR(INDEX('🔄 Rotação Duplas'!$D$36:$D$45,MATCH(D573,'🔄 Rotação Duplas'!$C$36:$C$45,0)),INDEX('🔄 Rotação Duplas'!$C$36:$C$45,MATCH(D573,'🔄 Rotação Duplas'!$D$36:$D$45,0))),"Semana 4",IFERROR(INDEX('🔄 Rotação Duplas'!$D$50:$D$59,MATCH(D573,'🔄 Rotação Duplas'!$C$50:$C$59,0)),INDEX('🔄 Rotação Duplas'!$C$50:$C$59,MATCH(D573,'🔄 Rotação Duplas'!$D$50:$D$59,0))),"Semana 5",IFERROR(INDEX('🔄 Rotação Duplas'!$D$64:$D$73,MATCH(D573,'🔄 Rotação Duplas'!$C$64:$C$73,0)),INDEX('🔄 Rotação Duplas'!$C$64:$C$73,MATCH(D573,'🔄 Rotação Duplas'!$D$64:$D$73,0))),"Semana 6",IFERROR(INDEX('🔄 Rotação Duplas'!$D$78:$D$87,MATCH(D573,'🔄 Rotação Duplas'!$C$78:$C$87,0)),INDEX('🔄 Rotação Duplas'!$C$78:$C$87,MATCH(D573,'🔄 Rotação Duplas'!$D$78:$D$87,0))),"Semana 7",IFERROR(INDEX('🔄 Rotação Duplas'!$D$92:$D$101,MATCH(D573,'🔄 Rotação Duplas'!$C$92:$C$101,0)),INDEX('🔄 Rotação Duplas'!$C$92:$C$101,MATCH(D573,'🔄 Rotação Duplas'!$D$92:$D$101,0))),"Semana 8",IFERROR(INDEX('🔄 Rotação Duplas'!$D$106:$D$115,MATCH(D573,'🔄 Rotação Duplas'!$C$106:$C$115,0)),INDEX('🔄 Rotação Duplas'!$C$106:$C$115,MATCH(D573,'🔄 Rotação Duplas'!$D$106:$D$115,0)))),""))</f>
        <v/>
      </c>
      <c r="T573">
        <f t="shared" si="46"/>
        <v>0</v>
      </c>
    </row>
    <row r="574" spans="2:20" ht="18" customHeight="1" x14ac:dyDescent="0.2">
      <c r="B574" s="85" t="s">
        <v>132</v>
      </c>
      <c r="C574" s="86" t="str">
        <f t="shared" si="49"/>
        <v>Desafio 29</v>
      </c>
      <c r="D574" s="87" t="str">
        <f>'⚙️ Configuração'!C37</f>
        <v>Carla Barata</v>
      </c>
      <c r="E574" s="50">
        <v>0</v>
      </c>
      <c r="F574" s="50">
        <v>0</v>
      </c>
      <c r="G574" s="50">
        <v>0</v>
      </c>
      <c r="H574" s="50">
        <v>0</v>
      </c>
      <c r="I574" s="50">
        <v>0</v>
      </c>
      <c r="J574" s="89">
        <v>0</v>
      </c>
      <c r="K574" s="81">
        <f>(E574*'⚙️ Configuração'!$C$6+F574*'⚙️ Configuração'!$C$7+G574*'⚙️ Configuração'!$C$8+H574*'⚙️ Configuração'!$C$9+I574*'⚙️ Configuração'!$C$10+J574*'⚙️ Configuração'!$C$11)*IF(N574="S",2,1)</f>
        <v>0</v>
      </c>
      <c r="L574" s="90" t="s">
        <v>167</v>
      </c>
      <c r="M574" s="82">
        <f>IF(L574="AT1",'⚙️ Configuração'!$C$14,IF(L574="AT2",'⚙️ Configuração'!$C$15,IF(L574="FI",'⚙️ Configuração'!$C$16,IF(L574="FJ",'⚙️ Configuração'!$C$17,0))))</f>
        <v>0</v>
      </c>
      <c r="N574" s="91" t="s">
        <v>167</v>
      </c>
      <c r="O574" s="92"/>
      <c r="P574" s="83">
        <f>IF(O574="1",'⚙️ Configuração'!$C$21,IF(O574="2",'⚙️ Configuração'!$C$22,IF(O574="3",'⚙️ Configuração'!$C$23,IF(O574="Outro",'⚙️ Configuração'!$C$24,0))))</f>
        <v>0</v>
      </c>
      <c r="Q574" s="84">
        <f t="shared" si="45"/>
        <v>0</v>
      </c>
      <c r="R574" s="40" t="str">
        <f t="shared" si="44"/>
        <v>Semana 1 — ver 🔄</v>
      </c>
      <c r="S574" t="str" cm="1">
        <f t="array" ref="S574">IF(D574="","",IFERROR(_xlfn.SWITCH(B574,"Semana 1",IFERROR(INDEX('🔄 Rotação Duplas'!$D$8:$D$17,MATCH(D574,'🔄 Rotação Duplas'!$C$8:$C$17,0)),INDEX('🔄 Rotação Duplas'!$C$8:$C$17,MATCH(D574,'🔄 Rotação Duplas'!$D$8:$D$17,0))),"Semana 2",IFERROR(INDEX('🔄 Rotação Duplas'!$D$22:$D$31,MATCH(D574,'🔄 Rotação Duplas'!$C$22:$C$31,0)),INDEX('🔄 Rotação Duplas'!$C$22:$C$31,MATCH(D574,'🔄 Rotação Duplas'!$D$22:$D$31,0))),"Semana 3",IFERROR(INDEX('🔄 Rotação Duplas'!$D$36:$D$45,MATCH(D574,'🔄 Rotação Duplas'!$C$36:$C$45,0)),INDEX('🔄 Rotação Duplas'!$C$36:$C$45,MATCH(D574,'🔄 Rotação Duplas'!$D$36:$D$45,0))),"Semana 4",IFERROR(INDEX('🔄 Rotação Duplas'!$D$50:$D$59,MATCH(D574,'🔄 Rotação Duplas'!$C$50:$C$59,0)),INDEX('🔄 Rotação Duplas'!$C$50:$C$59,MATCH(D574,'🔄 Rotação Duplas'!$D$50:$D$59,0))),"Semana 5",IFERROR(INDEX('🔄 Rotação Duplas'!$D$64:$D$73,MATCH(D574,'🔄 Rotação Duplas'!$C$64:$C$73,0)),INDEX('🔄 Rotação Duplas'!$C$64:$C$73,MATCH(D574,'🔄 Rotação Duplas'!$D$64:$D$73,0))),"Semana 6",IFERROR(INDEX('🔄 Rotação Duplas'!$D$78:$D$87,MATCH(D574,'🔄 Rotação Duplas'!$C$78:$C$87,0)),INDEX('🔄 Rotação Duplas'!$C$78:$C$87,MATCH(D574,'🔄 Rotação Duplas'!$D$78:$D$87,0))),"Semana 7",IFERROR(INDEX('🔄 Rotação Duplas'!$D$92:$D$101,MATCH(D574,'🔄 Rotação Duplas'!$C$92:$C$101,0)),INDEX('🔄 Rotação Duplas'!$C$92:$C$101,MATCH(D574,'🔄 Rotação Duplas'!$D$92:$D$101,0))),"Semana 8",IFERROR(INDEX('🔄 Rotação Duplas'!$D$106:$D$115,MATCH(D574,'🔄 Rotação Duplas'!$C$106:$C$115,0)),INDEX('🔄 Rotação Duplas'!$C$106:$C$115,MATCH(D574,'🔄 Rotação Duplas'!$D$106:$D$115,0)))),""))</f>
        <v/>
      </c>
      <c r="T574">
        <f t="shared" si="46"/>
        <v>0</v>
      </c>
    </row>
    <row r="575" spans="2:20" ht="18" customHeight="1" x14ac:dyDescent="0.2">
      <c r="B575" s="78" t="s">
        <v>132</v>
      </c>
      <c r="C575" s="79" t="str">
        <f t="shared" si="49"/>
        <v>Desafio 29</v>
      </c>
      <c r="D575" s="80" t="str">
        <f>'⚙️ Configuração'!C38</f>
        <v>Denise Filipe</v>
      </c>
      <c r="E575" s="50">
        <v>0</v>
      </c>
      <c r="F575" s="50">
        <v>0</v>
      </c>
      <c r="G575" s="50">
        <v>0</v>
      </c>
      <c r="H575" s="50">
        <v>0</v>
      </c>
      <c r="I575" s="50">
        <v>0</v>
      </c>
      <c r="J575" s="89">
        <v>0</v>
      </c>
      <c r="K575" s="81">
        <f>(E575*'⚙️ Configuração'!$C$6+F575*'⚙️ Configuração'!$C$7+G575*'⚙️ Configuração'!$C$8+H575*'⚙️ Configuração'!$C$9+I575*'⚙️ Configuração'!$C$10+J575*'⚙️ Configuração'!$C$11)*IF(N575="S",2,1)</f>
        <v>0</v>
      </c>
      <c r="L575" s="90" t="s">
        <v>167</v>
      </c>
      <c r="M575" s="82">
        <f>IF(L575="AT1",'⚙️ Configuração'!$C$14,IF(L575="AT2",'⚙️ Configuração'!$C$15,IF(L575="FI",'⚙️ Configuração'!$C$16,IF(L575="FJ",'⚙️ Configuração'!$C$17,0))))</f>
        <v>0</v>
      </c>
      <c r="N575" s="91" t="s">
        <v>167</v>
      </c>
      <c r="O575" s="92"/>
      <c r="P575" s="83">
        <f>IF(O575="1",'⚙️ Configuração'!$C$21,IF(O575="2",'⚙️ Configuração'!$C$22,IF(O575="3",'⚙️ Configuração'!$C$23,IF(O575="Outro",'⚙️ Configuração'!$C$24,0))))</f>
        <v>0</v>
      </c>
      <c r="Q575" s="84">
        <f t="shared" si="45"/>
        <v>0</v>
      </c>
      <c r="R575" s="40" t="str">
        <f t="shared" si="44"/>
        <v>Semana 1 — ver 🔄</v>
      </c>
      <c r="S575" t="str" cm="1">
        <f t="array" ref="S575">IF(D575="","",IFERROR(_xlfn.SWITCH(B575,"Semana 1",IFERROR(INDEX('🔄 Rotação Duplas'!$D$8:$D$17,MATCH(D575,'🔄 Rotação Duplas'!$C$8:$C$17,0)),INDEX('🔄 Rotação Duplas'!$C$8:$C$17,MATCH(D575,'🔄 Rotação Duplas'!$D$8:$D$17,0))),"Semana 2",IFERROR(INDEX('🔄 Rotação Duplas'!$D$22:$D$31,MATCH(D575,'🔄 Rotação Duplas'!$C$22:$C$31,0)),INDEX('🔄 Rotação Duplas'!$C$22:$C$31,MATCH(D575,'🔄 Rotação Duplas'!$D$22:$D$31,0))),"Semana 3",IFERROR(INDEX('🔄 Rotação Duplas'!$D$36:$D$45,MATCH(D575,'🔄 Rotação Duplas'!$C$36:$C$45,0)),INDEX('🔄 Rotação Duplas'!$C$36:$C$45,MATCH(D575,'🔄 Rotação Duplas'!$D$36:$D$45,0))),"Semana 4",IFERROR(INDEX('🔄 Rotação Duplas'!$D$50:$D$59,MATCH(D575,'🔄 Rotação Duplas'!$C$50:$C$59,0)),INDEX('🔄 Rotação Duplas'!$C$50:$C$59,MATCH(D575,'🔄 Rotação Duplas'!$D$50:$D$59,0))),"Semana 5",IFERROR(INDEX('🔄 Rotação Duplas'!$D$64:$D$73,MATCH(D575,'🔄 Rotação Duplas'!$C$64:$C$73,0)),INDEX('🔄 Rotação Duplas'!$C$64:$C$73,MATCH(D575,'🔄 Rotação Duplas'!$D$64:$D$73,0))),"Semana 6",IFERROR(INDEX('🔄 Rotação Duplas'!$D$78:$D$87,MATCH(D575,'🔄 Rotação Duplas'!$C$78:$C$87,0)),INDEX('🔄 Rotação Duplas'!$C$78:$C$87,MATCH(D575,'🔄 Rotação Duplas'!$D$78:$D$87,0))),"Semana 7",IFERROR(INDEX('🔄 Rotação Duplas'!$D$92:$D$101,MATCH(D575,'🔄 Rotação Duplas'!$C$92:$C$101,0)),INDEX('🔄 Rotação Duplas'!$C$92:$C$101,MATCH(D575,'🔄 Rotação Duplas'!$D$92:$D$101,0))),"Semana 8",IFERROR(INDEX('🔄 Rotação Duplas'!$D$106:$D$115,MATCH(D575,'🔄 Rotação Duplas'!$C$106:$C$115,0)),INDEX('🔄 Rotação Duplas'!$C$106:$C$115,MATCH(D575,'🔄 Rotação Duplas'!$D$106:$D$115,0)))),""))</f>
        <v/>
      </c>
      <c r="T575">
        <f t="shared" si="46"/>
        <v>0</v>
      </c>
    </row>
    <row r="576" spans="2:20" ht="18" customHeight="1" x14ac:dyDescent="0.2">
      <c r="B576" s="85" t="s">
        <v>132</v>
      </c>
      <c r="C576" s="86" t="str">
        <f t="shared" si="49"/>
        <v>Desafio 29</v>
      </c>
      <c r="D576" s="87" t="str">
        <f>'⚙️ Configuração'!C39</f>
        <v>Fátima Rodriguez</v>
      </c>
      <c r="E576" s="50">
        <v>0</v>
      </c>
      <c r="F576" s="50">
        <v>0</v>
      </c>
      <c r="G576" s="50">
        <v>0</v>
      </c>
      <c r="H576" s="50">
        <v>0</v>
      </c>
      <c r="I576" s="50">
        <v>0</v>
      </c>
      <c r="J576" s="89">
        <v>0</v>
      </c>
      <c r="K576" s="81">
        <f>(E576*'⚙️ Configuração'!$C$6+F576*'⚙️ Configuração'!$C$7+G576*'⚙️ Configuração'!$C$8+H576*'⚙️ Configuração'!$C$9+I576*'⚙️ Configuração'!$C$10+J576*'⚙️ Configuração'!$C$11)*IF(N576="S",2,1)</f>
        <v>0</v>
      </c>
      <c r="L576" s="90" t="s">
        <v>167</v>
      </c>
      <c r="M576" s="82">
        <f>IF(L576="AT1",'⚙️ Configuração'!$C$14,IF(L576="AT2",'⚙️ Configuração'!$C$15,IF(L576="FI",'⚙️ Configuração'!$C$16,IF(L576="FJ",'⚙️ Configuração'!$C$17,0))))</f>
        <v>0</v>
      </c>
      <c r="N576" s="91" t="s">
        <v>167</v>
      </c>
      <c r="O576" s="92"/>
      <c r="P576" s="83">
        <f>IF(O576="1",'⚙️ Configuração'!$C$21,IF(O576="2",'⚙️ Configuração'!$C$22,IF(O576="3",'⚙️ Configuração'!$C$23,IF(O576="Outro",'⚙️ Configuração'!$C$24,0))))</f>
        <v>0</v>
      </c>
      <c r="Q576" s="84">
        <f t="shared" si="45"/>
        <v>0</v>
      </c>
      <c r="R576" s="40" t="str">
        <f t="shared" si="44"/>
        <v>Semana 1 — ver 🔄</v>
      </c>
      <c r="S576" t="str" cm="1">
        <f t="array" ref="S576">IF(D576="","",IFERROR(_xlfn.SWITCH(B576,"Semana 1",IFERROR(INDEX('🔄 Rotação Duplas'!$D$8:$D$17,MATCH(D576,'🔄 Rotação Duplas'!$C$8:$C$17,0)),INDEX('🔄 Rotação Duplas'!$C$8:$C$17,MATCH(D576,'🔄 Rotação Duplas'!$D$8:$D$17,0))),"Semana 2",IFERROR(INDEX('🔄 Rotação Duplas'!$D$22:$D$31,MATCH(D576,'🔄 Rotação Duplas'!$C$22:$C$31,0)),INDEX('🔄 Rotação Duplas'!$C$22:$C$31,MATCH(D576,'🔄 Rotação Duplas'!$D$22:$D$31,0))),"Semana 3",IFERROR(INDEX('🔄 Rotação Duplas'!$D$36:$D$45,MATCH(D576,'🔄 Rotação Duplas'!$C$36:$C$45,0)),INDEX('🔄 Rotação Duplas'!$C$36:$C$45,MATCH(D576,'🔄 Rotação Duplas'!$D$36:$D$45,0))),"Semana 4",IFERROR(INDEX('🔄 Rotação Duplas'!$D$50:$D$59,MATCH(D576,'🔄 Rotação Duplas'!$C$50:$C$59,0)),INDEX('🔄 Rotação Duplas'!$C$50:$C$59,MATCH(D576,'🔄 Rotação Duplas'!$D$50:$D$59,0))),"Semana 5",IFERROR(INDEX('🔄 Rotação Duplas'!$D$64:$D$73,MATCH(D576,'🔄 Rotação Duplas'!$C$64:$C$73,0)),INDEX('🔄 Rotação Duplas'!$C$64:$C$73,MATCH(D576,'🔄 Rotação Duplas'!$D$64:$D$73,0))),"Semana 6",IFERROR(INDEX('🔄 Rotação Duplas'!$D$78:$D$87,MATCH(D576,'🔄 Rotação Duplas'!$C$78:$C$87,0)),INDEX('🔄 Rotação Duplas'!$C$78:$C$87,MATCH(D576,'🔄 Rotação Duplas'!$D$78:$D$87,0))),"Semana 7",IFERROR(INDEX('🔄 Rotação Duplas'!$D$92:$D$101,MATCH(D576,'🔄 Rotação Duplas'!$C$92:$C$101,0)),INDEX('🔄 Rotação Duplas'!$C$92:$C$101,MATCH(D576,'🔄 Rotação Duplas'!$D$92:$D$101,0))),"Semana 8",IFERROR(INDEX('🔄 Rotação Duplas'!$D$106:$D$115,MATCH(D576,'🔄 Rotação Duplas'!$C$106:$C$115,0)),INDEX('🔄 Rotação Duplas'!$C$106:$C$115,MATCH(D576,'🔄 Rotação Duplas'!$D$106:$D$115,0)))),""))</f>
        <v/>
      </c>
      <c r="T576">
        <f t="shared" si="46"/>
        <v>0</v>
      </c>
    </row>
    <row r="577" spans="2:20" ht="18" customHeight="1" x14ac:dyDescent="0.2">
      <c r="B577" s="78" t="s">
        <v>132</v>
      </c>
      <c r="C577" s="79" t="str">
        <f t="shared" si="49"/>
        <v>Desafio 29</v>
      </c>
      <c r="D577" s="80" t="str">
        <f>'⚙️ Configuração'!C40</f>
        <v>Maria João Travassos</v>
      </c>
      <c r="E577" s="50">
        <v>0</v>
      </c>
      <c r="F577" s="50">
        <v>0</v>
      </c>
      <c r="G577" s="50">
        <v>0</v>
      </c>
      <c r="H577" s="50">
        <v>0</v>
      </c>
      <c r="I577" s="50">
        <v>0</v>
      </c>
      <c r="J577" s="89">
        <v>0</v>
      </c>
      <c r="K577" s="81">
        <f>(E577*'⚙️ Configuração'!$C$6+F577*'⚙️ Configuração'!$C$7+G577*'⚙️ Configuração'!$C$8+H577*'⚙️ Configuração'!$C$9+I577*'⚙️ Configuração'!$C$10+J577*'⚙️ Configuração'!$C$11)*IF(N577="S",2,1)</f>
        <v>0</v>
      </c>
      <c r="L577" s="90" t="s">
        <v>167</v>
      </c>
      <c r="M577" s="82">
        <f>IF(L577="AT1",'⚙️ Configuração'!$C$14,IF(L577="AT2",'⚙️ Configuração'!$C$15,IF(L577="FI",'⚙️ Configuração'!$C$16,IF(L577="FJ",'⚙️ Configuração'!$C$17,0))))</f>
        <v>0</v>
      </c>
      <c r="N577" s="91" t="s">
        <v>167</v>
      </c>
      <c r="O577" s="92"/>
      <c r="P577" s="83">
        <f>IF(O577="1",'⚙️ Configuração'!$C$21,IF(O577="2",'⚙️ Configuração'!$C$22,IF(O577="3",'⚙️ Configuração'!$C$23,IF(O577="Outro",'⚙️ Configuração'!$C$24,0))))</f>
        <v>0</v>
      </c>
      <c r="Q577" s="84">
        <f t="shared" si="45"/>
        <v>0</v>
      </c>
      <c r="R577" s="40" t="str">
        <f t="shared" si="44"/>
        <v>Semana 1 — ver 🔄</v>
      </c>
      <c r="S577" t="str" cm="1">
        <f t="array" ref="S577">IF(D577="","",IFERROR(_xlfn.SWITCH(B577,"Semana 1",IFERROR(INDEX('🔄 Rotação Duplas'!$D$8:$D$17,MATCH(D577,'🔄 Rotação Duplas'!$C$8:$C$17,0)),INDEX('🔄 Rotação Duplas'!$C$8:$C$17,MATCH(D577,'🔄 Rotação Duplas'!$D$8:$D$17,0))),"Semana 2",IFERROR(INDEX('🔄 Rotação Duplas'!$D$22:$D$31,MATCH(D577,'🔄 Rotação Duplas'!$C$22:$C$31,0)),INDEX('🔄 Rotação Duplas'!$C$22:$C$31,MATCH(D577,'🔄 Rotação Duplas'!$D$22:$D$31,0))),"Semana 3",IFERROR(INDEX('🔄 Rotação Duplas'!$D$36:$D$45,MATCH(D577,'🔄 Rotação Duplas'!$C$36:$C$45,0)),INDEX('🔄 Rotação Duplas'!$C$36:$C$45,MATCH(D577,'🔄 Rotação Duplas'!$D$36:$D$45,0))),"Semana 4",IFERROR(INDEX('🔄 Rotação Duplas'!$D$50:$D$59,MATCH(D577,'🔄 Rotação Duplas'!$C$50:$C$59,0)),INDEX('🔄 Rotação Duplas'!$C$50:$C$59,MATCH(D577,'🔄 Rotação Duplas'!$D$50:$D$59,0))),"Semana 5",IFERROR(INDEX('🔄 Rotação Duplas'!$D$64:$D$73,MATCH(D577,'🔄 Rotação Duplas'!$C$64:$C$73,0)),INDEX('🔄 Rotação Duplas'!$C$64:$C$73,MATCH(D577,'🔄 Rotação Duplas'!$D$64:$D$73,0))),"Semana 6",IFERROR(INDEX('🔄 Rotação Duplas'!$D$78:$D$87,MATCH(D577,'🔄 Rotação Duplas'!$C$78:$C$87,0)),INDEX('🔄 Rotação Duplas'!$C$78:$C$87,MATCH(D577,'🔄 Rotação Duplas'!$D$78:$D$87,0))),"Semana 7",IFERROR(INDEX('🔄 Rotação Duplas'!$D$92:$D$101,MATCH(D577,'🔄 Rotação Duplas'!$C$92:$C$101,0)),INDEX('🔄 Rotação Duplas'!$C$92:$C$101,MATCH(D577,'🔄 Rotação Duplas'!$D$92:$D$101,0))),"Semana 8",IFERROR(INDEX('🔄 Rotação Duplas'!$D$106:$D$115,MATCH(D577,'🔄 Rotação Duplas'!$C$106:$C$115,0)),INDEX('🔄 Rotação Duplas'!$C$106:$C$115,MATCH(D577,'🔄 Rotação Duplas'!$D$106:$D$115,0)))),""))</f>
        <v/>
      </c>
      <c r="T577">
        <f t="shared" si="46"/>
        <v>0</v>
      </c>
    </row>
    <row r="578" spans="2:20" ht="18" customHeight="1" x14ac:dyDescent="0.2">
      <c r="B578" s="85" t="s">
        <v>132</v>
      </c>
      <c r="C578" s="86" t="str">
        <f t="shared" si="49"/>
        <v>Desafio 29</v>
      </c>
      <c r="D578" s="87" t="str">
        <f>'⚙️ Configuração'!C41</f>
        <v>Marta Torres</v>
      </c>
      <c r="E578" s="50">
        <v>0</v>
      </c>
      <c r="F578" s="50">
        <v>0</v>
      </c>
      <c r="G578" s="50">
        <v>0</v>
      </c>
      <c r="H578" s="50">
        <v>0</v>
      </c>
      <c r="I578" s="50">
        <v>0</v>
      </c>
      <c r="J578" s="89">
        <v>0</v>
      </c>
      <c r="K578" s="81">
        <f>(E578*'⚙️ Configuração'!$C$6+F578*'⚙️ Configuração'!$C$7+G578*'⚙️ Configuração'!$C$8+H578*'⚙️ Configuração'!$C$9+I578*'⚙️ Configuração'!$C$10+J578*'⚙️ Configuração'!$C$11)*IF(N578="S",2,1)</f>
        <v>0</v>
      </c>
      <c r="L578" s="90" t="s">
        <v>167</v>
      </c>
      <c r="M578" s="82">
        <f>IF(L578="AT1",'⚙️ Configuração'!$C$14,IF(L578="AT2",'⚙️ Configuração'!$C$15,IF(L578="FI",'⚙️ Configuração'!$C$16,IF(L578="FJ",'⚙️ Configuração'!$C$17,0))))</f>
        <v>0</v>
      </c>
      <c r="N578" s="91" t="s">
        <v>167</v>
      </c>
      <c r="O578" s="92"/>
      <c r="P578" s="83">
        <f>IF(O578="1",'⚙️ Configuração'!$C$21,IF(O578="2",'⚙️ Configuração'!$C$22,IF(O578="3",'⚙️ Configuração'!$C$23,IF(O578="Outro",'⚙️ Configuração'!$C$24,0))))</f>
        <v>0</v>
      </c>
      <c r="Q578" s="84">
        <f t="shared" si="45"/>
        <v>0</v>
      </c>
      <c r="R578" s="40" t="str">
        <f t="shared" si="44"/>
        <v>Semana 1 — ver 🔄</v>
      </c>
      <c r="S578" t="str" cm="1">
        <f t="array" ref="S578">IF(D578="","",IFERROR(_xlfn.SWITCH(B578,"Semana 1",IFERROR(INDEX('🔄 Rotação Duplas'!$D$8:$D$17,MATCH(D578,'🔄 Rotação Duplas'!$C$8:$C$17,0)),INDEX('🔄 Rotação Duplas'!$C$8:$C$17,MATCH(D578,'🔄 Rotação Duplas'!$D$8:$D$17,0))),"Semana 2",IFERROR(INDEX('🔄 Rotação Duplas'!$D$22:$D$31,MATCH(D578,'🔄 Rotação Duplas'!$C$22:$C$31,0)),INDEX('🔄 Rotação Duplas'!$C$22:$C$31,MATCH(D578,'🔄 Rotação Duplas'!$D$22:$D$31,0))),"Semana 3",IFERROR(INDEX('🔄 Rotação Duplas'!$D$36:$D$45,MATCH(D578,'🔄 Rotação Duplas'!$C$36:$C$45,0)),INDEX('🔄 Rotação Duplas'!$C$36:$C$45,MATCH(D578,'🔄 Rotação Duplas'!$D$36:$D$45,0))),"Semana 4",IFERROR(INDEX('🔄 Rotação Duplas'!$D$50:$D$59,MATCH(D578,'🔄 Rotação Duplas'!$C$50:$C$59,0)),INDEX('🔄 Rotação Duplas'!$C$50:$C$59,MATCH(D578,'🔄 Rotação Duplas'!$D$50:$D$59,0))),"Semana 5",IFERROR(INDEX('🔄 Rotação Duplas'!$D$64:$D$73,MATCH(D578,'🔄 Rotação Duplas'!$C$64:$C$73,0)),INDEX('🔄 Rotação Duplas'!$C$64:$C$73,MATCH(D578,'🔄 Rotação Duplas'!$D$64:$D$73,0))),"Semana 6",IFERROR(INDEX('🔄 Rotação Duplas'!$D$78:$D$87,MATCH(D578,'🔄 Rotação Duplas'!$C$78:$C$87,0)),INDEX('🔄 Rotação Duplas'!$C$78:$C$87,MATCH(D578,'🔄 Rotação Duplas'!$D$78:$D$87,0))),"Semana 7",IFERROR(INDEX('🔄 Rotação Duplas'!$D$92:$D$101,MATCH(D578,'🔄 Rotação Duplas'!$C$92:$C$101,0)),INDEX('🔄 Rotação Duplas'!$C$92:$C$101,MATCH(D578,'🔄 Rotação Duplas'!$D$92:$D$101,0))),"Semana 8",IFERROR(INDEX('🔄 Rotação Duplas'!$D$106:$D$115,MATCH(D578,'🔄 Rotação Duplas'!$C$106:$C$115,0)),INDEX('🔄 Rotação Duplas'!$C$106:$C$115,MATCH(D578,'🔄 Rotação Duplas'!$D$106:$D$115,0)))),""))</f>
        <v/>
      </c>
      <c r="T578">
        <f t="shared" si="46"/>
        <v>0</v>
      </c>
    </row>
    <row r="579" spans="2:20" ht="18" customHeight="1" x14ac:dyDescent="0.2">
      <c r="B579" s="78" t="s">
        <v>132</v>
      </c>
      <c r="C579" s="79" t="str">
        <f t="shared" si="49"/>
        <v>Desafio 29</v>
      </c>
      <c r="D579" s="80" t="str">
        <f>'⚙️ Configuração'!C42</f>
        <v>Patricia Isabel Silva</v>
      </c>
      <c r="E579" s="50">
        <v>0</v>
      </c>
      <c r="F579" s="50">
        <v>0</v>
      </c>
      <c r="G579" s="50">
        <v>0</v>
      </c>
      <c r="H579" s="50">
        <v>0</v>
      </c>
      <c r="I579" s="50">
        <v>0</v>
      </c>
      <c r="J579" s="89">
        <v>0</v>
      </c>
      <c r="K579" s="81">
        <f>(E579*'⚙️ Configuração'!$C$6+F579*'⚙️ Configuração'!$C$7+G579*'⚙️ Configuração'!$C$8+H579*'⚙️ Configuração'!$C$9+I579*'⚙️ Configuração'!$C$10+J579*'⚙️ Configuração'!$C$11)*IF(N579="S",2,1)</f>
        <v>0</v>
      </c>
      <c r="L579" s="90" t="s">
        <v>167</v>
      </c>
      <c r="M579" s="82">
        <f>IF(L579="AT1",'⚙️ Configuração'!$C$14,IF(L579="AT2",'⚙️ Configuração'!$C$15,IF(L579="FI",'⚙️ Configuração'!$C$16,IF(L579="FJ",'⚙️ Configuração'!$C$17,0))))</f>
        <v>0</v>
      </c>
      <c r="N579" s="91" t="s">
        <v>167</v>
      </c>
      <c r="O579" s="92"/>
      <c r="P579" s="83">
        <f>IF(O579="1",'⚙️ Configuração'!$C$21,IF(O579="2",'⚙️ Configuração'!$C$22,IF(O579="3",'⚙️ Configuração'!$C$23,IF(O579="Outro",'⚙️ Configuração'!$C$24,0))))</f>
        <v>0</v>
      </c>
      <c r="Q579" s="84">
        <f t="shared" si="45"/>
        <v>0</v>
      </c>
      <c r="R579" s="40" t="str">
        <f t="shared" si="44"/>
        <v>Semana 1 — ver 🔄</v>
      </c>
      <c r="S579" t="str" cm="1">
        <f t="array" ref="S579">IF(D579="","",IFERROR(_xlfn.SWITCH(B579,"Semana 1",IFERROR(INDEX('🔄 Rotação Duplas'!$D$8:$D$17,MATCH(D579,'🔄 Rotação Duplas'!$C$8:$C$17,0)),INDEX('🔄 Rotação Duplas'!$C$8:$C$17,MATCH(D579,'🔄 Rotação Duplas'!$D$8:$D$17,0))),"Semana 2",IFERROR(INDEX('🔄 Rotação Duplas'!$D$22:$D$31,MATCH(D579,'🔄 Rotação Duplas'!$C$22:$C$31,0)),INDEX('🔄 Rotação Duplas'!$C$22:$C$31,MATCH(D579,'🔄 Rotação Duplas'!$D$22:$D$31,0))),"Semana 3",IFERROR(INDEX('🔄 Rotação Duplas'!$D$36:$D$45,MATCH(D579,'🔄 Rotação Duplas'!$C$36:$C$45,0)),INDEX('🔄 Rotação Duplas'!$C$36:$C$45,MATCH(D579,'🔄 Rotação Duplas'!$D$36:$D$45,0))),"Semana 4",IFERROR(INDEX('🔄 Rotação Duplas'!$D$50:$D$59,MATCH(D579,'🔄 Rotação Duplas'!$C$50:$C$59,0)),INDEX('🔄 Rotação Duplas'!$C$50:$C$59,MATCH(D579,'🔄 Rotação Duplas'!$D$50:$D$59,0))),"Semana 5",IFERROR(INDEX('🔄 Rotação Duplas'!$D$64:$D$73,MATCH(D579,'🔄 Rotação Duplas'!$C$64:$C$73,0)),INDEX('🔄 Rotação Duplas'!$C$64:$C$73,MATCH(D579,'🔄 Rotação Duplas'!$D$64:$D$73,0))),"Semana 6",IFERROR(INDEX('🔄 Rotação Duplas'!$D$78:$D$87,MATCH(D579,'🔄 Rotação Duplas'!$C$78:$C$87,0)),INDEX('🔄 Rotação Duplas'!$C$78:$C$87,MATCH(D579,'🔄 Rotação Duplas'!$D$78:$D$87,0))),"Semana 7",IFERROR(INDEX('🔄 Rotação Duplas'!$D$92:$D$101,MATCH(D579,'🔄 Rotação Duplas'!$C$92:$C$101,0)),INDEX('🔄 Rotação Duplas'!$C$92:$C$101,MATCH(D579,'🔄 Rotação Duplas'!$D$92:$D$101,0))),"Semana 8",IFERROR(INDEX('🔄 Rotação Duplas'!$D$106:$D$115,MATCH(D579,'🔄 Rotação Duplas'!$C$106:$C$115,0)),INDEX('🔄 Rotação Duplas'!$C$106:$C$115,MATCH(D579,'🔄 Rotação Duplas'!$D$106:$D$115,0)))),""))</f>
        <v/>
      </c>
      <c r="T579">
        <f t="shared" si="46"/>
        <v>0</v>
      </c>
    </row>
    <row r="580" spans="2:20" ht="18" customHeight="1" x14ac:dyDescent="0.2">
      <c r="B580" s="85" t="s">
        <v>132</v>
      </c>
      <c r="C580" s="86" t="str">
        <f t="shared" si="49"/>
        <v>Desafio 29</v>
      </c>
      <c r="D580" s="87" t="str">
        <f>'⚙️ Configuração'!C43</f>
        <v>Paula Martins</v>
      </c>
      <c r="E580" s="50">
        <v>0</v>
      </c>
      <c r="F580" s="50">
        <v>0</v>
      </c>
      <c r="G580" s="50">
        <v>0</v>
      </c>
      <c r="H580" s="50">
        <v>0</v>
      </c>
      <c r="I580" s="50">
        <v>0</v>
      </c>
      <c r="J580" s="89">
        <v>0</v>
      </c>
      <c r="K580" s="81">
        <f>(E580*'⚙️ Configuração'!$C$6+F580*'⚙️ Configuração'!$C$7+G580*'⚙️ Configuração'!$C$8+H580*'⚙️ Configuração'!$C$9+I580*'⚙️ Configuração'!$C$10+J580*'⚙️ Configuração'!$C$11)*IF(N580="S",2,1)</f>
        <v>0</v>
      </c>
      <c r="L580" s="90" t="s">
        <v>167</v>
      </c>
      <c r="M580" s="82">
        <f>IF(L580="AT1",'⚙️ Configuração'!$C$14,IF(L580="AT2",'⚙️ Configuração'!$C$15,IF(L580="FI",'⚙️ Configuração'!$C$16,IF(L580="FJ",'⚙️ Configuração'!$C$17,0))))</f>
        <v>0</v>
      </c>
      <c r="N580" s="91" t="s">
        <v>167</v>
      </c>
      <c r="O580" s="92"/>
      <c r="P580" s="83">
        <f>IF(O580="1",'⚙️ Configuração'!$C$21,IF(O580="2",'⚙️ Configuração'!$C$22,IF(O580="3",'⚙️ Configuração'!$C$23,IF(O580="Outro",'⚙️ Configuração'!$C$24,0))))</f>
        <v>0</v>
      </c>
      <c r="Q580" s="84">
        <f t="shared" si="45"/>
        <v>0</v>
      </c>
      <c r="R580" s="40" t="str">
        <f t="shared" si="44"/>
        <v>Semana 1 — ver 🔄</v>
      </c>
      <c r="S580" t="str" cm="1">
        <f t="array" ref="S580">IF(D580="","",IFERROR(_xlfn.SWITCH(B580,"Semana 1",IFERROR(INDEX('🔄 Rotação Duplas'!$D$8:$D$17,MATCH(D580,'🔄 Rotação Duplas'!$C$8:$C$17,0)),INDEX('🔄 Rotação Duplas'!$C$8:$C$17,MATCH(D580,'🔄 Rotação Duplas'!$D$8:$D$17,0))),"Semana 2",IFERROR(INDEX('🔄 Rotação Duplas'!$D$22:$D$31,MATCH(D580,'🔄 Rotação Duplas'!$C$22:$C$31,0)),INDEX('🔄 Rotação Duplas'!$C$22:$C$31,MATCH(D580,'🔄 Rotação Duplas'!$D$22:$D$31,0))),"Semana 3",IFERROR(INDEX('🔄 Rotação Duplas'!$D$36:$D$45,MATCH(D580,'🔄 Rotação Duplas'!$C$36:$C$45,0)),INDEX('🔄 Rotação Duplas'!$C$36:$C$45,MATCH(D580,'🔄 Rotação Duplas'!$D$36:$D$45,0))),"Semana 4",IFERROR(INDEX('🔄 Rotação Duplas'!$D$50:$D$59,MATCH(D580,'🔄 Rotação Duplas'!$C$50:$C$59,0)),INDEX('🔄 Rotação Duplas'!$C$50:$C$59,MATCH(D580,'🔄 Rotação Duplas'!$D$50:$D$59,0))),"Semana 5",IFERROR(INDEX('🔄 Rotação Duplas'!$D$64:$D$73,MATCH(D580,'🔄 Rotação Duplas'!$C$64:$C$73,0)),INDEX('🔄 Rotação Duplas'!$C$64:$C$73,MATCH(D580,'🔄 Rotação Duplas'!$D$64:$D$73,0))),"Semana 6",IFERROR(INDEX('🔄 Rotação Duplas'!$D$78:$D$87,MATCH(D580,'🔄 Rotação Duplas'!$C$78:$C$87,0)),INDEX('🔄 Rotação Duplas'!$C$78:$C$87,MATCH(D580,'🔄 Rotação Duplas'!$D$78:$D$87,0))),"Semana 7",IFERROR(INDEX('🔄 Rotação Duplas'!$D$92:$D$101,MATCH(D580,'🔄 Rotação Duplas'!$C$92:$C$101,0)),INDEX('🔄 Rotação Duplas'!$C$92:$C$101,MATCH(D580,'🔄 Rotação Duplas'!$D$92:$D$101,0))),"Semana 8",IFERROR(INDEX('🔄 Rotação Duplas'!$D$106:$D$115,MATCH(D580,'🔄 Rotação Duplas'!$C$106:$C$115,0)),INDEX('🔄 Rotação Duplas'!$C$106:$C$115,MATCH(D580,'🔄 Rotação Duplas'!$D$106:$D$115,0)))),""))</f>
        <v/>
      </c>
      <c r="T580">
        <f t="shared" si="46"/>
        <v>0</v>
      </c>
    </row>
    <row r="581" spans="2:20" ht="18" customHeight="1" x14ac:dyDescent="0.2">
      <c r="B581" s="78" t="s">
        <v>132</v>
      </c>
      <c r="C581" s="79" t="str">
        <f t="shared" si="49"/>
        <v>Desafio 29</v>
      </c>
      <c r="D581" s="80" t="str">
        <f>'⚙️ Configuração'!C44</f>
        <v>Paula Miabara</v>
      </c>
      <c r="E581" s="50">
        <v>0</v>
      </c>
      <c r="F581" s="50">
        <v>0</v>
      </c>
      <c r="G581" s="50">
        <v>0</v>
      </c>
      <c r="H581" s="50">
        <v>0</v>
      </c>
      <c r="I581" s="50">
        <v>0</v>
      </c>
      <c r="J581" s="89">
        <v>0</v>
      </c>
      <c r="K581" s="81">
        <f>(E581*'⚙️ Configuração'!$C$6+F581*'⚙️ Configuração'!$C$7+G581*'⚙️ Configuração'!$C$8+H581*'⚙️ Configuração'!$C$9+I581*'⚙️ Configuração'!$C$10+J581*'⚙️ Configuração'!$C$11)*IF(N581="S",2,1)</f>
        <v>0</v>
      </c>
      <c r="L581" s="90" t="s">
        <v>167</v>
      </c>
      <c r="M581" s="82">
        <f>IF(L581="AT1",'⚙️ Configuração'!$C$14,IF(L581="AT2",'⚙️ Configuração'!$C$15,IF(L581="FI",'⚙️ Configuração'!$C$16,IF(L581="FJ",'⚙️ Configuração'!$C$17,0))))</f>
        <v>0</v>
      </c>
      <c r="N581" s="91" t="s">
        <v>167</v>
      </c>
      <c r="O581" s="92"/>
      <c r="P581" s="83">
        <f>IF(O581="1",'⚙️ Configuração'!$C$21,IF(O581="2",'⚙️ Configuração'!$C$22,IF(O581="3",'⚙️ Configuração'!$C$23,IF(O581="Outro",'⚙️ Configuração'!$C$24,0))))</f>
        <v>0</v>
      </c>
      <c r="Q581" s="84">
        <f t="shared" si="45"/>
        <v>0</v>
      </c>
      <c r="R581" s="40" t="str">
        <f t="shared" si="44"/>
        <v>Semana 1 — ver 🔄</v>
      </c>
      <c r="S581" t="str" cm="1">
        <f t="array" ref="S581">IF(D581="","",IFERROR(_xlfn.SWITCH(B581,"Semana 1",IFERROR(INDEX('🔄 Rotação Duplas'!$D$8:$D$17,MATCH(D581,'🔄 Rotação Duplas'!$C$8:$C$17,0)),INDEX('🔄 Rotação Duplas'!$C$8:$C$17,MATCH(D581,'🔄 Rotação Duplas'!$D$8:$D$17,0))),"Semana 2",IFERROR(INDEX('🔄 Rotação Duplas'!$D$22:$D$31,MATCH(D581,'🔄 Rotação Duplas'!$C$22:$C$31,0)),INDEX('🔄 Rotação Duplas'!$C$22:$C$31,MATCH(D581,'🔄 Rotação Duplas'!$D$22:$D$31,0))),"Semana 3",IFERROR(INDEX('🔄 Rotação Duplas'!$D$36:$D$45,MATCH(D581,'🔄 Rotação Duplas'!$C$36:$C$45,0)),INDEX('🔄 Rotação Duplas'!$C$36:$C$45,MATCH(D581,'🔄 Rotação Duplas'!$D$36:$D$45,0))),"Semana 4",IFERROR(INDEX('🔄 Rotação Duplas'!$D$50:$D$59,MATCH(D581,'🔄 Rotação Duplas'!$C$50:$C$59,0)),INDEX('🔄 Rotação Duplas'!$C$50:$C$59,MATCH(D581,'🔄 Rotação Duplas'!$D$50:$D$59,0))),"Semana 5",IFERROR(INDEX('🔄 Rotação Duplas'!$D$64:$D$73,MATCH(D581,'🔄 Rotação Duplas'!$C$64:$C$73,0)),INDEX('🔄 Rotação Duplas'!$C$64:$C$73,MATCH(D581,'🔄 Rotação Duplas'!$D$64:$D$73,0))),"Semana 6",IFERROR(INDEX('🔄 Rotação Duplas'!$D$78:$D$87,MATCH(D581,'🔄 Rotação Duplas'!$C$78:$C$87,0)),INDEX('🔄 Rotação Duplas'!$C$78:$C$87,MATCH(D581,'🔄 Rotação Duplas'!$D$78:$D$87,0))),"Semana 7",IFERROR(INDEX('🔄 Rotação Duplas'!$D$92:$D$101,MATCH(D581,'🔄 Rotação Duplas'!$C$92:$C$101,0)),INDEX('🔄 Rotação Duplas'!$C$92:$C$101,MATCH(D581,'🔄 Rotação Duplas'!$D$92:$D$101,0))),"Semana 8",IFERROR(INDEX('🔄 Rotação Duplas'!$D$106:$D$115,MATCH(D581,'🔄 Rotação Duplas'!$C$106:$C$115,0)),INDEX('🔄 Rotação Duplas'!$C$106:$C$115,MATCH(D581,'🔄 Rotação Duplas'!$D$106:$D$115,0)))),""))</f>
        <v/>
      </c>
      <c r="T581">
        <f t="shared" si="46"/>
        <v>0</v>
      </c>
    </row>
    <row r="582" spans="2:20" ht="18" customHeight="1" x14ac:dyDescent="0.2">
      <c r="B582" s="85" t="s">
        <v>132</v>
      </c>
      <c r="C582" s="86" t="str">
        <f t="shared" si="49"/>
        <v>Desafio 29</v>
      </c>
      <c r="D582" s="87" t="str">
        <f>'⚙️ Configuração'!C45</f>
        <v>Rita Carmo</v>
      </c>
      <c r="E582" s="50">
        <v>0</v>
      </c>
      <c r="F582" s="50">
        <v>0</v>
      </c>
      <c r="G582" s="50">
        <v>0</v>
      </c>
      <c r="H582" s="50">
        <v>0</v>
      </c>
      <c r="I582" s="50">
        <v>0</v>
      </c>
      <c r="J582" s="89">
        <v>0</v>
      </c>
      <c r="K582" s="81">
        <f>(E582*'⚙️ Configuração'!$C$6+F582*'⚙️ Configuração'!$C$7+G582*'⚙️ Configuração'!$C$8+H582*'⚙️ Configuração'!$C$9+I582*'⚙️ Configuração'!$C$10+J582*'⚙️ Configuração'!$C$11)*IF(N582="S",2,1)</f>
        <v>0</v>
      </c>
      <c r="L582" s="90" t="s">
        <v>167</v>
      </c>
      <c r="M582" s="82">
        <f>IF(L582="AT1",'⚙️ Configuração'!$C$14,IF(L582="AT2",'⚙️ Configuração'!$C$15,IF(L582="FI",'⚙️ Configuração'!$C$16,IF(L582="FJ",'⚙️ Configuração'!$C$17,0))))</f>
        <v>0</v>
      </c>
      <c r="N582" s="91" t="s">
        <v>167</v>
      </c>
      <c r="O582" s="92"/>
      <c r="P582" s="83">
        <f>IF(O582="1",'⚙️ Configuração'!$C$21,IF(O582="2",'⚙️ Configuração'!$C$22,IF(O582="3",'⚙️ Configuração'!$C$23,IF(O582="Outro",'⚙️ Configuração'!$C$24,0))))</f>
        <v>0</v>
      </c>
      <c r="Q582" s="84">
        <f t="shared" si="45"/>
        <v>0</v>
      </c>
      <c r="R582" s="40" t="str">
        <f t="shared" si="44"/>
        <v>Semana 1 — ver 🔄</v>
      </c>
      <c r="S582" t="str" cm="1">
        <f t="array" ref="S582">IF(D582="","",IFERROR(_xlfn.SWITCH(B582,"Semana 1",IFERROR(INDEX('🔄 Rotação Duplas'!$D$8:$D$17,MATCH(D582,'🔄 Rotação Duplas'!$C$8:$C$17,0)),INDEX('🔄 Rotação Duplas'!$C$8:$C$17,MATCH(D582,'🔄 Rotação Duplas'!$D$8:$D$17,0))),"Semana 2",IFERROR(INDEX('🔄 Rotação Duplas'!$D$22:$D$31,MATCH(D582,'🔄 Rotação Duplas'!$C$22:$C$31,0)),INDEX('🔄 Rotação Duplas'!$C$22:$C$31,MATCH(D582,'🔄 Rotação Duplas'!$D$22:$D$31,0))),"Semana 3",IFERROR(INDEX('🔄 Rotação Duplas'!$D$36:$D$45,MATCH(D582,'🔄 Rotação Duplas'!$C$36:$C$45,0)),INDEX('🔄 Rotação Duplas'!$C$36:$C$45,MATCH(D582,'🔄 Rotação Duplas'!$D$36:$D$45,0))),"Semana 4",IFERROR(INDEX('🔄 Rotação Duplas'!$D$50:$D$59,MATCH(D582,'🔄 Rotação Duplas'!$C$50:$C$59,0)),INDEX('🔄 Rotação Duplas'!$C$50:$C$59,MATCH(D582,'🔄 Rotação Duplas'!$D$50:$D$59,0))),"Semana 5",IFERROR(INDEX('🔄 Rotação Duplas'!$D$64:$D$73,MATCH(D582,'🔄 Rotação Duplas'!$C$64:$C$73,0)),INDEX('🔄 Rotação Duplas'!$C$64:$C$73,MATCH(D582,'🔄 Rotação Duplas'!$D$64:$D$73,0))),"Semana 6",IFERROR(INDEX('🔄 Rotação Duplas'!$D$78:$D$87,MATCH(D582,'🔄 Rotação Duplas'!$C$78:$C$87,0)),INDEX('🔄 Rotação Duplas'!$C$78:$C$87,MATCH(D582,'🔄 Rotação Duplas'!$D$78:$D$87,0))),"Semana 7",IFERROR(INDEX('🔄 Rotação Duplas'!$D$92:$D$101,MATCH(D582,'🔄 Rotação Duplas'!$C$92:$C$101,0)),INDEX('🔄 Rotação Duplas'!$C$92:$C$101,MATCH(D582,'🔄 Rotação Duplas'!$D$92:$D$101,0))),"Semana 8",IFERROR(INDEX('🔄 Rotação Duplas'!$D$106:$D$115,MATCH(D582,'🔄 Rotação Duplas'!$C$106:$C$115,0)),INDEX('🔄 Rotação Duplas'!$C$106:$C$115,MATCH(D582,'🔄 Rotação Duplas'!$D$106:$D$115,0)))),""))</f>
        <v/>
      </c>
      <c r="T582">
        <f t="shared" si="46"/>
        <v>0</v>
      </c>
    </row>
    <row r="583" spans="2:20" ht="18" customHeight="1" x14ac:dyDescent="0.2">
      <c r="B583" s="78" t="s">
        <v>132</v>
      </c>
      <c r="C583" s="79" t="str">
        <f t="shared" si="49"/>
        <v>Desafio 29</v>
      </c>
      <c r="D583" s="80" t="str">
        <f>'⚙️ Configuração'!C46</f>
        <v>William Fernandes</v>
      </c>
      <c r="E583" s="50">
        <v>0</v>
      </c>
      <c r="F583" s="50">
        <v>0</v>
      </c>
      <c r="G583" s="50">
        <v>0</v>
      </c>
      <c r="H583" s="50">
        <v>0</v>
      </c>
      <c r="I583" s="50">
        <v>0</v>
      </c>
      <c r="J583" s="89">
        <v>0</v>
      </c>
      <c r="K583" s="81">
        <f>(E583*'⚙️ Configuração'!$C$6+F583*'⚙️ Configuração'!$C$7+G583*'⚙️ Configuração'!$C$8+H583*'⚙️ Configuração'!$C$9+I583*'⚙️ Configuração'!$C$10+J583*'⚙️ Configuração'!$C$11)*IF(N583="S",2,1)</f>
        <v>0</v>
      </c>
      <c r="L583" s="90" t="s">
        <v>167</v>
      </c>
      <c r="M583" s="82">
        <f>IF(L583="AT1",'⚙️ Configuração'!$C$14,IF(L583="AT2",'⚙️ Configuração'!$C$15,IF(L583="FI",'⚙️ Configuração'!$C$16,IF(L583="FJ",'⚙️ Configuração'!$C$17,0))))</f>
        <v>0</v>
      </c>
      <c r="N583" s="91" t="s">
        <v>167</v>
      </c>
      <c r="O583" s="92"/>
      <c r="P583" s="83">
        <f>IF(O583="1",'⚙️ Configuração'!$C$21,IF(O583="2",'⚙️ Configuração'!$C$22,IF(O583="3",'⚙️ Configuração'!$C$23,IF(O583="Outro",'⚙️ Configuração'!$C$24,0))))</f>
        <v>0</v>
      </c>
      <c r="Q583" s="84">
        <f t="shared" si="45"/>
        <v>0</v>
      </c>
      <c r="R583" s="40" t="str">
        <f t="shared" si="44"/>
        <v>Semana 1 — ver 🔄</v>
      </c>
      <c r="S583" t="str" cm="1">
        <f t="array" ref="S583">IF(D583="","",IFERROR(_xlfn.SWITCH(B583,"Semana 1",IFERROR(INDEX('🔄 Rotação Duplas'!$D$8:$D$17,MATCH(D583,'🔄 Rotação Duplas'!$C$8:$C$17,0)),INDEX('🔄 Rotação Duplas'!$C$8:$C$17,MATCH(D583,'🔄 Rotação Duplas'!$D$8:$D$17,0))),"Semana 2",IFERROR(INDEX('🔄 Rotação Duplas'!$D$22:$D$31,MATCH(D583,'🔄 Rotação Duplas'!$C$22:$C$31,0)),INDEX('🔄 Rotação Duplas'!$C$22:$C$31,MATCH(D583,'🔄 Rotação Duplas'!$D$22:$D$31,0))),"Semana 3",IFERROR(INDEX('🔄 Rotação Duplas'!$D$36:$D$45,MATCH(D583,'🔄 Rotação Duplas'!$C$36:$C$45,0)),INDEX('🔄 Rotação Duplas'!$C$36:$C$45,MATCH(D583,'🔄 Rotação Duplas'!$D$36:$D$45,0))),"Semana 4",IFERROR(INDEX('🔄 Rotação Duplas'!$D$50:$D$59,MATCH(D583,'🔄 Rotação Duplas'!$C$50:$C$59,0)),INDEX('🔄 Rotação Duplas'!$C$50:$C$59,MATCH(D583,'🔄 Rotação Duplas'!$D$50:$D$59,0))),"Semana 5",IFERROR(INDEX('🔄 Rotação Duplas'!$D$64:$D$73,MATCH(D583,'🔄 Rotação Duplas'!$C$64:$C$73,0)),INDEX('🔄 Rotação Duplas'!$C$64:$C$73,MATCH(D583,'🔄 Rotação Duplas'!$D$64:$D$73,0))),"Semana 6",IFERROR(INDEX('🔄 Rotação Duplas'!$D$78:$D$87,MATCH(D583,'🔄 Rotação Duplas'!$C$78:$C$87,0)),INDEX('🔄 Rotação Duplas'!$C$78:$C$87,MATCH(D583,'🔄 Rotação Duplas'!$D$78:$D$87,0))),"Semana 7",IFERROR(INDEX('🔄 Rotação Duplas'!$D$92:$D$101,MATCH(D583,'🔄 Rotação Duplas'!$C$92:$C$101,0)),INDEX('🔄 Rotação Duplas'!$C$92:$C$101,MATCH(D583,'🔄 Rotação Duplas'!$D$92:$D$101,0))),"Semana 8",IFERROR(INDEX('🔄 Rotação Duplas'!$D$106:$D$115,MATCH(D583,'🔄 Rotação Duplas'!$C$106:$C$115,0)),INDEX('🔄 Rotação Duplas'!$C$106:$C$115,MATCH(D583,'🔄 Rotação Duplas'!$D$106:$D$115,0)))),""))</f>
        <v/>
      </c>
      <c r="T583">
        <f t="shared" si="46"/>
        <v>0</v>
      </c>
    </row>
    <row r="584" spans="2:20" ht="18" customHeight="1" x14ac:dyDescent="0.2">
      <c r="B584" s="85" t="s">
        <v>132</v>
      </c>
      <c r="C584" s="86" t="str">
        <f t="shared" si="49"/>
        <v>Desafio 29</v>
      </c>
      <c r="D584" s="87" t="str">
        <f>'⚙️ Configuração'!C47</f>
        <v>-</v>
      </c>
      <c r="E584" s="50">
        <v>0</v>
      </c>
      <c r="F584" s="50">
        <v>0</v>
      </c>
      <c r="G584" s="50">
        <v>0</v>
      </c>
      <c r="H584" s="50">
        <v>0</v>
      </c>
      <c r="I584" s="50">
        <v>0</v>
      </c>
      <c r="J584" s="89">
        <v>0</v>
      </c>
      <c r="K584" s="81">
        <f>(E584*'⚙️ Configuração'!$C$6+F584*'⚙️ Configuração'!$C$7+G584*'⚙️ Configuração'!$C$8+H584*'⚙️ Configuração'!$C$9+I584*'⚙️ Configuração'!$C$10+J584*'⚙️ Configuração'!$C$11)*IF(N584="S",2,1)</f>
        <v>0</v>
      </c>
      <c r="L584" s="90" t="s">
        <v>167</v>
      </c>
      <c r="M584" s="82">
        <f>IF(L584="AT1",'⚙️ Configuração'!$C$14,IF(L584="AT2",'⚙️ Configuração'!$C$15,IF(L584="FI",'⚙️ Configuração'!$C$16,IF(L584="FJ",'⚙️ Configuração'!$C$17,0))))</f>
        <v>0</v>
      </c>
      <c r="N584" s="91" t="s">
        <v>167</v>
      </c>
      <c r="O584" s="92"/>
      <c r="P584" s="83">
        <f>IF(O584="1",'⚙️ Configuração'!$C$21,IF(O584="2",'⚙️ Configuração'!$C$22,IF(O584="3",'⚙️ Configuração'!$C$23,IF(O584="Outro",'⚙️ Configuração'!$C$24,0))))</f>
        <v>0</v>
      </c>
      <c r="Q584" s="84">
        <f t="shared" ref="Q584:Q646" si="50">K584+M584+P584</f>
        <v>0</v>
      </c>
      <c r="R584" s="40" t="str">
        <f t="shared" si="44"/>
        <v>Semana 1 — ver 🔄</v>
      </c>
      <c r="S584" t="str" cm="1">
        <f t="array" ref="S584">IF(D584="","",IFERROR(_xlfn.SWITCH(B584,"Semana 1",IFERROR(INDEX('🔄 Rotação Duplas'!$D$8:$D$17,MATCH(D584,'🔄 Rotação Duplas'!$C$8:$C$17,0)),INDEX('🔄 Rotação Duplas'!$C$8:$C$17,MATCH(D584,'🔄 Rotação Duplas'!$D$8:$D$17,0))),"Semana 2",IFERROR(INDEX('🔄 Rotação Duplas'!$D$22:$D$31,MATCH(D584,'🔄 Rotação Duplas'!$C$22:$C$31,0)),INDEX('🔄 Rotação Duplas'!$C$22:$C$31,MATCH(D584,'🔄 Rotação Duplas'!$D$22:$D$31,0))),"Semana 3",IFERROR(INDEX('🔄 Rotação Duplas'!$D$36:$D$45,MATCH(D584,'🔄 Rotação Duplas'!$C$36:$C$45,0)),INDEX('🔄 Rotação Duplas'!$C$36:$C$45,MATCH(D584,'🔄 Rotação Duplas'!$D$36:$D$45,0))),"Semana 4",IFERROR(INDEX('🔄 Rotação Duplas'!$D$50:$D$59,MATCH(D584,'🔄 Rotação Duplas'!$C$50:$C$59,0)),INDEX('🔄 Rotação Duplas'!$C$50:$C$59,MATCH(D584,'🔄 Rotação Duplas'!$D$50:$D$59,0))),"Semana 5",IFERROR(INDEX('🔄 Rotação Duplas'!$D$64:$D$73,MATCH(D584,'🔄 Rotação Duplas'!$C$64:$C$73,0)),INDEX('🔄 Rotação Duplas'!$C$64:$C$73,MATCH(D584,'🔄 Rotação Duplas'!$D$64:$D$73,0))),"Semana 6",IFERROR(INDEX('🔄 Rotação Duplas'!$D$78:$D$87,MATCH(D584,'🔄 Rotação Duplas'!$C$78:$C$87,0)),INDEX('🔄 Rotação Duplas'!$C$78:$C$87,MATCH(D584,'🔄 Rotação Duplas'!$D$78:$D$87,0))),"Semana 7",IFERROR(INDEX('🔄 Rotação Duplas'!$D$92:$D$101,MATCH(D584,'🔄 Rotação Duplas'!$C$92:$C$101,0)),INDEX('🔄 Rotação Duplas'!$C$92:$C$101,MATCH(D584,'🔄 Rotação Duplas'!$D$92:$D$101,0))),"Semana 8",IFERROR(INDEX('🔄 Rotação Duplas'!$D$106:$D$115,MATCH(D584,'🔄 Rotação Duplas'!$C$106:$C$115,0)),INDEX('🔄 Rotação Duplas'!$C$106:$C$115,MATCH(D584,'🔄 Rotação Duplas'!$D$106:$D$115,0)))),""))</f>
        <v/>
      </c>
      <c r="T584">
        <f t="shared" ref="T584:T646" si="51">IF(OR(D584="",D584="-",S584="",S584="-"),0,COUNTIFS($B$7:$B$646,B584,$D$7:$D$646,D584,$N$7:$N$646,"S")+COUNTIFS($B$7:$B$646,B584,$D$7:$D$646,S584,$N$7:$N$646,"S"))</f>
        <v>0</v>
      </c>
    </row>
    <row r="585" spans="2:20" ht="18" customHeight="1" x14ac:dyDescent="0.2">
      <c r="B585" s="78" t="s">
        <v>132</v>
      </c>
      <c r="C585" s="79" t="str">
        <f t="shared" si="49"/>
        <v>Desafio 29</v>
      </c>
      <c r="D585" s="80" t="str">
        <f>'⚙️ Configuração'!C48</f>
        <v>-</v>
      </c>
      <c r="E585" s="50">
        <v>0</v>
      </c>
      <c r="F585" s="50">
        <v>0</v>
      </c>
      <c r="G585" s="50">
        <v>0</v>
      </c>
      <c r="H585" s="50">
        <v>0</v>
      </c>
      <c r="I585" s="50">
        <v>0</v>
      </c>
      <c r="J585" s="89">
        <v>0</v>
      </c>
      <c r="K585" s="81">
        <f>(E585*'⚙️ Configuração'!$C$6+F585*'⚙️ Configuração'!$C$7+G585*'⚙️ Configuração'!$C$8+H585*'⚙️ Configuração'!$C$9+I585*'⚙️ Configuração'!$C$10+J585*'⚙️ Configuração'!$C$11)*IF(N585="S",2,1)</f>
        <v>0</v>
      </c>
      <c r="L585" s="90" t="s">
        <v>167</v>
      </c>
      <c r="M585" s="82">
        <f>IF(L585="AT1",'⚙️ Configuração'!$C$14,IF(L585="AT2",'⚙️ Configuração'!$C$15,IF(L585="FI",'⚙️ Configuração'!$C$16,IF(L585="FJ",'⚙️ Configuração'!$C$17,0))))</f>
        <v>0</v>
      </c>
      <c r="N585" s="91" t="s">
        <v>167</v>
      </c>
      <c r="O585" s="92"/>
      <c r="P585" s="83">
        <f>IF(O585="1",'⚙️ Configuração'!$C$21,IF(O585="2",'⚙️ Configuração'!$C$22,IF(O585="3",'⚙️ Configuração'!$C$23,IF(O585="Outro",'⚙️ Configuração'!$C$24,0))))</f>
        <v>0</v>
      </c>
      <c r="Q585" s="84">
        <f t="shared" si="50"/>
        <v>0</v>
      </c>
      <c r="R585" s="40" t="str">
        <f t="shared" si="44"/>
        <v>Semana 1 — ver 🔄</v>
      </c>
      <c r="S585" t="str" cm="1">
        <f t="array" ref="S585">IF(D585="","",IFERROR(_xlfn.SWITCH(B585,"Semana 1",IFERROR(INDEX('🔄 Rotação Duplas'!$D$8:$D$17,MATCH(D585,'🔄 Rotação Duplas'!$C$8:$C$17,0)),INDEX('🔄 Rotação Duplas'!$C$8:$C$17,MATCH(D585,'🔄 Rotação Duplas'!$D$8:$D$17,0))),"Semana 2",IFERROR(INDEX('🔄 Rotação Duplas'!$D$22:$D$31,MATCH(D585,'🔄 Rotação Duplas'!$C$22:$C$31,0)),INDEX('🔄 Rotação Duplas'!$C$22:$C$31,MATCH(D585,'🔄 Rotação Duplas'!$D$22:$D$31,0))),"Semana 3",IFERROR(INDEX('🔄 Rotação Duplas'!$D$36:$D$45,MATCH(D585,'🔄 Rotação Duplas'!$C$36:$C$45,0)),INDEX('🔄 Rotação Duplas'!$C$36:$C$45,MATCH(D585,'🔄 Rotação Duplas'!$D$36:$D$45,0))),"Semana 4",IFERROR(INDEX('🔄 Rotação Duplas'!$D$50:$D$59,MATCH(D585,'🔄 Rotação Duplas'!$C$50:$C$59,0)),INDEX('🔄 Rotação Duplas'!$C$50:$C$59,MATCH(D585,'🔄 Rotação Duplas'!$D$50:$D$59,0))),"Semana 5",IFERROR(INDEX('🔄 Rotação Duplas'!$D$64:$D$73,MATCH(D585,'🔄 Rotação Duplas'!$C$64:$C$73,0)),INDEX('🔄 Rotação Duplas'!$C$64:$C$73,MATCH(D585,'🔄 Rotação Duplas'!$D$64:$D$73,0))),"Semana 6",IFERROR(INDEX('🔄 Rotação Duplas'!$D$78:$D$87,MATCH(D585,'🔄 Rotação Duplas'!$C$78:$C$87,0)),INDEX('🔄 Rotação Duplas'!$C$78:$C$87,MATCH(D585,'🔄 Rotação Duplas'!$D$78:$D$87,0))),"Semana 7",IFERROR(INDEX('🔄 Rotação Duplas'!$D$92:$D$101,MATCH(D585,'🔄 Rotação Duplas'!$C$92:$C$101,0)),INDEX('🔄 Rotação Duplas'!$C$92:$C$101,MATCH(D585,'🔄 Rotação Duplas'!$D$92:$D$101,0))),"Semana 8",IFERROR(INDEX('🔄 Rotação Duplas'!$D$106:$D$115,MATCH(D585,'🔄 Rotação Duplas'!$C$106:$C$115,0)),INDEX('🔄 Rotação Duplas'!$C$106:$C$115,MATCH(D585,'🔄 Rotação Duplas'!$D$106:$D$115,0)))),""))</f>
        <v/>
      </c>
      <c r="T585">
        <f t="shared" si="51"/>
        <v>0</v>
      </c>
    </row>
    <row r="586" spans="2:20" ht="18" customHeight="1" x14ac:dyDescent="0.2">
      <c r="B586" s="85" t="s">
        <v>132</v>
      </c>
      <c r="C586" s="86" t="str">
        <f t="shared" si="49"/>
        <v>Desafio 29</v>
      </c>
      <c r="D586" s="87" t="str">
        <f>'⚙️ Configuração'!C49</f>
        <v>-</v>
      </c>
      <c r="E586" s="50">
        <v>0</v>
      </c>
      <c r="F586" s="50">
        <v>0</v>
      </c>
      <c r="G586" s="50">
        <v>0</v>
      </c>
      <c r="H586" s="50">
        <v>0</v>
      </c>
      <c r="I586" s="50">
        <v>0</v>
      </c>
      <c r="J586" s="89">
        <v>0</v>
      </c>
      <c r="K586" s="81">
        <f>(E586*'⚙️ Configuração'!$C$6+F586*'⚙️ Configuração'!$C$7+G586*'⚙️ Configuração'!$C$8+H586*'⚙️ Configuração'!$C$9+I586*'⚙️ Configuração'!$C$10+J586*'⚙️ Configuração'!$C$11)*IF(N586="S",2,1)</f>
        <v>0</v>
      </c>
      <c r="L586" s="90" t="s">
        <v>167</v>
      </c>
      <c r="M586" s="82">
        <f>IF(L586="AT1",'⚙️ Configuração'!$C$14,IF(L586="AT2",'⚙️ Configuração'!$C$15,IF(L586="FI",'⚙️ Configuração'!$C$16,IF(L586="FJ",'⚙️ Configuração'!$C$17,0))))</f>
        <v>0</v>
      </c>
      <c r="N586" s="91" t="s">
        <v>167</v>
      </c>
      <c r="O586" s="92"/>
      <c r="P586" s="83">
        <f>IF(O586="1",'⚙️ Configuração'!$C$21,IF(O586="2",'⚙️ Configuração'!$C$22,IF(O586="3",'⚙️ Configuração'!$C$23,IF(O586="Outro",'⚙️ Configuração'!$C$24,0))))</f>
        <v>0</v>
      </c>
      <c r="Q586" s="84">
        <f t="shared" si="50"/>
        <v>0</v>
      </c>
      <c r="R586" s="40" t="str">
        <f t="shared" si="44"/>
        <v>Semana 1 — ver 🔄</v>
      </c>
      <c r="S586" t="str" cm="1">
        <f t="array" ref="S586">IF(D586="","",IFERROR(_xlfn.SWITCH(B586,"Semana 1",IFERROR(INDEX('🔄 Rotação Duplas'!$D$8:$D$17,MATCH(D586,'🔄 Rotação Duplas'!$C$8:$C$17,0)),INDEX('🔄 Rotação Duplas'!$C$8:$C$17,MATCH(D586,'🔄 Rotação Duplas'!$D$8:$D$17,0))),"Semana 2",IFERROR(INDEX('🔄 Rotação Duplas'!$D$22:$D$31,MATCH(D586,'🔄 Rotação Duplas'!$C$22:$C$31,0)),INDEX('🔄 Rotação Duplas'!$C$22:$C$31,MATCH(D586,'🔄 Rotação Duplas'!$D$22:$D$31,0))),"Semana 3",IFERROR(INDEX('🔄 Rotação Duplas'!$D$36:$D$45,MATCH(D586,'🔄 Rotação Duplas'!$C$36:$C$45,0)),INDEX('🔄 Rotação Duplas'!$C$36:$C$45,MATCH(D586,'🔄 Rotação Duplas'!$D$36:$D$45,0))),"Semana 4",IFERROR(INDEX('🔄 Rotação Duplas'!$D$50:$D$59,MATCH(D586,'🔄 Rotação Duplas'!$C$50:$C$59,0)),INDEX('🔄 Rotação Duplas'!$C$50:$C$59,MATCH(D586,'🔄 Rotação Duplas'!$D$50:$D$59,0))),"Semana 5",IFERROR(INDEX('🔄 Rotação Duplas'!$D$64:$D$73,MATCH(D586,'🔄 Rotação Duplas'!$C$64:$C$73,0)),INDEX('🔄 Rotação Duplas'!$C$64:$C$73,MATCH(D586,'🔄 Rotação Duplas'!$D$64:$D$73,0))),"Semana 6",IFERROR(INDEX('🔄 Rotação Duplas'!$D$78:$D$87,MATCH(D586,'🔄 Rotação Duplas'!$C$78:$C$87,0)),INDEX('🔄 Rotação Duplas'!$C$78:$C$87,MATCH(D586,'🔄 Rotação Duplas'!$D$78:$D$87,0))),"Semana 7",IFERROR(INDEX('🔄 Rotação Duplas'!$D$92:$D$101,MATCH(D586,'🔄 Rotação Duplas'!$C$92:$C$101,0)),INDEX('🔄 Rotação Duplas'!$C$92:$C$101,MATCH(D586,'🔄 Rotação Duplas'!$D$92:$D$101,0))),"Semana 8",IFERROR(INDEX('🔄 Rotação Duplas'!$D$106:$D$115,MATCH(D586,'🔄 Rotação Duplas'!$C$106:$C$115,0)),INDEX('🔄 Rotação Duplas'!$C$106:$C$115,MATCH(D586,'🔄 Rotação Duplas'!$D$106:$D$115,0)))),""))</f>
        <v/>
      </c>
      <c r="T586">
        <f t="shared" si="51"/>
        <v>0</v>
      </c>
    </row>
    <row r="587" spans="2:20" ht="18" customHeight="1" x14ac:dyDescent="0.2">
      <c r="B587" s="78" t="s">
        <v>132</v>
      </c>
      <c r="C587" s="79" t="str">
        <f t="shared" ref="C587:C606" si="52">"Desafio 30"</f>
        <v>Desafio 30</v>
      </c>
      <c r="D587" s="80" t="str">
        <f>'⚙️ Configuração'!C30</f>
        <v>Carla Cantante</v>
      </c>
      <c r="E587" s="50">
        <v>0</v>
      </c>
      <c r="F587" s="50">
        <v>0</v>
      </c>
      <c r="G587" s="50">
        <v>0</v>
      </c>
      <c r="H587" s="50">
        <v>0</v>
      </c>
      <c r="I587" s="50">
        <v>0</v>
      </c>
      <c r="J587" s="89">
        <v>0</v>
      </c>
      <c r="K587" s="81">
        <f>(E587*'⚙️ Configuração'!$C$6+F587*'⚙️ Configuração'!$C$7+G587*'⚙️ Configuração'!$C$8+H587*'⚙️ Configuração'!$C$9+I587*'⚙️ Configuração'!$C$10+J587*'⚙️ Configuração'!$C$11)*IF(N587="S",2,1)</f>
        <v>0</v>
      </c>
      <c r="L587" s="90" t="s">
        <v>167</v>
      </c>
      <c r="M587" s="82">
        <f>IF(L587="AT1",'⚙️ Configuração'!$C$14,IF(L587="AT2",'⚙️ Configuração'!$C$15,IF(L587="FI",'⚙️ Configuração'!$C$16,IF(L587="FJ",'⚙️ Configuração'!$C$17,0))))</f>
        <v>0</v>
      </c>
      <c r="N587" s="91" t="s">
        <v>167</v>
      </c>
      <c r="O587" s="92"/>
      <c r="P587" s="83">
        <f>IF(O587="1",'⚙️ Configuração'!$C$21,IF(O587="2",'⚙️ Configuração'!$C$22,IF(O587="3",'⚙️ Configuração'!$C$23,IF(O587="Outro",'⚙️ Configuração'!$C$24,0))))</f>
        <v>0</v>
      </c>
      <c r="Q587" s="84">
        <f t="shared" si="50"/>
        <v>0</v>
      </c>
      <c r="R587" s="40" t="str">
        <f t="shared" si="44"/>
        <v>Semana 1 — ver 🔄</v>
      </c>
      <c r="S587" t="str" cm="1">
        <f t="array" ref="S587">IF(D587="","",IFERROR(_xlfn.SWITCH(B587,"Semana 1",IFERROR(INDEX('🔄 Rotação Duplas'!$D$8:$D$17,MATCH(D587,'🔄 Rotação Duplas'!$C$8:$C$17,0)),INDEX('🔄 Rotação Duplas'!$C$8:$C$17,MATCH(D587,'🔄 Rotação Duplas'!$D$8:$D$17,0))),"Semana 2",IFERROR(INDEX('🔄 Rotação Duplas'!$D$22:$D$31,MATCH(D587,'🔄 Rotação Duplas'!$C$22:$C$31,0)),INDEX('🔄 Rotação Duplas'!$C$22:$C$31,MATCH(D587,'🔄 Rotação Duplas'!$D$22:$D$31,0))),"Semana 3",IFERROR(INDEX('🔄 Rotação Duplas'!$D$36:$D$45,MATCH(D587,'🔄 Rotação Duplas'!$C$36:$C$45,0)),INDEX('🔄 Rotação Duplas'!$C$36:$C$45,MATCH(D587,'🔄 Rotação Duplas'!$D$36:$D$45,0))),"Semana 4",IFERROR(INDEX('🔄 Rotação Duplas'!$D$50:$D$59,MATCH(D587,'🔄 Rotação Duplas'!$C$50:$C$59,0)),INDEX('🔄 Rotação Duplas'!$C$50:$C$59,MATCH(D587,'🔄 Rotação Duplas'!$D$50:$D$59,0))),"Semana 5",IFERROR(INDEX('🔄 Rotação Duplas'!$D$64:$D$73,MATCH(D587,'🔄 Rotação Duplas'!$C$64:$C$73,0)),INDEX('🔄 Rotação Duplas'!$C$64:$C$73,MATCH(D587,'🔄 Rotação Duplas'!$D$64:$D$73,0))),"Semana 6",IFERROR(INDEX('🔄 Rotação Duplas'!$D$78:$D$87,MATCH(D587,'🔄 Rotação Duplas'!$C$78:$C$87,0)),INDEX('🔄 Rotação Duplas'!$C$78:$C$87,MATCH(D587,'🔄 Rotação Duplas'!$D$78:$D$87,0))),"Semana 7",IFERROR(INDEX('🔄 Rotação Duplas'!$D$92:$D$101,MATCH(D587,'🔄 Rotação Duplas'!$C$92:$C$101,0)),INDEX('🔄 Rotação Duplas'!$C$92:$C$101,MATCH(D587,'🔄 Rotação Duplas'!$D$92:$D$101,0))),"Semana 8",IFERROR(INDEX('🔄 Rotação Duplas'!$D$106:$D$115,MATCH(D587,'🔄 Rotação Duplas'!$C$106:$C$115,0)),INDEX('🔄 Rotação Duplas'!$C$106:$C$115,MATCH(D587,'🔄 Rotação Duplas'!$D$106:$D$115,0)))),""))</f>
        <v/>
      </c>
      <c r="T587">
        <f t="shared" si="51"/>
        <v>0</v>
      </c>
    </row>
    <row r="588" spans="2:20" ht="18" customHeight="1" x14ac:dyDescent="0.2">
      <c r="B588" s="85" t="s">
        <v>132</v>
      </c>
      <c r="C588" s="86" t="str">
        <f t="shared" si="52"/>
        <v>Desafio 30</v>
      </c>
      <c r="D588" s="87" t="str">
        <f>'⚙️ Configuração'!C31</f>
        <v>Elisabete Mendes</v>
      </c>
      <c r="E588" s="50">
        <v>0</v>
      </c>
      <c r="F588" s="50">
        <v>0</v>
      </c>
      <c r="G588" s="50">
        <v>0</v>
      </c>
      <c r="H588" s="50">
        <v>0</v>
      </c>
      <c r="I588" s="50">
        <v>0</v>
      </c>
      <c r="J588" s="89">
        <v>0</v>
      </c>
      <c r="K588" s="81">
        <f>(E588*'⚙️ Configuração'!$C$6+F588*'⚙️ Configuração'!$C$7+G588*'⚙️ Configuração'!$C$8+H588*'⚙️ Configuração'!$C$9+I588*'⚙️ Configuração'!$C$10+J588*'⚙️ Configuração'!$C$11)*IF(N588="S",2,1)</f>
        <v>0</v>
      </c>
      <c r="L588" s="90" t="s">
        <v>167</v>
      </c>
      <c r="M588" s="82">
        <f>IF(L588="AT1",'⚙️ Configuração'!$C$14,IF(L588="AT2",'⚙️ Configuração'!$C$15,IF(L588="FI",'⚙️ Configuração'!$C$16,IF(L588="FJ",'⚙️ Configuração'!$C$17,0))))</f>
        <v>0</v>
      </c>
      <c r="N588" s="91" t="s">
        <v>167</v>
      </c>
      <c r="O588" s="92"/>
      <c r="P588" s="83">
        <f>IF(O588="1",'⚙️ Configuração'!$C$21,IF(O588="2",'⚙️ Configuração'!$C$22,IF(O588="3",'⚙️ Configuração'!$C$23,IF(O588="Outro",'⚙️ Configuração'!$C$24,0))))</f>
        <v>0</v>
      </c>
      <c r="Q588" s="84">
        <f t="shared" si="50"/>
        <v>0</v>
      </c>
      <c r="R588" s="40" t="str">
        <f t="shared" si="44"/>
        <v>Semana 1 — ver 🔄</v>
      </c>
      <c r="S588" t="str" cm="1">
        <f t="array" ref="S588">IF(D588="","",IFERROR(_xlfn.SWITCH(B588,"Semana 1",IFERROR(INDEX('🔄 Rotação Duplas'!$D$8:$D$17,MATCH(D588,'🔄 Rotação Duplas'!$C$8:$C$17,0)),INDEX('🔄 Rotação Duplas'!$C$8:$C$17,MATCH(D588,'🔄 Rotação Duplas'!$D$8:$D$17,0))),"Semana 2",IFERROR(INDEX('🔄 Rotação Duplas'!$D$22:$D$31,MATCH(D588,'🔄 Rotação Duplas'!$C$22:$C$31,0)),INDEX('🔄 Rotação Duplas'!$C$22:$C$31,MATCH(D588,'🔄 Rotação Duplas'!$D$22:$D$31,0))),"Semana 3",IFERROR(INDEX('🔄 Rotação Duplas'!$D$36:$D$45,MATCH(D588,'🔄 Rotação Duplas'!$C$36:$C$45,0)),INDEX('🔄 Rotação Duplas'!$C$36:$C$45,MATCH(D588,'🔄 Rotação Duplas'!$D$36:$D$45,0))),"Semana 4",IFERROR(INDEX('🔄 Rotação Duplas'!$D$50:$D$59,MATCH(D588,'🔄 Rotação Duplas'!$C$50:$C$59,0)),INDEX('🔄 Rotação Duplas'!$C$50:$C$59,MATCH(D588,'🔄 Rotação Duplas'!$D$50:$D$59,0))),"Semana 5",IFERROR(INDEX('🔄 Rotação Duplas'!$D$64:$D$73,MATCH(D588,'🔄 Rotação Duplas'!$C$64:$C$73,0)),INDEX('🔄 Rotação Duplas'!$C$64:$C$73,MATCH(D588,'🔄 Rotação Duplas'!$D$64:$D$73,0))),"Semana 6",IFERROR(INDEX('🔄 Rotação Duplas'!$D$78:$D$87,MATCH(D588,'🔄 Rotação Duplas'!$C$78:$C$87,0)),INDEX('🔄 Rotação Duplas'!$C$78:$C$87,MATCH(D588,'🔄 Rotação Duplas'!$D$78:$D$87,0))),"Semana 7",IFERROR(INDEX('🔄 Rotação Duplas'!$D$92:$D$101,MATCH(D588,'🔄 Rotação Duplas'!$C$92:$C$101,0)),INDEX('🔄 Rotação Duplas'!$C$92:$C$101,MATCH(D588,'🔄 Rotação Duplas'!$D$92:$D$101,0))),"Semana 8",IFERROR(INDEX('🔄 Rotação Duplas'!$D$106:$D$115,MATCH(D588,'🔄 Rotação Duplas'!$C$106:$C$115,0)),INDEX('🔄 Rotação Duplas'!$C$106:$C$115,MATCH(D588,'🔄 Rotação Duplas'!$D$106:$D$115,0)))),""))</f>
        <v/>
      </c>
      <c r="T588">
        <f t="shared" si="51"/>
        <v>0</v>
      </c>
    </row>
    <row r="589" spans="2:20" ht="18" customHeight="1" x14ac:dyDescent="0.2">
      <c r="B589" s="78" t="s">
        <v>132</v>
      </c>
      <c r="C589" s="79" t="str">
        <f t="shared" si="52"/>
        <v>Desafio 30</v>
      </c>
      <c r="D589" s="80" t="str">
        <f>'⚙️ Configuração'!C32</f>
        <v>Filipa Cunha</v>
      </c>
      <c r="E589" s="50">
        <v>0</v>
      </c>
      <c r="F589" s="50">
        <v>0</v>
      </c>
      <c r="G589" s="50">
        <v>0</v>
      </c>
      <c r="H589" s="50">
        <v>0</v>
      </c>
      <c r="I589" s="50">
        <v>0</v>
      </c>
      <c r="J589" s="89">
        <v>0</v>
      </c>
      <c r="K589" s="81">
        <f>(E589*'⚙️ Configuração'!$C$6+F589*'⚙️ Configuração'!$C$7+G589*'⚙️ Configuração'!$C$8+H589*'⚙️ Configuração'!$C$9+I589*'⚙️ Configuração'!$C$10+J589*'⚙️ Configuração'!$C$11)*IF(N589="S",2,1)</f>
        <v>0</v>
      </c>
      <c r="L589" s="90" t="s">
        <v>167</v>
      </c>
      <c r="M589" s="82">
        <f>IF(L589="AT1",'⚙️ Configuração'!$C$14,IF(L589="AT2",'⚙️ Configuração'!$C$15,IF(L589="FI",'⚙️ Configuração'!$C$16,IF(L589="FJ",'⚙️ Configuração'!$C$17,0))))</f>
        <v>0</v>
      </c>
      <c r="N589" s="91" t="s">
        <v>167</v>
      </c>
      <c r="O589" s="92"/>
      <c r="P589" s="83">
        <f>IF(O589="1",'⚙️ Configuração'!$C$21,IF(O589="2",'⚙️ Configuração'!$C$22,IF(O589="3",'⚙️ Configuração'!$C$23,IF(O589="Outro",'⚙️ Configuração'!$C$24,0))))</f>
        <v>0</v>
      </c>
      <c r="Q589" s="84">
        <f t="shared" si="50"/>
        <v>0</v>
      </c>
      <c r="R589" s="40" t="str">
        <f t="shared" si="44"/>
        <v>Semana 1 — ver 🔄</v>
      </c>
      <c r="S589" t="str" cm="1">
        <f t="array" ref="S589">IF(D589="","",IFERROR(_xlfn.SWITCH(B589,"Semana 1",IFERROR(INDEX('🔄 Rotação Duplas'!$D$8:$D$17,MATCH(D589,'🔄 Rotação Duplas'!$C$8:$C$17,0)),INDEX('🔄 Rotação Duplas'!$C$8:$C$17,MATCH(D589,'🔄 Rotação Duplas'!$D$8:$D$17,0))),"Semana 2",IFERROR(INDEX('🔄 Rotação Duplas'!$D$22:$D$31,MATCH(D589,'🔄 Rotação Duplas'!$C$22:$C$31,0)),INDEX('🔄 Rotação Duplas'!$C$22:$C$31,MATCH(D589,'🔄 Rotação Duplas'!$D$22:$D$31,0))),"Semana 3",IFERROR(INDEX('🔄 Rotação Duplas'!$D$36:$D$45,MATCH(D589,'🔄 Rotação Duplas'!$C$36:$C$45,0)),INDEX('🔄 Rotação Duplas'!$C$36:$C$45,MATCH(D589,'🔄 Rotação Duplas'!$D$36:$D$45,0))),"Semana 4",IFERROR(INDEX('🔄 Rotação Duplas'!$D$50:$D$59,MATCH(D589,'🔄 Rotação Duplas'!$C$50:$C$59,0)),INDEX('🔄 Rotação Duplas'!$C$50:$C$59,MATCH(D589,'🔄 Rotação Duplas'!$D$50:$D$59,0))),"Semana 5",IFERROR(INDEX('🔄 Rotação Duplas'!$D$64:$D$73,MATCH(D589,'🔄 Rotação Duplas'!$C$64:$C$73,0)),INDEX('🔄 Rotação Duplas'!$C$64:$C$73,MATCH(D589,'🔄 Rotação Duplas'!$D$64:$D$73,0))),"Semana 6",IFERROR(INDEX('🔄 Rotação Duplas'!$D$78:$D$87,MATCH(D589,'🔄 Rotação Duplas'!$C$78:$C$87,0)),INDEX('🔄 Rotação Duplas'!$C$78:$C$87,MATCH(D589,'🔄 Rotação Duplas'!$D$78:$D$87,0))),"Semana 7",IFERROR(INDEX('🔄 Rotação Duplas'!$D$92:$D$101,MATCH(D589,'🔄 Rotação Duplas'!$C$92:$C$101,0)),INDEX('🔄 Rotação Duplas'!$C$92:$C$101,MATCH(D589,'🔄 Rotação Duplas'!$D$92:$D$101,0))),"Semana 8",IFERROR(INDEX('🔄 Rotação Duplas'!$D$106:$D$115,MATCH(D589,'🔄 Rotação Duplas'!$C$106:$C$115,0)),INDEX('🔄 Rotação Duplas'!$C$106:$C$115,MATCH(D589,'🔄 Rotação Duplas'!$D$106:$D$115,0)))),""))</f>
        <v/>
      </c>
      <c r="T589">
        <f t="shared" si="51"/>
        <v>0</v>
      </c>
    </row>
    <row r="590" spans="2:20" ht="18" customHeight="1" x14ac:dyDescent="0.2">
      <c r="B590" s="85" t="s">
        <v>132</v>
      </c>
      <c r="C590" s="86" t="str">
        <f t="shared" si="52"/>
        <v>Desafio 30</v>
      </c>
      <c r="D590" s="87" t="str">
        <f>'⚙️ Configuração'!C33</f>
        <v>Helena Rocha</v>
      </c>
      <c r="E590" s="50">
        <v>0</v>
      </c>
      <c r="F590" s="50">
        <v>0</v>
      </c>
      <c r="G590" s="50">
        <v>0</v>
      </c>
      <c r="H590" s="50">
        <v>0</v>
      </c>
      <c r="I590" s="50">
        <v>0</v>
      </c>
      <c r="J590" s="89">
        <v>0</v>
      </c>
      <c r="K590" s="81">
        <f>(E590*'⚙️ Configuração'!$C$6+F590*'⚙️ Configuração'!$C$7+G590*'⚙️ Configuração'!$C$8+H590*'⚙️ Configuração'!$C$9+I590*'⚙️ Configuração'!$C$10+J590*'⚙️ Configuração'!$C$11)*IF(N590="S",2,1)</f>
        <v>0</v>
      </c>
      <c r="L590" s="90" t="s">
        <v>167</v>
      </c>
      <c r="M590" s="82">
        <f>IF(L590="AT1",'⚙️ Configuração'!$C$14,IF(L590="AT2",'⚙️ Configuração'!$C$15,IF(L590="FI",'⚙️ Configuração'!$C$16,IF(L590="FJ",'⚙️ Configuração'!$C$17,0))))</f>
        <v>0</v>
      </c>
      <c r="N590" s="91" t="s">
        <v>167</v>
      </c>
      <c r="O590" s="92"/>
      <c r="P590" s="83">
        <f>IF(O590="1",'⚙️ Configuração'!$C$21,IF(O590="2",'⚙️ Configuração'!$C$22,IF(O590="3",'⚙️ Configuração'!$C$23,IF(O590="Outro",'⚙️ Configuração'!$C$24,0))))</f>
        <v>0</v>
      </c>
      <c r="Q590" s="84">
        <f t="shared" si="50"/>
        <v>0</v>
      </c>
      <c r="R590" s="40" t="str">
        <f t="shared" si="44"/>
        <v>Semana 1 — ver 🔄</v>
      </c>
      <c r="S590" t="str" cm="1">
        <f t="array" ref="S590">IF(D590="","",IFERROR(_xlfn.SWITCH(B590,"Semana 1",IFERROR(INDEX('🔄 Rotação Duplas'!$D$8:$D$17,MATCH(D590,'🔄 Rotação Duplas'!$C$8:$C$17,0)),INDEX('🔄 Rotação Duplas'!$C$8:$C$17,MATCH(D590,'🔄 Rotação Duplas'!$D$8:$D$17,0))),"Semana 2",IFERROR(INDEX('🔄 Rotação Duplas'!$D$22:$D$31,MATCH(D590,'🔄 Rotação Duplas'!$C$22:$C$31,0)),INDEX('🔄 Rotação Duplas'!$C$22:$C$31,MATCH(D590,'🔄 Rotação Duplas'!$D$22:$D$31,0))),"Semana 3",IFERROR(INDEX('🔄 Rotação Duplas'!$D$36:$D$45,MATCH(D590,'🔄 Rotação Duplas'!$C$36:$C$45,0)),INDEX('🔄 Rotação Duplas'!$C$36:$C$45,MATCH(D590,'🔄 Rotação Duplas'!$D$36:$D$45,0))),"Semana 4",IFERROR(INDEX('🔄 Rotação Duplas'!$D$50:$D$59,MATCH(D590,'🔄 Rotação Duplas'!$C$50:$C$59,0)),INDEX('🔄 Rotação Duplas'!$C$50:$C$59,MATCH(D590,'🔄 Rotação Duplas'!$D$50:$D$59,0))),"Semana 5",IFERROR(INDEX('🔄 Rotação Duplas'!$D$64:$D$73,MATCH(D590,'🔄 Rotação Duplas'!$C$64:$C$73,0)),INDEX('🔄 Rotação Duplas'!$C$64:$C$73,MATCH(D590,'🔄 Rotação Duplas'!$D$64:$D$73,0))),"Semana 6",IFERROR(INDEX('🔄 Rotação Duplas'!$D$78:$D$87,MATCH(D590,'🔄 Rotação Duplas'!$C$78:$C$87,0)),INDEX('🔄 Rotação Duplas'!$C$78:$C$87,MATCH(D590,'🔄 Rotação Duplas'!$D$78:$D$87,0))),"Semana 7",IFERROR(INDEX('🔄 Rotação Duplas'!$D$92:$D$101,MATCH(D590,'🔄 Rotação Duplas'!$C$92:$C$101,0)),INDEX('🔄 Rotação Duplas'!$C$92:$C$101,MATCH(D590,'🔄 Rotação Duplas'!$D$92:$D$101,0))),"Semana 8",IFERROR(INDEX('🔄 Rotação Duplas'!$D$106:$D$115,MATCH(D590,'🔄 Rotação Duplas'!$C$106:$C$115,0)),INDEX('🔄 Rotação Duplas'!$C$106:$C$115,MATCH(D590,'🔄 Rotação Duplas'!$D$106:$D$115,0)))),""))</f>
        <v/>
      </c>
      <c r="T590">
        <f t="shared" si="51"/>
        <v>0</v>
      </c>
    </row>
    <row r="591" spans="2:20" ht="18" customHeight="1" x14ac:dyDescent="0.2">
      <c r="B591" s="78" t="s">
        <v>132</v>
      </c>
      <c r="C591" s="79" t="str">
        <f t="shared" si="52"/>
        <v>Desafio 30</v>
      </c>
      <c r="D591" s="80" t="str">
        <f>'⚙️ Configuração'!C34</f>
        <v>João Xavier</v>
      </c>
      <c r="E591" s="50">
        <v>0</v>
      </c>
      <c r="F591" s="50">
        <v>0</v>
      </c>
      <c r="G591" s="50">
        <v>0</v>
      </c>
      <c r="H591" s="50">
        <v>0</v>
      </c>
      <c r="I591" s="50">
        <v>0</v>
      </c>
      <c r="J591" s="89">
        <v>0</v>
      </c>
      <c r="K591" s="81">
        <f>(E591*'⚙️ Configuração'!$C$6+F591*'⚙️ Configuração'!$C$7+G591*'⚙️ Configuração'!$C$8+H591*'⚙️ Configuração'!$C$9+I591*'⚙️ Configuração'!$C$10+J591*'⚙️ Configuração'!$C$11)*IF(N591="S",2,1)</f>
        <v>0</v>
      </c>
      <c r="L591" s="90" t="s">
        <v>167</v>
      </c>
      <c r="M591" s="82">
        <f>IF(L591="AT1",'⚙️ Configuração'!$C$14,IF(L591="AT2",'⚙️ Configuração'!$C$15,IF(L591="FI",'⚙️ Configuração'!$C$16,IF(L591="FJ",'⚙️ Configuração'!$C$17,0))))</f>
        <v>0</v>
      </c>
      <c r="N591" s="91" t="s">
        <v>167</v>
      </c>
      <c r="O591" s="92"/>
      <c r="P591" s="83">
        <f>IF(O591="1",'⚙️ Configuração'!$C$21,IF(O591="2",'⚙️ Configuração'!$C$22,IF(O591="3",'⚙️ Configuração'!$C$23,IF(O591="Outro",'⚙️ Configuração'!$C$24,0))))</f>
        <v>0</v>
      </c>
      <c r="Q591" s="84">
        <f t="shared" si="50"/>
        <v>0</v>
      </c>
      <c r="R591" s="40" t="str">
        <f t="shared" si="44"/>
        <v>Semana 1 — ver 🔄</v>
      </c>
      <c r="S591" t="str" cm="1">
        <f t="array" ref="S591">IF(D591="","",IFERROR(_xlfn.SWITCH(B591,"Semana 1",IFERROR(INDEX('🔄 Rotação Duplas'!$D$8:$D$17,MATCH(D591,'🔄 Rotação Duplas'!$C$8:$C$17,0)),INDEX('🔄 Rotação Duplas'!$C$8:$C$17,MATCH(D591,'🔄 Rotação Duplas'!$D$8:$D$17,0))),"Semana 2",IFERROR(INDEX('🔄 Rotação Duplas'!$D$22:$D$31,MATCH(D591,'🔄 Rotação Duplas'!$C$22:$C$31,0)),INDEX('🔄 Rotação Duplas'!$C$22:$C$31,MATCH(D591,'🔄 Rotação Duplas'!$D$22:$D$31,0))),"Semana 3",IFERROR(INDEX('🔄 Rotação Duplas'!$D$36:$D$45,MATCH(D591,'🔄 Rotação Duplas'!$C$36:$C$45,0)),INDEX('🔄 Rotação Duplas'!$C$36:$C$45,MATCH(D591,'🔄 Rotação Duplas'!$D$36:$D$45,0))),"Semana 4",IFERROR(INDEX('🔄 Rotação Duplas'!$D$50:$D$59,MATCH(D591,'🔄 Rotação Duplas'!$C$50:$C$59,0)),INDEX('🔄 Rotação Duplas'!$C$50:$C$59,MATCH(D591,'🔄 Rotação Duplas'!$D$50:$D$59,0))),"Semana 5",IFERROR(INDEX('🔄 Rotação Duplas'!$D$64:$D$73,MATCH(D591,'🔄 Rotação Duplas'!$C$64:$C$73,0)),INDEX('🔄 Rotação Duplas'!$C$64:$C$73,MATCH(D591,'🔄 Rotação Duplas'!$D$64:$D$73,0))),"Semana 6",IFERROR(INDEX('🔄 Rotação Duplas'!$D$78:$D$87,MATCH(D591,'🔄 Rotação Duplas'!$C$78:$C$87,0)),INDEX('🔄 Rotação Duplas'!$C$78:$C$87,MATCH(D591,'🔄 Rotação Duplas'!$D$78:$D$87,0))),"Semana 7",IFERROR(INDEX('🔄 Rotação Duplas'!$D$92:$D$101,MATCH(D591,'🔄 Rotação Duplas'!$C$92:$C$101,0)),INDEX('🔄 Rotação Duplas'!$C$92:$C$101,MATCH(D591,'🔄 Rotação Duplas'!$D$92:$D$101,0))),"Semana 8",IFERROR(INDEX('🔄 Rotação Duplas'!$D$106:$D$115,MATCH(D591,'🔄 Rotação Duplas'!$C$106:$C$115,0)),INDEX('🔄 Rotação Duplas'!$C$106:$C$115,MATCH(D591,'🔄 Rotação Duplas'!$D$106:$D$115,0)))),""))</f>
        <v/>
      </c>
      <c r="T591">
        <f t="shared" si="51"/>
        <v>0</v>
      </c>
    </row>
    <row r="592" spans="2:20" ht="18" customHeight="1" x14ac:dyDescent="0.2">
      <c r="B592" s="85" t="s">
        <v>132</v>
      </c>
      <c r="C592" s="86" t="str">
        <f t="shared" si="52"/>
        <v>Desafio 30</v>
      </c>
      <c r="D592" s="87" t="str">
        <f>'⚙️ Configuração'!C35</f>
        <v>Tomás Carlos</v>
      </c>
      <c r="E592" s="50">
        <v>0</v>
      </c>
      <c r="F592" s="50">
        <v>0</v>
      </c>
      <c r="G592" s="50">
        <v>0</v>
      </c>
      <c r="H592" s="50">
        <v>0</v>
      </c>
      <c r="I592" s="50">
        <v>0</v>
      </c>
      <c r="J592" s="89">
        <v>0</v>
      </c>
      <c r="K592" s="81">
        <f>(E592*'⚙️ Configuração'!$C$6+F592*'⚙️ Configuração'!$C$7+G592*'⚙️ Configuração'!$C$8+H592*'⚙️ Configuração'!$C$9+I592*'⚙️ Configuração'!$C$10+J592*'⚙️ Configuração'!$C$11)*IF(N592="S",2,1)</f>
        <v>0</v>
      </c>
      <c r="L592" s="90" t="s">
        <v>167</v>
      </c>
      <c r="M592" s="82">
        <f>IF(L592="AT1",'⚙️ Configuração'!$C$14,IF(L592="AT2",'⚙️ Configuração'!$C$15,IF(L592="FI",'⚙️ Configuração'!$C$16,IF(L592="FJ",'⚙️ Configuração'!$C$17,0))))</f>
        <v>0</v>
      </c>
      <c r="N592" s="91" t="s">
        <v>167</v>
      </c>
      <c r="O592" s="92"/>
      <c r="P592" s="83">
        <f>IF(O592="1",'⚙️ Configuração'!$C$21,IF(O592="2",'⚙️ Configuração'!$C$22,IF(O592="3",'⚙️ Configuração'!$C$23,IF(O592="Outro",'⚙️ Configuração'!$C$24,0))))</f>
        <v>0</v>
      </c>
      <c r="Q592" s="84">
        <f t="shared" si="50"/>
        <v>0</v>
      </c>
      <c r="R592" s="40" t="str">
        <f t="shared" si="44"/>
        <v>Semana 1 — ver 🔄</v>
      </c>
      <c r="S592" t="str" cm="1">
        <f t="array" ref="S592">IF(D592="","",IFERROR(_xlfn.SWITCH(B592,"Semana 1",IFERROR(INDEX('🔄 Rotação Duplas'!$D$8:$D$17,MATCH(D592,'🔄 Rotação Duplas'!$C$8:$C$17,0)),INDEX('🔄 Rotação Duplas'!$C$8:$C$17,MATCH(D592,'🔄 Rotação Duplas'!$D$8:$D$17,0))),"Semana 2",IFERROR(INDEX('🔄 Rotação Duplas'!$D$22:$D$31,MATCH(D592,'🔄 Rotação Duplas'!$C$22:$C$31,0)),INDEX('🔄 Rotação Duplas'!$C$22:$C$31,MATCH(D592,'🔄 Rotação Duplas'!$D$22:$D$31,0))),"Semana 3",IFERROR(INDEX('🔄 Rotação Duplas'!$D$36:$D$45,MATCH(D592,'🔄 Rotação Duplas'!$C$36:$C$45,0)),INDEX('🔄 Rotação Duplas'!$C$36:$C$45,MATCH(D592,'🔄 Rotação Duplas'!$D$36:$D$45,0))),"Semana 4",IFERROR(INDEX('🔄 Rotação Duplas'!$D$50:$D$59,MATCH(D592,'🔄 Rotação Duplas'!$C$50:$C$59,0)),INDEX('🔄 Rotação Duplas'!$C$50:$C$59,MATCH(D592,'🔄 Rotação Duplas'!$D$50:$D$59,0))),"Semana 5",IFERROR(INDEX('🔄 Rotação Duplas'!$D$64:$D$73,MATCH(D592,'🔄 Rotação Duplas'!$C$64:$C$73,0)),INDEX('🔄 Rotação Duplas'!$C$64:$C$73,MATCH(D592,'🔄 Rotação Duplas'!$D$64:$D$73,0))),"Semana 6",IFERROR(INDEX('🔄 Rotação Duplas'!$D$78:$D$87,MATCH(D592,'🔄 Rotação Duplas'!$C$78:$C$87,0)),INDEX('🔄 Rotação Duplas'!$C$78:$C$87,MATCH(D592,'🔄 Rotação Duplas'!$D$78:$D$87,0))),"Semana 7",IFERROR(INDEX('🔄 Rotação Duplas'!$D$92:$D$101,MATCH(D592,'🔄 Rotação Duplas'!$C$92:$C$101,0)),INDEX('🔄 Rotação Duplas'!$C$92:$C$101,MATCH(D592,'🔄 Rotação Duplas'!$D$92:$D$101,0))),"Semana 8",IFERROR(INDEX('🔄 Rotação Duplas'!$D$106:$D$115,MATCH(D592,'🔄 Rotação Duplas'!$C$106:$C$115,0)),INDEX('🔄 Rotação Duplas'!$C$106:$C$115,MATCH(D592,'🔄 Rotação Duplas'!$D$106:$D$115,0)))),""))</f>
        <v/>
      </c>
      <c r="T592">
        <f t="shared" si="51"/>
        <v>0</v>
      </c>
    </row>
    <row r="593" spans="2:20" ht="18" customHeight="1" x14ac:dyDescent="0.2">
      <c r="B593" s="78" t="s">
        <v>132</v>
      </c>
      <c r="C593" s="79" t="str">
        <f t="shared" si="52"/>
        <v>Desafio 30</v>
      </c>
      <c r="D593" s="80" t="str">
        <f>'⚙️ Configuração'!C36</f>
        <v>Alexandra Correia</v>
      </c>
      <c r="E593" s="50">
        <v>0</v>
      </c>
      <c r="F593" s="50">
        <v>0</v>
      </c>
      <c r="G593" s="50">
        <v>0</v>
      </c>
      <c r="H593" s="50">
        <v>0</v>
      </c>
      <c r="I593" s="50">
        <v>0</v>
      </c>
      <c r="J593" s="89">
        <v>0</v>
      </c>
      <c r="K593" s="81">
        <f>(E593*'⚙️ Configuração'!$C$6+F593*'⚙️ Configuração'!$C$7+G593*'⚙️ Configuração'!$C$8+H593*'⚙️ Configuração'!$C$9+I593*'⚙️ Configuração'!$C$10+J593*'⚙️ Configuração'!$C$11)*IF(N593="S",2,1)</f>
        <v>0</v>
      </c>
      <c r="L593" s="90" t="s">
        <v>167</v>
      </c>
      <c r="M593" s="82">
        <f>IF(L593="AT1",'⚙️ Configuração'!$C$14,IF(L593="AT2",'⚙️ Configuração'!$C$15,IF(L593="FI",'⚙️ Configuração'!$C$16,IF(L593="FJ",'⚙️ Configuração'!$C$17,0))))</f>
        <v>0</v>
      </c>
      <c r="N593" s="91" t="s">
        <v>167</v>
      </c>
      <c r="O593" s="92"/>
      <c r="P593" s="83">
        <f>IF(O593="1",'⚙️ Configuração'!$C$21,IF(O593="2",'⚙️ Configuração'!$C$22,IF(O593="3",'⚙️ Configuração'!$C$23,IF(O593="Outro",'⚙️ Configuração'!$C$24,0))))</f>
        <v>0</v>
      </c>
      <c r="Q593" s="84">
        <f t="shared" si="50"/>
        <v>0</v>
      </c>
      <c r="R593" s="40" t="str">
        <f t="shared" si="44"/>
        <v>Semana 1 — ver 🔄</v>
      </c>
      <c r="S593" t="str" cm="1">
        <f t="array" ref="S593">IF(D593="","",IFERROR(_xlfn.SWITCH(B593,"Semana 1",IFERROR(INDEX('🔄 Rotação Duplas'!$D$8:$D$17,MATCH(D593,'🔄 Rotação Duplas'!$C$8:$C$17,0)),INDEX('🔄 Rotação Duplas'!$C$8:$C$17,MATCH(D593,'🔄 Rotação Duplas'!$D$8:$D$17,0))),"Semana 2",IFERROR(INDEX('🔄 Rotação Duplas'!$D$22:$D$31,MATCH(D593,'🔄 Rotação Duplas'!$C$22:$C$31,0)),INDEX('🔄 Rotação Duplas'!$C$22:$C$31,MATCH(D593,'🔄 Rotação Duplas'!$D$22:$D$31,0))),"Semana 3",IFERROR(INDEX('🔄 Rotação Duplas'!$D$36:$D$45,MATCH(D593,'🔄 Rotação Duplas'!$C$36:$C$45,0)),INDEX('🔄 Rotação Duplas'!$C$36:$C$45,MATCH(D593,'🔄 Rotação Duplas'!$D$36:$D$45,0))),"Semana 4",IFERROR(INDEX('🔄 Rotação Duplas'!$D$50:$D$59,MATCH(D593,'🔄 Rotação Duplas'!$C$50:$C$59,0)),INDEX('🔄 Rotação Duplas'!$C$50:$C$59,MATCH(D593,'🔄 Rotação Duplas'!$D$50:$D$59,0))),"Semana 5",IFERROR(INDEX('🔄 Rotação Duplas'!$D$64:$D$73,MATCH(D593,'🔄 Rotação Duplas'!$C$64:$C$73,0)),INDEX('🔄 Rotação Duplas'!$C$64:$C$73,MATCH(D593,'🔄 Rotação Duplas'!$D$64:$D$73,0))),"Semana 6",IFERROR(INDEX('🔄 Rotação Duplas'!$D$78:$D$87,MATCH(D593,'🔄 Rotação Duplas'!$C$78:$C$87,0)),INDEX('🔄 Rotação Duplas'!$C$78:$C$87,MATCH(D593,'🔄 Rotação Duplas'!$D$78:$D$87,0))),"Semana 7",IFERROR(INDEX('🔄 Rotação Duplas'!$D$92:$D$101,MATCH(D593,'🔄 Rotação Duplas'!$C$92:$C$101,0)),INDEX('🔄 Rotação Duplas'!$C$92:$C$101,MATCH(D593,'🔄 Rotação Duplas'!$D$92:$D$101,0))),"Semana 8",IFERROR(INDEX('🔄 Rotação Duplas'!$D$106:$D$115,MATCH(D593,'🔄 Rotação Duplas'!$C$106:$C$115,0)),INDEX('🔄 Rotação Duplas'!$C$106:$C$115,MATCH(D593,'🔄 Rotação Duplas'!$D$106:$D$115,0)))),""))</f>
        <v/>
      </c>
      <c r="T593">
        <f t="shared" si="51"/>
        <v>0</v>
      </c>
    </row>
    <row r="594" spans="2:20" ht="18" customHeight="1" x14ac:dyDescent="0.2">
      <c r="B594" s="85" t="s">
        <v>132</v>
      </c>
      <c r="C594" s="86" t="str">
        <f t="shared" si="52"/>
        <v>Desafio 30</v>
      </c>
      <c r="D594" s="87" t="str">
        <f>'⚙️ Configuração'!C37</f>
        <v>Carla Barata</v>
      </c>
      <c r="E594" s="50">
        <v>0</v>
      </c>
      <c r="F594" s="50">
        <v>0</v>
      </c>
      <c r="G594" s="50">
        <v>0</v>
      </c>
      <c r="H594" s="50">
        <v>0</v>
      </c>
      <c r="I594" s="50">
        <v>0</v>
      </c>
      <c r="J594" s="89">
        <v>0</v>
      </c>
      <c r="K594" s="81">
        <f>(E594*'⚙️ Configuração'!$C$6+F594*'⚙️ Configuração'!$C$7+G594*'⚙️ Configuração'!$C$8+H594*'⚙️ Configuração'!$C$9+I594*'⚙️ Configuração'!$C$10+J594*'⚙️ Configuração'!$C$11)*IF(N594="S",2,1)</f>
        <v>0</v>
      </c>
      <c r="L594" s="90" t="s">
        <v>167</v>
      </c>
      <c r="M594" s="82">
        <f>IF(L594="AT1",'⚙️ Configuração'!$C$14,IF(L594="AT2",'⚙️ Configuração'!$C$15,IF(L594="FI",'⚙️ Configuração'!$C$16,IF(L594="FJ",'⚙️ Configuração'!$C$17,0))))</f>
        <v>0</v>
      </c>
      <c r="N594" s="91" t="s">
        <v>167</v>
      </c>
      <c r="O594" s="92"/>
      <c r="P594" s="83">
        <f>IF(O594="1",'⚙️ Configuração'!$C$21,IF(O594="2",'⚙️ Configuração'!$C$22,IF(O594="3",'⚙️ Configuração'!$C$23,IF(O594="Outro",'⚙️ Configuração'!$C$24,0))))</f>
        <v>0</v>
      </c>
      <c r="Q594" s="84">
        <f t="shared" si="50"/>
        <v>0</v>
      </c>
      <c r="R594" s="40" t="str">
        <f t="shared" si="44"/>
        <v>Semana 1 — ver 🔄</v>
      </c>
      <c r="S594" t="str" cm="1">
        <f t="array" ref="S594">IF(D594="","",IFERROR(_xlfn.SWITCH(B594,"Semana 1",IFERROR(INDEX('🔄 Rotação Duplas'!$D$8:$D$17,MATCH(D594,'🔄 Rotação Duplas'!$C$8:$C$17,0)),INDEX('🔄 Rotação Duplas'!$C$8:$C$17,MATCH(D594,'🔄 Rotação Duplas'!$D$8:$D$17,0))),"Semana 2",IFERROR(INDEX('🔄 Rotação Duplas'!$D$22:$D$31,MATCH(D594,'🔄 Rotação Duplas'!$C$22:$C$31,0)),INDEX('🔄 Rotação Duplas'!$C$22:$C$31,MATCH(D594,'🔄 Rotação Duplas'!$D$22:$D$31,0))),"Semana 3",IFERROR(INDEX('🔄 Rotação Duplas'!$D$36:$D$45,MATCH(D594,'🔄 Rotação Duplas'!$C$36:$C$45,0)),INDEX('🔄 Rotação Duplas'!$C$36:$C$45,MATCH(D594,'🔄 Rotação Duplas'!$D$36:$D$45,0))),"Semana 4",IFERROR(INDEX('🔄 Rotação Duplas'!$D$50:$D$59,MATCH(D594,'🔄 Rotação Duplas'!$C$50:$C$59,0)),INDEX('🔄 Rotação Duplas'!$C$50:$C$59,MATCH(D594,'🔄 Rotação Duplas'!$D$50:$D$59,0))),"Semana 5",IFERROR(INDEX('🔄 Rotação Duplas'!$D$64:$D$73,MATCH(D594,'🔄 Rotação Duplas'!$C$64:$C$73,0)),INDEX('🔄 Rotação Duplas'!$C$64:$C$73,MATCH(D594,'🔄 Rotação Duplas'!$D$64:$D$73,0))),"Semana 6",IFERROR(INDEX('🔄 Rotação Duplas'!$D$78:$D$87,MATCH(D594,'🔄 Rotação Duplas'!$C$78:$C$87,0)),INDEX('🔄 Rotação Duplas'!$C$78:$C$87,MATCH(D594,'🔄 Rotação Duplas'!$D$78:$D$87,0))),"Semana 7",IFERROR(INDEX('🔄 Rotação Duplas'!$D$92:$D$101,MATCH(D594,'🔄 Rotação Duplas'!$C$92:$C$101,0)),INDEX('🔄 Rotação Duplas'!$C$92:$C$101,MATCH(D594,'🔄 Rotação Duplas'!$D$92:$D$101,0))),"Semana 8",IFERROR(INDEX('🔄 Rotação Duplas'!$D$106:$D$115,MATCH(D594,'🔄 Rotação Duplas'!$C$106:$C$115,0)),INDEX('🔄 Rotação Duplas'!$C$106:$C$115,MATCH(D594,'🔄 Rotação Duplas'!$D$106:$D$115,0)))),""))</f>
        <v/>
      </c>
      <c r="T594">
        <f t="shared" si="51"/>
        <v>0</v>
      </c>
    </row>
    <row r="595" spans="2:20" ht="18" customHeight="1" x14ac:dyDescent="0.2">
      <c r="B595" s="78" t="s">
        <v>132</v>
      </c>
      <c r="C595" s="79" t="str">
        <f t="shared" si="52"/>
        <v>Desafio 30</v>
      </c>
      <c r="D595" s="80" t="str">
        <f>'⚙️ Configuração'!C38</f>
        <v>Denise Filipe</v>
      </c>
      <c r="E595" s="50">
        <v>0</v>
      </c>
      <c r="F595" s="50">
        <v>0</v>
      </c>
      <c r="G595" s="50">
        <v>0</v>
      </c>
      <c r="H595" s="50">
        <v>0</v>
      </c>
      <c r="I595" s="50">
        <v>0</v>
      </c>
      <c r="J595" s="89">
        <v>0</v>
      </c>
      <c r="K595" s="81">
        <f>(E595*'⚙️ Configuração'!$C$6+F595*'⚙️ Configuração'!$C$7+G595*'⚙️ Configuração'!$C$8+H595*'⚙️ Configuração'!$C$9+I595*'⚙️ Configuração'!$C$10+J595*'⚙️ Configuração'!$C$11)*IF(N595="S",2,1)</f>
        <v>0</v>
      </c>
      <c r="L595" s="90" t="s">
        <v>167</v>
      </c>
      <c r="M595" s="82">
        <f>IF(L595="AT1",'⚙️ Configuração'!$C$14,IF(L595="AT2",'⚙️ Configuração'!$C$15,IF(L595="FI",'⚙️ Configuração'!$C$16,IF(L595="FJ",'⚙️ Configuração'!$C$17,0))))</f>
        <v>0</v>
      </c>
      <c r="N595" s="91" t="s">
        <v>167</v>
      </c>
      <c r="O595" s="92"/>
      <c r="P595" s="83">
        <f>IF(O595="1",'⚙️ Configuração'!$C$21,IF(O595="2",'⚙️ Configuração'!$C$22,IF(O595="3",'⚙️ Configuração'!$C$23,IF(O595="Outro",'⚙️ Configuração'!$C$24,0))))</f>
        <v>0</v>
      </c>
      <c r="Q595" s="84">
        <f t="shared" si="50"/>
        <v>0</v>
      </c>
      <c r="R595" s="40" t="str">
        <f t="shared" si="44"/>
        <v>Semana 1 — ver 🔄</v>
      </c>
      <c r="S595" t="str" cm="1">
        <f t="array" ref="S595">IF(D595="","",IFERROR(_xlfn.SWITCH(B595,"Semana 1",IFERROR(INDEX('🔄 Rotação Duplas'!$D$8:$D$17,MATCH(D595,'🔄 Rotação Duplas'!$C$8:$C$17,0)),INDEX('🔄 Rotação Duplas'!$C$8:$C$17,MATCH(D595,'🔄 Rotação Duplas'!$D$8:$D$17,0))),"Semana 2",IFERROR(INDEX('🔄 Rotação Duplas'!$D$22:$D$31,MATCH(D595,'🔄 Rotação Duplas'!$C$22:$C$31,0)),INDEX('🔄 Rotação Duplas'!$C$22:$C$31,MATCH(D595,'🔄 Rotação Duplas'!$D$22:$D$31,0))),"Semana 3",IFERROR(INDEX('🔄 Rotação Duplas'!$D$36:$D$45,MATCH(D595,'🔄 Rotação Duplas'!$C$36:$C$45,0)),INDEX('🔄 Rotação Duplas'!$C$36:$C$45,MATCH(D595,'🔄 Rotação Duplas'!$D$36:$D$45,0))),"Semana 4",IFERROR(INDEX('🔄 Rotação Duplas'!$D$50:$D$59,MATCH(D595,'🔄 Rotação Duplas'!$C$50:$C$59,0)),INDEX('🔄 Rotação Duplas'!$C$50:$C$59,MATCH(D595,'🔄 Rotação Duplas'!$D$50:$D$59,0))),"Semana 5",IFERROR(INDEX('🔄 Rotação Duplas'!$D$64:$D$73,MATCH(D595,'🔄 Rotação Duplas'!$C$64:$C$73,0)),INDEX('🔄 Rotação Duplas'!$C$64:$C$73,MATCH(D595,'🔄 Rotação Duplas'!$D$64:$D$73,0))),"Semana 6",IFERROR(INDEX('🔄 Rotação Duplas'!$D$78:$D$87,MATCH(D595,'🔄 Rotação Duplas'!$C$78:$C$87,0)),INDEX('🔄 Rotação Duplas'!$C$78:$C$87,MATCH(D595,'🔄 Rotação Duplas'!$D$78:$D$87,0))),"Semana 7",IFERROR(INDEX('🔄 Rotação Duplas'!$D$92:$D$101,MATCH(D595,'🔄 Rotação Duplas'!$C$92:$C$101,0)),INDEX('🔄 Rotação Duplas'!$C$92:$C$101,MATCH(D595,'🔄 Rotação Duplas'!$D$92:$D$101,0))),"Semana 8",IFERROR(INDEX('🔄 Rotação Duplas'!$D$106:$D$115,MATCH(D595,'🔄 Rotação Duplas'!$C$106:$C$115,0)),INDEX('🔄 Rotação Duplas'!$C$106:$C$115,MATCH(D595,'🔄 Rotação Duplas'!$D$106:$D$115,0)))),""))</f>
        <v/>
      </c>
      <c r="T595">
        <f t="shared" si="51"/>
        <v>0</v>
      </c>
    </row>
    <row r="596" spans="2:20" ht="18" customHeight="1" x14ac:dyDescent="0.2">
      <c r="B596" s="85" t="s">
        <v>132</v>
      </c>
      <c r="C596" s="86" t="str">
        <f t="shared" si="52"/>
        <v>Desafio 30</v>
      </c>
      <c r="D596" s="87" t="str">
        <f>'⚙️ Configuração'!C39</f>
        <v>Fátima Rodriguez</v>
      </c>
      <c r="E596" s="50">
        <v>0</v>
      </c>
      <c r="F596" s="50">
        <v>0</v>
      </c>
      <c r="G596" s="50">
        <v>0</v>
      </c>
      <c r="H596" s="50">
        <v>0</v>
      </c>
      <c r="I596" s="50">
        <v>0</v>
      </c>
      <c r="J596" s="89">
        <v>0</v>
      </c>
      <c r="K596" s="81">
        <f>(E596*'⚙️ Configuração'!$C$6+F596*'⚙️ Configuração'!$C$7+G596*'⚙️ Configuração'!$C$8+H596*'⚙️ Configuração'!$C$9+I596*'⚙️ Configuração'!$C$10+J596*'⚙️ Configuração'!$C$11)*IF(N596="S",2,1)</f>
        <v>0</v>
      </c>
      <c r="L596" s="90" t="s">
        <v>167</v>
      </c>
      <c r="M596" s="82">
        <f>IF(L596="AT1",'⚙️ Configuração'!$C$14,IF(L596="AT2",'⚙️ Configuração'!$C$15,IF(L596="FI",'⚙️ Configuração'!$C$16,IF(L596="FJ",'⚙️ Configuração'!$C$17,0))))</f>
        <v>0</v>
      </c>
      <c r="N596" s="91" t="s">
        <v>167</v>
      </c>
      <c r="O596" s="92"/>
      <c r="P596" s="83">
        <f>IF(O596="1",'⚙️ Configuração'!$C$21,IF(O596="2",'⚙️ Configuração'!$C$22,IF(O596="3",'⚙️ Configuração'!$C$23,IF(O596="Outro",'⚙️ Configuração'!$C$24,0))))</f>
        <v>0</v>
      </c>
      <c r="Q596" s="84">
        <f t="shared" si="50"/>
        <v>0</v>
      </c>
      <c r="R596" s="40" t="str">
        <f t="shared" si="44"/>
        <v>Semana 1 — ver 🔄</v>
      </c>
      <c r="S596" t="str" cm="1">
        <f t="array" ref="S596">IF(D596="","",IFERROR(_xlfn.SWITCH(B596,"Semana 1",IFERROR(INDEX('🔄 Rotação Duplas'!$D$8:$D$17,MATCH(D596,'🔄 Rotação Duplas'!$C$8:$C$17,0)),INDEX('🔄 Rotação Duplas'!$C$8:$C$17,MATCH(D596,'🔄 Rotação Duplas'!$D$8:$D$17,0))),"Semana 2",IFERROR(INDEX('🔄 Rotação Duplas'!$D$22:$D$31,MATCH(D596,'🔄 Rotação Duplas'!$C$22:$C$31,0)),INDEX('🔄 Rotação Duplas'!$C$22:$C$31,MATCH(D596,'🔄 Rotação Duplas'!$D$22:$D$31,0))),"Semana 3",IFERROR(INDEX('🔄 Rotação Duplas'!$D$36:$D$45,MATCH(D596,'🔄 Rotação Duplas'!$C$36:$C$45,0)),INDEX('🔄 Rotação Duplas'!$C$36:$C$45,MATCH(D596,'🔄 Rotação Duplas'!$D$36:$D$45,0))),"Semana 4",IFERROR(INDEX('🔄 Rotação Duplas'!$D$50:$D$59,MATCH(D596,'🔄 Rotação Duplas'!$C$50:$C$59,0)),INDEX('🔄 Rotação Duplas'!$C$50:$C$59,MATCH(D596,'🔄 Rotação Duplas'!$D$50:$D$59,0))),"Semana 5",IFERROR(INDEX('🔄 Rotação Duplas'!$D$64:$D$73,MATCH(D596,'🔄 Rotação Duplas'!$C$64:$C$73,0)),INDEX('🔄 Rotação Duplas'!$C$64:$C$73,MATCH(D596,'🔄 Rotação Duplas'!$D$64:$D$73,0))),"Semana 6",IFERROR(INDEX('🔄 Rotação Duplas'!$D$78:$D$87,MATCH(D596,'🔄 Rotação Duplas'!$C$78:$C$87,0)),INDEX('🔄 Rotação Duplas'!$C$78:$C$87,MATCH(D596,'🔄 Rotação Duplas'!$D$78:$D$87,0))),"Semana 7",IFERROR(INDEX('🔄 Rotação Duplas'!$D$92:$D$101,MATCH(D596,'🔄 Rotação Duplas'!$C$92:$C$101,0)),INDEX('🔄 Rotação Duplas'!$C$92:$C$101,MATCH(D596,'🔄 Rotação Duplas'!$D$92:$D$101,0))),"Semana 8",IFERROR(INDEX('🔄 Rotação Duplas'!$D$106:$D$115,MATCH(D596,'🔄 Rotação Duplas'!$C$106:$C$115,0)),INDEX('🔄 Rotação Duplas'!$C$106:$C$115,MATCH(D596,'🔄 Rotação Duplas'!$D$106:$D$115,0)))),""))</f>
        <v/>
      </c>
      <c r="T596">
        <f t="shared" si="51"/>
        <v>0</v>
      </c>
    </row>
    <row r="597" spans="2:20" ht="18" customHeight="1" x14ac:dyDescent="0.2">
      <c r="B597" s="78" t="s">
        <v>132</v>
      </c>
      <c r="C597" s="79" t="str">
        <f t="shared" si="52"/>
        <v>Desafio 30</v>
      </c>
      <c r="D597" s="80" t="str">
        <f>'⚙️ Configuração'!C40</f>
        <v>Maria João Travassos</v>
      </c>
      <c r="E597" s="50">
        <v>0</v>
      </c>
      <c r="F597" s="50">
        <v>0</v>
      </c>
      <c r="G597" s="50">
        <v>0</v>
      </c>
      <c r="H597" s="50">
        <v>0</v>
      </c>
      <c r="I597" s="50">
        <v>0</v>
      </c>
      <c r="J597" s="89">
        <v>0</v>
      </c>
      <c r="K597" s="81">
        <f>(E597*'⚙️ Configuração'!$C$6+F597*'⚙️ Configuração'!$C$7+G597*'⚙️ Configuração'!$C$8+H597*'⚙️ Configuração'!$C$9+I597*'⚙️ Configuração'!$C$10+J597*'⚙️ Configuração'!$C$11)*IF(N597="S",2,1)</f>
        <v>0</v>
      </c>
      <c r="L597" s="90" t="s">
        <v>167</v>
      </c>
      <c r="M597" s="82">
        <f>IF(L597="AT1",'⚙️ Configuração'!$C$14,IF(L597="AT2",'⚙️ Configuração'!$C$15,IF(L597="FI",'⚙️ Configuração'!$C$16,IF(L597="FJ",'⚙️ Configuração'!$C$17,0))))</f>
        <v>0</v>
      </c>
      <c r="N597" s="91" t="s">
        <v>167</v>
      </c>
      <c r="O597" s="92"/>
      <c r="P597" s="83">
        <f>IF(O597="1",'⚙️ Configuração'!$C$21,IF(O597="2",'⚙️ Configuração'!$C$22,IF(O597="3",'⚙️ Configuração'!$C$23,IF(O597="Outro",'⚙️ Configuração'!$C$24,0))))</f>
        <v>0</v>
      </c>
      <c r="Q597" s="84">
        <f t="shared" si="50"/>
        <v>0</v>
      </c>
      <c r="R597" s="40" t="str">
        <f t="shared" si="44"/>
        <v>Semana 1 — ver 🔄</v>
      </c>
      <c r="S597" t="str" cm="1">
        <f t="array" ref="S597">IF(D597="","",IFERROR(_xlfn.SWITCH(B597,"Semana 1",IFERROR(INDEX('🔄 Rotação Duplas'!$D$8:$D$17,MATCH(D597,'🔄 Rotação Duplas'!$C$8:$C$17,0)),INDEX('🔄 Rotação Duplas'!$C$8:$C$17,MATCH(D597,'🔄 Rotação Duplas'!$D$8:$D$17,0))),"Semana 2",IFERROR(INDEX('🔄 Rotação Duplas'!$D$22:$D$31,MATCH(D597,'🔄 Rotação Duplas'!$C$22:$C$31,0)),INDEX('🔄 Rotação Duplas'!$C$22:$C$31,MATCH(D597,'🔄 Rotação Duplas'!$D$22:$D$31,0))),"Semana 3",IFERROR(INDEX('🔄 Rotação Duplas'!$D$36:$D$45,MATCH(D597,'🔄 Rotação Duplas'!$C$36:$C$45,0)),INDEX('🔄 Rotação Duplas'!$C$36:$C$45,MATCH(D597,'🔄 Rotação Duplas'!$D$36:$D$45,0))),"Semana 4",IFERROR(INDEX('🔄 Rotação Duplas'!$D$50:$D$59,MATCH(D597,'🔄 Rotação Duplas'!$C$50:$C$59,0)),INDEX('🔄 Rotação Duplas'!$C$50:$C$59,MATCH(D597,'🔄 Rotação Duplas'!$D$50:$D$59,0))),"Semana 5",IFERROR(INDEX('🔄 Rotação Duplas'!$D$64:$D$73,MATCH(D597,'🔄 Rotação Duplas'!$C$64:$C$73,0)),INDEX('🔄 Rotação Duplas'!$C$64:$C$73,MATCH(D597,'🔄 Rotação Duplas'!$D$64:$D$73,0))),"Semana 6",IFERROR(INDEX('🔄 Rotação Duplas'!$D$78:$D$87,MATCH(D597,'🔄 Rotação Duplas'!$C$78:$C$87,0)),INDEX('🔄 Rotação Duplas'!$C$78:$C$87,MATCH(D597,'🔄 Rotação Duplas'!$D$78:$D$87,0))),"Semana 7",IFERROR(INDEX('🔄 Rotação Duplas'!$D$92:$D$101,MATCH(D597,'🔄 Rotação Duplas'!$C$92:$C$101,0)),INDEX('🔄 Rotação Duplas'!$C$92:$C$101,MATCH(D597,'🔄 Rotação Duplas'!$D$92:$D$101,0))),"Semana 8",IFERROR(INDEX('🔄 Rotação Duplas'!$D$106:$D$115,MATCH(D597,'🔄 Rotação Duplas'!$C$106:$C$115,0)),INDEX('🔄 Rotação Duplas'!$C$106:$C$115,MATCH(D597,'🔄 Rotação Duplas'!$D$106:$D$115,0)))),""))</f>
        <v/>
      </c>
      <c r="T597">
        <f t="shared" si="51"/>
        <v>0</v>
      </c>
    </row>
    <row r="598" spans="2:20" ht="18" customHeight="1" x14ac:dyDescent="0.2">
      <c r="B598" s="85" t="s">
        <v>132</v>
      </c>
      <c r="C598" s="86" t="str">
        <f t="shared" si="52"/>
        <v>Desafio 30</v>
      </c>
      <c r="D598" s="87" t="str">
        <f>'⚙️ Configuração'!C41</f>
        <v>Marta Torres</v>
      </c>
      <c r="E598" s="50">
        <v>0</v>
      </c>
      <c r="F598" s="50">
        <v>0</v>
      </c>
      <c r="G598" s="50">
        <v>0</v>
      </c>
      <c r="H598" s="50">
        <v>0</v>
      </c>
      <c r="I598" s="50">
        <v>0</v>
      </c>
      <c r="J598" s="89">
        <v>0</v>
      </c>
      <c r="K598" s="81">
        <f>(E598*'⚙️ Configuração'!$C$6+F598*'⚙️ Configuração'!$C$7+G598*'⚙️ Configuração'!$C$8+H598*'⚙️ Configuração'!$C$9+I598*'⚙️ Configuração'!$C$10+J598*'⚙️ Configuração'!$C$11)*IF(N598="S",2,1)</f>
        <v>0</v>
      </c>
      <c r="L598" s="90" t="s">
        <v>167</v>
      </c>
      <c r="M598" s="82">
        <f>IF(L598="AT1",'⚙️ Configuração'!$C$14,IF(L598="AT2",'⚙️ Configuração'!$C$15,IF(L598="FI",'⚙️ Configuração'!$C$16,IF(L598="FJ",'⚙️ Configuração'!$C$17,0))))</f>
        <v>0</v>
      </c>
      <c r="N598" s="91" t="s">
        <v>167</v>
      </c>
      <c r="O598" s="92"/>
      <c r="P598" s="83">
        <f>IF(O598="1",'⚙️ Configuração'!$C$21,IF(O598="2",'⚙️ Configuração'!$C$22,IF(O598="3",'⚙️ Configuração'!$C$23,IF(O598="Outro",'⚙️ Configuração'!$C$24,0))))</f>
        <v>0</v>
      </c>
      <c r="Q598" s="84">
        <f t="shared" si="50"/>
        <v>0</v>
      </c>
      <c r="R598" s="40" t="str">
        <f t="shared" si="44"/>
        <v>Semana 1 — ver 🔄</v>
      </c>
      <c r="S598" t="str" cm="1">
        <f t="array" ref="S598">IF(D598="","",IFERROR(_xlfn.SWITCH(B598,"Semana 1",IFERROR(INDEX('🔄 Rotação Duplas'!$D$8:$D$17,MATCH(D598,'🔄 Rotação Duplas'!$C$8:$C$17,0)),INDEX('🔄 Rotação Duplas'!$C$8:$C$17,MATCH(D598,'🔄 Rotação Duplas'!$D$8:$D$17,0))),"Semana 2",IFERROR(INDEX('🔄 Rotação Duplas'!$D$22:$D$31,MATCH(D598,'🔄 Rotação Duplas'!$C$22:$C$31,0)),INDEX('🔄 Rotação Duplas'!$C$22:$C$31,MATCH(D598,'🔄 Rotação Duplas'!$D$22:$D$31,0))),"Semana 3",IFERROR(INDEX('🔄 Rotação Duplas'!$D$36:$D$45,MATCH(D598,'🔄 Rotação Duplas'!$C$36:$C$45,0)),INDEX('🔄 Rotação Duplas'!$C$36:$C$45,MATCH(D598,'🔄 Rotação Duplas'!$D$36:$D$45,0))),"Semana 4",IFERROR(INDEX('🔄 Rotação Duplas'!$D$50:$D$59,MATCH(D598,'🔄 Rotação Duplas'!$C$50:$C$59,0)),INDEX('🔄 Rotação Duplas'!$C$50:$C$59,MATCH(D598,'🔄 Rotação Duplas'!$D$50:$D$59,0))),"Semana 5",IFERROR(INDEX('🔄 Rotação Duplas'!$D$64:$D$73,MATCH(D598,'🔄 Rotação Duplas'!$C$64:$C$73,0)),INDEX('🔄 Rotação Duplas'!$C$64:$C$73,MATCH(D598,'🔄 Rotação Duplas'!$D$64:$D$73,0))),"Semana 6",IFERROR(INDEX('🔄 Rotação Duplas'!$D$78:$D$87,MATCH(D598,'🔄 Rotação Duplas'!$C$78:$C$87,0)),INDEX('🔄 Rotação Duplas'!$C$78:$C$87,MATCH(D598,'🔄 Rotação Duplas'!$D$78:$D$87,0))),"Semana 7",IFERROR(INDEX('🔄 Rotação Duplas'!$D$92:$D$101,MATCH(D598,'🔄 Rotação Duplas'!$C$92:$C$101,0)),INDEX('🔄 Rotação Duplas'!$C$92:$C$101,MATCH(D598,'🔄 Rotação Duplas'!$D$92:$D$101,0))),"Semana 8",IFERROR(INDEX('🔄 Rotação Duplas'!$D$106:$D$115,MATCH(D598,'🔄 Rotação Duplas'!$C$106:$C$115,0)),INDEX('🔄 Rotação Duplas'!$C$106:$C$115,MATCH(D598,'🔄 Rotação Duplas'!$D$106:$D$115,0)))),""))</f>
        <v/>
      </c>
      <c r="T598">
        <f t="shared" si="51"/>
        <v>0</v>
      </c>
    </row>
    <row r="599" spans="2:20" ht="18" customHeight="1" x14ac:dyDescent="0.2">
      <c r="B599" s="78" t="s">
        <v>132</v>
      </c>
      <c r="C599" s="79" t="str">
        <f t="shared" si="52"/>
        <v>Desafio 30</v>
      </c>
      <c r="D599" s="80" t="str">
        <f>'⚙️ Configuração'!C42</f>
        <v>Patricia Isabel Silva</v>
      </c>
      <c r="E599" s="50">
        <v>0</v>
      </c>
      <c r="F599" s="50">
        <v>0</v>
      </c>
      <c r="G599" s="50">
        <v>0</v>
      </c>
      <c r="H599" s="50">
        <v>0</v>
      </c>
      <c r="I599" s="50">
        <v>0</v>
      </c>
      <c r="J599" s="89">
        <v>0</v>
      </c>
      <c r="K599" s="81">
        <f>(E599*'⚙️ Configuração'!$C$6+F599*'⚙️ Configuração'!$C$7+G599*'⚙️ Configuração'!$C$8+H599*'⚙️ Configuração'!$C$9+I599*'⚙️ Configuração'!$C$10+J599*'⚙️ Configuração'!$C$11)*IF(N599="S",2,1)</f>
        <v>0</v>
      </c>
      <c r="L599" s="90" t="s">
        <v>167</v>
      </c>
      <c r="M599" s="82">
        <f>IF(L599="AT1",'⚙️ Configuração'!$C$14,IF(L599="AT2",'⚙️ Configuração'!$C$15,IF(L599="FI",'⚙️ Configuração'!$C$16,IF(L599="FJ",'⚙️ Configuração'!$C$17,0))))</f>
        <v>0</v>
      </c>
      <c r="N599" s="91" t="s">
        <v>167</v>
      </c>
      <c r="O599" s="92"/>
      <c r="P599" s="83">
        <f>IF(O599="1",'⚙️ Configuração'!$C$21,IF(O599="2",'⚙️ Configuração'!$C$22,IF(O599="3",'⚙️ Configuração'!$C$23,IF(O599="Outro",'⚙️ Configuração'!$C$24,0))))</f>
        <v>0</v>
      </c>
      <c r="Q599" s="84">
        <f t="shared" si="50"/>
        <v>0</v>
      </c>
      <c r="R599" s="40" t="str">
        <f t="shared" si="44"/>
        <v>Semana 1 — ver 🔄</v>
      </c>
      <c r="S599" t="str" cm="1">
        <f t="array" ref="S599">IF(D599="","",IFERROR(_xlfn.SWITCH(B599,"Semana 1",IFERROR(INDEX('🔄 Rotação Duplas'!$D$8:$D$17,MATCH(D599,'🔄 Rotação Duplas'!$C$8:$C$17,0)),INDEX('🔄 Rotação Duplas'!$C$8:$C$17,MATCH(D599,'🔄 Rotação Duplas'!$D$8:$D$17,0))),"Semana 2",IFERROR(INDEX('🔄 Rotação Duplas'!$D$22:$D$31,MATCH(D599,'🔄 Rotação Duplas'!$C$22:$C$31,0)),INDEX('🔄 Rotação Duplas'!$C$22:$C$31,MATCH(D599,'🔄 Rotação Duplas'!$D$22:$D$31,0))),"Semana 3",IFERROR(INDEX('🔄 Rotação Duplas'!$D$36:$D$45,MATCH(D599,'🔄 Rotação Duplas'!$C$36:$C$45,0)),INDEX('🔄 Rotação Duplas'!$C$36:$C$45,MATCH(D599,'🔄 Rotação Duplas'!$D$36:$D$45,0))),"Semana 4",IFERROR(INDEX('🔄 Rotação Duplas'!$D$50:$D$59,MATCH(D599,'🔄 Rotação Duplas'!$C$50:$C$59,0)),INDEX('🔄 Rotação Duplas'!$C$50:$C$59,MATCH(D599,'🔄 Rotação Duplas'!$D$50:$D$59,0))),"Semana 5",IFERROR(INDEX('🔄 Rotação Duplas'!$D$64:$D$73,MATCH(D599,'🔄 Rotação Duplas'!$C$64:$C$73,0)),INDEX('🔄 Rotação Duplas'!$C$64:$C$73,MATCH(D599,'🔄 Rotação Duplas'!$D$64:$D$73,0))),"Semana 6",IFERROR(INDEX('🔄 Rotação Duplas'!$D$78:$D$87,MATCH(D599,'🔄 Rotação Duplas'!$C$78:$C$87,0)),INDEX('🔄 Rotação Duplas'!$C$78:$C$87,MATCH(D599,'🔄 Rotação Duplas'!$D$78:$D$87,0))),"Semana 7",IFERROR(INDEX('🔄 Rotação Duplas'!$D$92:$D$101,MATCH(D599,'🔄 Rotação Duplas'!$C$92:$C$101,0)),INDEX('🔄 Rotação Duplas'!$C$92:$C$101,MATCH(D599,'🔄 Rotação Duplas'!$D$92:$D$101,0))),"Semana 8",IFERROR(INDEX('🔄 Rotação Duplas'!$D$106:$D$115,MATCH(D599,'🔄 Rotação Duplas'!$C$106:$C$115,0)),INDEX('🔄 Rotação Duplas'!$C$106:$C$115,MATCH(D599,'🔄 Rotação Duplas'!$D$106:$D$115,0)))),""))</f>
        <v/>
      </c>
      <c r="T599">
        <f t="shared" si="51"/>
        <v>0</v>
      </c>
    </row>
    <row r="600" spans="2:20" ht="18" customHeight="1" x14ac:dyDescent="0.2">
      <c r="B600" s="85" t="s">
        <v>132</v>
      </c>
      <c r="C600" s="86" t="str">
        <f t="shared" si="52"/>
        <v>Desafio 30</v>
      </c>
      <c r="D600" s="87" t="str">
        <f>'⚙️ Configuração'!C43</f>
        <v>Paula Martins</v>
      </c>
      <c r="E600" s="50">
        <v>0</v>
      </c>
      <c r="F600" s="50">
        <v>0</v>
      </c>
      <c r="G600" s="50">
        <v>0</v>
      </c>
      <c r="H600" s="50">
        <v>0</v>
      </c>
      <c r="I600" s="50">
        <v>0</v>
      </c>
      <c r="J600" s="89">
        <v>0</v>
      </c>
      <c r="K600" s="81">
        <f>(E600*'⚙️ Configuração'!$C$6+F600*'⚙️ Configuração'!$C$7+G600*'⚙️ Configuração'!$C$8+H600*'⚙️ Configuração'!$C$9+I600*'⚙️ Configuração'!$C$10+J600*'⚙️ Configuração'!$C$11)*IF(N600="S",2,1)</f>
        <v>0</v>
      </c>
      <c r="L600" s="90" t="s">
        <v>167</v>
      </c>
      <c r="M600" s="82">
        <f>IF(L600="AT1",'⚙️ Configuração'!$C$14,IF(L600="AT2",'⚙️ Configuração'!$C$15,IF(L600="FI",'⚙️ Configuração'!$C$16,IF(L600="FJ",'⚙️ Configuração'!$C$17,0))))</f>
        <v>0</v>
      </c>
      <c r="N600" s="91" t="s">
        <v>167</v>
      </c>
      <c r="O600" s="92"/>
      <c r="P600" s="83">
        <f>IF(O600="1",'⚙️ Configuração'!$C$21,IF(O600="2",'⚙️ Configuração'!$C$22,IF(O600="3",'⚙️ Configuração'!$C$23,IF(O600="Outro",'⚙️ Configuração'!$C$24,0))))</f>
        <v>0</v>
      </c>
      <c r="Q600" s="84">
        <f t="shared" si="50"/>
        <v>0</v>
      </c>
      <c r="R600" s="40" t="str">
        <f t="shared" si="44"/>
        <v>Semana 1 — ver 🔄</v>
      </c>
      <c r="S600" t="str" cm="1">
        <f t="array" ref="S600">IF(D600="","",IFERROR(_xlfn.SWITCH(B600,"Semana 1",IFERROR(INDEX('🔄 Rotação Duplas'!$D$8:$D$17,MATCH(D600,'🔄 Rotação Duplas'!$C$8:$C$17,0)),INDEX('🔄 Rotação Duplas'!$C$8:$C$17,MATCH(D600,'🔄 Rotação Duplas'!$D$8:$D$17,0))),"Semana 2",IFERROR(INDEX('🔄 Rotação Duplas'!$D$22:$D$31,MATCH(D600,'🔄 Rotação Duplas'!$C$22:$C$31,0)),INDEX('🔄 Rotação Duplas'!$C$22:$C$31,MATCH(D600,'🔄 Rotação Duplas'!$D$22:$D$31,0))),"Semana 3",IFERROR(INDEX('🔄 Rotação Duplas'!$D$36:$D$45,MATCH(D600,'🔄 Rotação Duplas'!$C$36:$C$45,0)),INDEX('🔄 Rotação Duplas'!$C$36:$C$45,MATCH(D600,'🔄 Rotação Duplas'!$D$36:$D$45,0))),"Semana 4",IFERROR(INDEX('🔄 Rotação Duplas'!$D$50:$D$59,MATCH(D600,'🔄 Rotação Duplas'!$C$50:$C$59,0)),INDEX('🔄 Rotação Duplas'!$C$50:$C$59,MATCH(D600,'🔄 Rotação Duplas'!$D$50:$D$59,0))),"Semana 5",IFERROR(INDEX('🔄 Rotação Duplas'!$D$64:$D$73,MATCH(D600,'🔄 Rotação Duplas'!$C$64:$C$73,0)),INDEX('🔄 Rotação Duplas'!$C$64:$C$73,MATCH(D600,'🔄 Rotação Duplas'!$D$64:$D$73,0))),"Semana 6",IFERROR(INDEX('🔄 Rotação Duplas'!$D$78:$D$87,MATCH(D600,'🔄 Rotação Duplas'!$C$78:$C$87,0)),INDEX('🔄 Rotação Duplas'!$C$78:$C$87,MATCH(D600,'🔄 Rotação Duplas'!$D$78:$D$87,0))),"Semana 7",IFERROR(INDEX('🔄 Rotação Duplas'!$D$92:$D$101,MATCH(D600,'🔄 Rotação Duplas'!$C$92:$C$101,0)),INDEX('🔄 Rotação Duplas'!$C$92:$C$101,MATCH(D600,'🔄 Rotação Duplas'!$D$92:$D$101,0))),"Semana 8",IFERROR(INDEX('🔄 Rotação Duplas'!$D$106:$D$115,MATCH(D600,'🔄 Rotação Duplas'!$C$106:$C$115,0)),INDEX('🔄 Rotação Duplas'!$C$106:$C$115,MATCH(D600,'🔄 Rotação Duplas'!$D$106:$D$115,0)))),""))</f>
        <v/>
      </c>
      <c r="T600">
        <f t="shared" si="51"/>
        <v>0</v>
      </c>
    </row>
    <row r="601" spans="2:20" ht="18" customHeight="1" x14ac:dyDescent="0.2">
      <c r="B601" s="78" t="s">
        <v>132</v>
      </c>
      <c r="C601" s="79" t="str">
        <f t="shared" si="52"/>
        <v>Desafio 30</v>
      </c>
      <c r="D601" s="80" t="str">
        <f>'⚙️ Configuração'!C44</f>
        <v>Paula Miabara</v>
      </c>
      <c r="E601" s="50">
        <v>0</v>
      </c>
      <c r="F601" s="50">
        <v>0</v>
      </c>
      <c r="G601" s="50">
        <v>0</v>
      </c>
      <c r="H601" s="50">
        <v>0</v>
      </c>
      <c r="I601" s="50">
        <v>0</v>
      </c>
      <c r="J601" s="89">
        <v>0</v>
      </c>
      <c r="K601" s="81">
        <f>(E601*'⚙️ Configuração'!$C$6+F601*'⚙️ Configuração'!$C$7+G601*'⚙️ Configuração'!$C$8+H601*'⚙️ Configuração'!$C$9+I601*'⚙️ Configuração'!$C$10+J601*'⚙️ Configuração'!$C$11)*IF(N601="S",2,1)</f>
        <v>0</v>
      </c>
      <c r="L601" s="90" t="s">
        <v>167</v>
      </c>
      <c r="M601" s="82">
        <f>IF(L601="AT1",'⚙️ Configuração'!$C$14,IF(L601="AT2",'⚙️ Configuração'!$C$15,IF(L601="FI",'⚙️ Configuração'!$C$16,IF(L601="FJ",'⚙️ Configuração'!$C$17,0))))</f>
        <v>0</v>
      </c>
      <c r="N601" s="91" t="s">
        <v>167</v>
      </c>
      <c r="O601" s="92"/>
      <c r="P601" s="83">
        <f>IF(O601="1",'⚙️ Configuração'!$C$21,IF(O601="2",'⚙️ Configuração'!$C$22,IF(O601="3",'⚙️ Configuração'!$C$23,IF(O601="Outro",'⚙️ Configuração'!$C$24,0))))</f>
        <v>0</v>
      </c>
      <c r="Q601" s="84">
        <f t="shared" si="50"/>
        <v>0</v>
      </c>
      <c r="R601" s="40" t="str">
        <f t="shared" si="44"/>
        <v>Semana 1 — ver 🔄</v>
      </c>
      <c r="S601" t="str" cm="1">
        <f t="array" ref="S601">IF(D601="","",IFERROR(_xlfn.SWITCH(B601,"Semana 1",IFERROR(INDEX('🔄 Rotação Duplas'!$D$8:$D$17,MATCH(D601,'🔄 Rotação Duplas'!$C$8:$C$17,0)),INDEX('🔄 Rotação Duplas'!$C$8:$C$17,MATCH(D601,'🔄 Rotação Duplas'!$D$8:$D$17,0))),"Semana 2",IFERROR(INDEX('🔄 Rotação Duplas'!$D$22:$D$31,MATCH(D601,'🔄 Rotação Duplas'!$C$22:$C$31,0)),INDEX('🔄 Rotação Duplas'!$C$22:$C$31,MATCH(D601,'🔄 Rotação Duplas'!$D$22:$D$31,0))),"Semana 3",IFERROR(INDEX('🔄 Rotação Duplas'!$D$36:$D$45,MATCH(D601,'🔄 Rotação Duplas'!$C$36:$C$45,0)),INDEX('🔄 Rotação Duplas'!$C$36:$C$45,MATCH(D601,'🔄 Rotação Duplas'!$D$36:$D$45,0))),"Semana 4",IFERROR(INDEX('🔄 Rotação Duplas'!$D$50:$D$59,MATCH(D601,'🔄 Rotação Duplas'!$C$50:$C$59,0)),INDEX('🔄 Rotação Duplas'!$C$50:$C$59,MATCH(D601,'🔄 Rotação Duplas'!$D$50:$D$59,0))),"Semana 5",IFERROR(INDEX('🔄 Rotação Duplas'!$D$64:$D$73,MATCH(D601,'🔄 Rotação Duplas'!$C$64:$C$73,0)),INDEX('🔄 Rotação Duplas'!$C$64:$C$73,MATCH(D601,'🔄 Rotação Duplas'!$D$64:$D$73,0))),"Semana 6",IFERROR(INDEX('🔄 Rotação Duplas'!$D$78:$D$87,MATCH(D601,'🔄 Rotação Duplas'!$C$78:$C$87,0)),INDEX('🔄 Rotação Duplas'!$C$78:$C$87,MATCH(D601,'🔄 Rotação Duplas'!$D$78:$D$87,0))),"Semana 7",IFERROR(INDEX('🔄 Rotação Duplas'!$D$92:$D$101,MATCH(D601,'🔄 Rotação Duplas'!$C$92:$C$101,0)),INDEX('🔄 Rotação Duplas'!$C$92:$C$101,MATCH(D601,'🔄 Rotação Duplas'!$D$92:$D$101,0))),"Semana 8",IFERROR(INDEX('🔄 Rotação Duplas'!$D$106:$D$115,MATCH(D601,'🔄 Rotação Duplas'!$C$106:$C$115,0)),INDEX('🔄 Rotação Duplas'!$C$106:$C$115,MATCH(D601,'🔄 Rotação Duplas'!$D$106:$D$115,0)))),""))</f>
        <v/>
      </c>
      <c r="T601">
        <f t="shared" si="51"/>
        <v>0</v>
      </c>
    </row>
    <row r="602" spans="2:20" ht="18" customHeight="1" x14ac:dyDescent="0.2">
      <c r="B602" s="85" t="s">
        <v>132</v>
      </c>
      <c r="C602" s="86" t="str">
        <f t="shared" si="52"/>
        <v>Desafio 30</v>
      </c>
      <c r="D602" s="87" t="str">
        <f>'⚙️ Configuração'!C45</f>
        <v>Rita Carmo</v>
      </c>
      <c r="E602" s="50">
        <v>0</v>
      </c>
      <c r="F602" s="50">
        <v>0</v>
      </c>
      <c r="G602" s="50">
        <v>0</v>
      </c>
      <c r="H602" s="50">
        <v>0</v>
      </c>
      <c r="I602" s="50">
        <v>0</v>
      </c>
      <c r="J602" s="89">
        <v>0</v>
      </c>
      <c r="K602" s="81">
        <f>(E602*'⚙️ Configuração'!$C$6+F602*'⚙️ Configuração'!$C$7+G602*'⚙️ Configuração'!$C$8+H602*'⚙️ Configuração'!$C$9+I602*'⚙️ Configuração'!$C$10+J602*'⚙️ Configuração'!$C$11)*IF(N602="S",2,1)</f>
        <v>0</v>
      </c>
      <c r="L602" s="90" t="s">
        <v>167</v>
      </c>
      <c r="M602" s="82">
        <f>IF(L602="AT1",'⚙️ Configuração'!$C$14,IF(L602="AT2",'⚙️ Configuração'!$C$15,IF(L602="FI",'⚙️ Configuração'!$C$16,IF(L602="FJ",'⚙️ Configuração'!$C$17,0))))</f>
        <v>0</v>
      </c>
      <c r="N602" s="91" t="s">
        <v>167</v>
      </c>
      <c r="O602" s="92"/>
      <c r="P602" s="83">
        <f>IF(O602="1",'⚙️ Configuração'!$C$21,IF(O602="2",'⚙️ Configuração'!$C$22,IF(O602="3",'⚙️ Configuração'!$C$23,IF(O602="Outro",'⚙️ Configuração'!$C$24,0))))</f>
        <v>0</v>
      </c>
      <c r="Q602" s="84">
        <f t="shared" si="50"/>
        <v>0</v>
      </c>
      <c r="R602" s="40" t="str">
        <f t="shared" si="44"/>
        <v>Semana 1 — ver 🔄</v>
      </c>
      <c r="S602" t="str" cm="1">
        <f t="array" ref="S602">IF(D602="","",IFERROR(_xlfn.SWITCH(B602,"Semana 1",IFERROR(INDEX('🔄 Rotação Duplas'!$D$8:$D$17,MATCH(D602,'🔄 Rotação Duplas'!$C$8:$C$17,0)),INDEX('🔄 Rotação Duplas'!$C$8:$C$17,MATCH(D602,'🔄 Rotação Duplas'!$D$8:$D$17,0))),"Semana 2",IFERROR(INDEX('🔄 Rotação Duplas'!$D$22:$D$31,MATCH(D602,'🔄 Rotação Duplas'!$C$22:$C$31,0)),INDEX('🔄 Rotação Duplas'!$C$22:$C$31,MATCH(D602,'🔄 Rotação Duplas'!$D$22:$D$31,0))),"Semana 3",IFERROR(INDEX('🔄 Rotação Duplas'!$D$36:$D$45,MATCH(D602,'🔄 Rotação Duplas'!$C$36:$C$45,0)),INDEX('🔄 Rotação Duplas'!$C$36:$C$45,MATCH(D602,'🔄 Rotação Duplas'!$D$36:$D$45,0))),"Semana 4",IFERROR(INDEX('🔄 Rotação Duplas'!$D$50:$D$59,MATCH(D602,'🔄 Rotação Duplas'!$C$50:$C$59,0)),INDEX('🔄 Rotação Duplas'!$C$50:$C$59,MATCH(D602,'🔄 Rotação Duplas'!$D$50:$D$59,0))),"Semana 5",IFERROR(INDEX('🔄 Rotação Duplas'!$D$64:$D$73,MATCH(D602,'🔄 Rotação Duplas'!$C$64:$C$73,0)),INDEX('🔄 Rotação Duplas'!$C$64:$C$73,MATCH(D602,'🔄 Rotação Duplas'!$D$64:$D$73,0))),"Semana 6",IFERROR(INDEX('🔄 Rotação Duplas'!$D$78:$D$87,MATCH(D602,'🔄 Rotação Duplas'!$C$78:$C$87,0)),INDEX('🔄 Rotação Duplas'!$C$78:$C$87,MATCH(D602,'🔄 Rotação Duplas'!$D$78:$D$87,0))),"Semana 7",IFERROR(INDEX('🔄 Rotação Duplas'!$D$92:$D$101,MATCH(D602,'🔄 Rotação Duplas'!$C$92:$C$101,0)),INDEX('🔄 Rotação Duplas'!$C$92:$C$101,MATCH(D602,'🔄 Rotação Duplas'!$D$92:$D$101,0))),"Semana 8",IFERROR(INDEX('🔄 Rotação Duplas'!$D$106:$D$115,MATCH(D602,'🔄 Rotação Duplas'!$C$106:$C$115,0)),INDEX('🔄 Rotação Duplas'!$C$106:$C$115,MATCH(D602,'🔄 Rotação Duplas'!$D$106:$D$115,0)))),""))</f>
        <v/>
      </c>
      <c r="T602">
        <f t="shared" si="51"/>
        <v>0</v>
      </c>
    </row>
    <row r="603" spans="2:20" ht="18" customHeight="1" x14ac:dyDescent="0.2">
      <c r="B603" s="78" t="s">
        <v>132</v>
      </c>
      <c r="C603" s="79" t="str">
        <f t="shared" si="52"/>
        <v>Desafio 30</v>
      </c>
      <c r="D603" s="80" t="str">
        <f>'⚙️ Configuração'!C46</f>
        <v>William Fernandes</v>
      </c>
      <c r="E603" s="50">
        <v>0</v>
      </c>
      <c r="F603" s="50">
        <v>0</v>
      </c>
      <c r="G603" s="50">
        <v>0</v>
      </c>
      <c r="H603" s="50">
        <v>0</v>
      </c>
      <c r="I603" s="50">
        <v>0</v>
      </c>
      <c r="J603" s="89">
        <v>0</v>
      </c>
      <c r="K603" s="81">
        <f>(E603*'⚙️ Configuração'!$C$6+F603*'⚙️ Configuração'!$C$7+G603*'⚙️ Configuração'!$C$8+H603*'⚙️ Configuração'!$C$9+I603*'⚙️ Configuração'!$C$10+J603*'⚙️ Configuração'!$C$11)*IF(N603="S",2,1)</f>
        <v>0</v>
      </c>
      <c r="L603" s="90" t="s">
        <v>167</v>
      </c>
      <c r="M603" s="82">
        <f>IF(L603="AT1",'⚙️ Configuração'!$C$14,IF(L603="AT2",'⚙️ Configuração'!$C$15,IF(L603="FI",'⚙️ Configuração'!$C$16,IF(L603="FJ",'⚙️ Configuração'!$C$17,0))))</f>
        <v>0</v>
      </c>
      <c r="N603" s="91" t="s">
        <v>167</v>
      </c>
      <c r="O603" s="92"/>
      <c r="P603" s="83">
        <f>IF(O603="1",'⚙️ Configuração'!$C$21,IF(O603="2",'⚙️ Configuração'!$C$22,IF(O603="3",'⚙️ Configuração'!$C$23,IF(O603="Outro",'⚙️ Configuração'!$C$24,0))))</f>
        <v>0</v>
      </c>
      <c r="Q603" s="84">
        <f t="shared" si="50"/>
        <v>0</v>
      </c>
      <c r="R603" s="40" t="str">
        <f t="shared" si="44"/>
        <v>Semana 1 — ver 🔄</v>
      </c>
      <c r="S603" t="str" cm="1">
        <f t="array" ref="S603">IF(D603="","",IFERROR(_xlfn.SWITCH(B603,"Semana 1",IFERROR(INDEX('🔄 Rotação Duplas'!$D$8:$D$17,MATCH(D603,'🔄 Rotação Duplas'!$C$8:$C$17,0)),INDEX('🔄 Rotação Duplas'!$C$8:$C$17,MATCH(D603,'🔄 Rotação Duplas'!$D$8:$D$17,0))),"Semana 2",IFERROR(INDEX('🔄 Rotação Duplas'!$D$22:$D$31,MATCH(D603,'🔄 Rotação Duplas'!$C$22:$C$31,0)),INDEX('🔄 Rotação Duplas'!$C$22:$C$31,MATCH(D603,'🔄 Rotação Duplas'!$D$22:$D$31,0))),"Semana 3",IFERROR(INDEX('🔄 Rotação Duplas'!$D$36:$D$45,MATCH(D603,'🔄 Rotação Duplas'!$C$36:$C$45,0)),INDEX('🔄 Rotação Duplas'!$C$36:$C$45,MATCH(D603,'🔄 Rotação Duplas'!$D$36:$D$45,0))),"Semana 4",IFERROR(INDEX('🔄 Rotação Duplas'!$D$50:$D$59,MATCH(D603,'🔄 Rotação Duplas'!$C$50:$C$59,0)),INDEX('🔄 Rotação Duplas'!$C$50:$C$59,MATCH(D603,'🔄 Rotação Duplas'!$D$50:$D$59,0))),"Semana 5",IFERROR(INDEX('🔄 Rotação Duplas'!$D$64:$D$73,MATCH(D603,'🔄 Rotação Duplas'!$C$64:$C$73,0)),INDEX('🔄 Rotação Duplas'!$C$64:$C$73,MATCH(D603,'🔄 Rotação Duplas'!$D$64:$D$73,0))),"Semana 6",IFERROR(INDEX('🔄 Rotação Duplas'!$D$78:$D$87,MATCH(D603,'🔄 Rotação Duplas'!$C$78:$C$87,0)),INDEX('🔄 Rotação Duplas'!$C$78:$C$87,MATCH(D603,'🔄 Rotação Duplas'!$D$78:$D$87,0))),"Semana 7",IFERROR(INDEX('🔄 Rotação Duplas'!$D$92:$D$101,MATCH(D603,'🔄 Rotação Duplas'!$C$92:$C$101,0)),INDEX('🔄 Rotação Duplas'!$C$92:$C$101,MATCH(D603,'🔄 Rotação Duplas'!$D$92:$D$101,0))),"Semana 8",IFERROR(INDEX('🔄 Rotação Duplas'!$D$106:$D$115,MATCH(D603,'🔄 Rotação Duplas'!$C$106:$C$115,0)),INDEX('🔄 Rotação Duplas'!$C$106:$C$115,MATCH(D603,'🔄 Rotação Duplas'!$D$106:$D$115,0)))),""))</f>
        <v/>
      </c>
      <c r="T603">
        <f t="shared" si="51"/>
        <v>0</v>
      </c>
    </row>
    <row r="604" spans="2:20" ht="18" customHeight="1" x14ac:dyDescent="0.2">
      <c r="B604" s="85" t="s">
        <v>132</v>
      </c>
      <c r="C604" s="86" t="str">
        <f t="shared" si="52"/>
        <v>Desafio 30</v>
      </c>
      <c r="D604" s="87" t="str">
        <f>'⚙️ Configuração'!C47</f>
        <v>-</v>
      </c>
      <c r="E604" s="50">
        <v>0</v>
      </c>
      <c r="F604" s="50">
        <v>0</v>
      </c>
      <c r="G604" s="50">
        <v>0</v>
      </c>
      <c r="H604" s="50">
        <v>0</v>
      </c>
      <c r="I604" s="50">
        <v>0</v>
      </c>
      <c r="J604" s="89">
        <v>0</v>
      </c>
      <c r="K604" s="81">
        <f>(E604*'⚙️ Configuração'!$C$6+F604*'⚙️ Configuração'!$C$7+G604*'⚙️ Configuração'!$C$8+H604*'⚙️ Configuração'!$C$9+I604*'⚙️ Configuração'!$C$10+J604*'⚙️ Configuração'!$C$11)*IF(N604="S",2,1)</f>
        <v>0</v>
      </c>
      <c r="L604" s="90" t="s">
        <v>167</v>
      </c>
      <c r="M604" s="82">
        <f>IF(L604="AT1",'⚙️ Configuração'!$C$14,IF(L604="AT2",'⚙️ Configuração'!$C$15,IF(L604="FI",'⚙️ Configuração'!$C$16,IF(L604="FJ",'⚙️ Configuração'!$C$17,0))))</f>
        <v>0</v>
      </c>
      <c r="N604" s="91" t="s">
        <v>167</v>
      </c>
      <c r="O604" s="92"/>
      <c r="P604" s="83">
        <f>IF(O604="1",'⚙️ Configuração'!$C$21,IF(O604="2",'⚙️ Configuração'!$C$22,IF(O604="3",'⚙️ Configuração'!$C$23,IF(O604="Outro",'⚙️ Configuração'!$C$24,0))))</f>
        <v>0</v>
      </c>
      <c r="Q604" s="84">
        <f t="shared" si="50"/>
        <v>0</v>
      </c>
      <c r="R604" s="40" t="str">
        <f t="shared" si="44"/>
        <v>Semana 1 — ver 🔄</v>
      </c>
      <c r="S604" t="str" cm="1">
        <f t="array" ref="S604">IF(D604="","",IFERROR(_xlfn.SWITCH(B604,"Semana 1",IFERROR(INDEX('🔄 Rotação Duplas'!$D$8:$D$17,MATCH(D604,'🔄 Rotação Duplas'!$C$8:$C$17,0)),INDEX('🔄 Rotação Duplas'!$C$8:$C$17,MATCH(D604,'🔄 Rotação Duplas'!$D$8:$D$17,0))),"Semana 2",IFERROR(INDEX('🔄 Rotação Duplas'!$D$22:$D$31,MATCH(D604,'🔄 Rotação Duplas'!$C$22:$C$31,0)),INDEX('🔄 Rotação Duplas'!$C$22:$C$31,MATCH(D604,'🔄 Rotação Duplas'!$D$22:$D$31,0))),"Semana 3",IFERROR(INDEX('🔄 Rotação Duplas'!$D$36:$D$45,MATCH(D604,'🔄 Rotação Duplas'!$C$36:$C$45,0)),INDEX('🔄 Rotação Duplas'!$C$36:$C$45,MATCH(D604,'🔄 Rotação Duplas'!$D$36:$D$45,0))),"Semana 4",IFERROR(INDEX('🔄 Rotação Duplas'!$D$50:$D$59,MATCH(D604,'🔄 Rotação Duplas'!$C$50:$C$59,0)),INDEX('🔄 Rotação Duplas'!$C$50:$C$59,MATCH(D604,'🔄 Rotação Duplas'!$D$50:$D$59,0))),"Semana 5",IFERROR(INDEX('🔄 Rotação Duplas'!$D$64:$D$73,MATCH(D604,'🔄 Rotação Duplas'!$C$64:$C$73,0)),INDEX('🔄 Rotação Duplas'!$C$64:$C$73,MATCH(D604,'🔄 Rotação Duplas'!$D$64:$D$73,0))),"Semana 6",IFERROR(INDEX('🔄 Rotação Duplas'!$D$78:$D$87,MATCH(D604,'🔄 Rotação Duplas'!$C$78:$C$87,0)),INDEX('🔄 Rotação Duplas'!$C$78:$C$87,MATCH(D604,'🔄 Rotação Duplas'!$D$78:$D$87,0))),"Semana 7",IFERROR(INDEX('🔄 Rotação Duplas'!$D$92:$D$101,MATCH(D604,'🔄 Rotação Duplas'!$C$92:$C$101,0)),INDEX('🔄 Rotação Duplas'!$C$92:$C$101,MATCH(D604,'🔄 Rotação Duplas'!$D$92:$D$101,0))),"Semana 8",IFERROR(INDEX('🔄 Rotação Duplas'!$D$106:$D$115,MATCH(D604,'🔄 Rotação Duplas'!$C$106:$C$115,0)),INDEX('🔄 Rotação Duplas'!$C$106:$C$115,MATCH(D604,'🔄 Rotação Duplas'!$D$106:$D$115,0)))),""))</f>
        <v/>
      </c>
      <c r="T604">
        <f t="shared" si="51"/>
        <v>0</v>
      </c>
    </row>
    <row r="605" spans="2:20" ht="18" customHeight="1" x14ac:dyDescent="0.2">
      <c r="B605" s="78" t="s">
        <v>132</v>
      </c>
      <c r="C605" s="79" t="str">
        <f t="shared" si="52"/>
        <v>Desafio 30</v>
      </c>
      <c r="D605" s="80" t="str">
        <f>'⚙️ Configuração'!C48</f>
        <v>-</v>
      </c>
      <c r="E605" s="50">
        <v>0</v>
      </c>
      <c r="F605" s="50">
        <v>0</v>
      </c>
      <c r="G605" s="50">
        <v>0</v>
      </c>
      <c r="H605" s="50">
        <v>0</v>
      </c>
      <c r="I605" s="50">
        <v>0</v>
      </c>
      <c r="J605" s="89">
        <v>0</v>
      </c>
      <c r="K605" s="81">
        <f>(E605*'⚙️ Configuração'!$C$6+F605*'⚙️ Configuração'!$C$7+G605*'⚙️ Configuração'!$C$8+H605*'⚙️ Configuração'!$C$9+I605*'⚙️ Configuração'!$C$10+J605*'⚙️ Configuração'!$C$11)*IF(N605="S",2,1)</f>
        <v>0</v>
      </c>
      <c r="L605" s="90" t="s">
        <v>167</v>
      </c>
      <c r="M605" s="82">
        <f>IF(L605="AT1",'⚙️ Configuração'!$C$14,IF(L605="AT2",'⚙️ Configuração'!$C$15,IF(L605="FI",'⚙️ Configuração'!$C$16,IF(L605="FJ",'⚙️ Configuração'!$C$17,0))))</f>
        <v>0</v>
      </c>
      <c r="N605" s="91" t="s">
        <v>167</v>
      </c>
      <c r="O605" s="92"/>
      <c r="P605" s="83">
        <f>IF(O605="1",'⚙️ Configuração'!$C$21,IF(O605="2",'⚙️ Configuração'!$C$22,IF(O605="3",'⚙️ Configuração'!$C$23,IF(O605="Outro",'⚙️ Configuração'!$C$24,0))))</f>
        <v>0</v>
      </c>
      <c r="Q605" s="84">
        <f t="shared" si="50"/>
        <v>0</v>
      </c>
      <c r="R605" s="40" t="str">
        <f t="shared" si="44"/>
        <v>Semana 1 — ver 🔄</v>
      </c>
      <c r="S605" t="str" cm="1">
        <f t="array" ref="S605">IF(D605="","",IFERROR(_xlfn.SWITCH(B605,"Semana 1",IFERROR(INDEX('🔄 Rotação Duplas'!$D$8:$D$17,MATCH(D605,'🔄 Rotação Duplas'!$C$8:$C$17,0)),INDEX('🔄 Rotação Duplas'!$C$8:$C$17,MATCH(D605,'🔄 Rotação Duplas'!$D$8:$D$17,0))),"Semana 2",IFERROR(INDEX('🔄 Rotação Duplas'!$D$22:$D$31,MATCH(D605,'🔄 Rotação Duplas'!$C$22:$C$31,0)),INDEX('🔄 Rotação Duplas'!$C$22:$C$31,MATCH(D605,'🔄 Rotação Duplas'!$D$22:$D$31,0))),"Semana 3",IFERROR(INDEX('🔄 Rotação Duplas'!$D$36:$D$45,MATCH(D605,'🔄 Rotação Duplas'!$C$36:$C$45,0)),INDEX('🔄 Rotação Duplas'!$C$36:$C$45,MATCH(D605,'🔄 Rotação Duplas'!$D$36:$D$45,0))),"Semana 4",IFERROR(INDEX('🔄 Rotação Duplas'!$D$50:$D$59,MATCH(D605,'🔄 Rotação Duplas'!$C$50:$C$59,0)),INDEX('🔄 Rotação Duplas'!$C$50:$C$59,MATCH(D605,'🔄 Rotação Duplas'!$D$50:$D$59,0))),"Semana 5",IFERROR(INDEX('🔄 Rotação Duplas'!$D$64:$D$73,MATCH(D605,'🔄 Rotação Duplas'!$C$64:$C$73,0)),INDEX('🔄 Rotação Duplas'!$C$64:$C$73,MATCH(D605,'🔄 Rotação Duplas'!$D$64:$D$73,0))),"Semana 6",IFERROR(INDEX('🔄 Rotação Duplas'!$D$78:$D$87,MATCH(D605,'🔄 Rotação Duplas'!$C$78:$C$87,0)),INDEX('🔄 Rotação Duplas'!$C$78:$C$87,MATCH(D605,'🔄 Rotação Duplas'!$D$78:$D$87,0))),"Semana 7",IFERROR(INDEX('🔄 Rotação Duplas'!$D$92:$D$101,MATCH(D605,'🔄 Rotação Duplas'!$C$92:$C$101,0)),INDEX('🔄 Rotação Duplas'!$C$92:$C$101,MATCH(D605,'🔄 Rotação Duplas'!$D$92:$D$101,0))),"Semana 8",IFERROR(INDEX('🔄 Rotação Duplas'!$D$106:$D$115,MATCH(D605,'🔄 Rotação Duplas'!$C$106:$C$115,0)),INDEX('🔄 Rotação Duplas'!$C$106:$C$115,MATCH(D605,'🔄 Rotação Duplas'!$D$106:$D$115,0)))),""))</f>
        <v/>
      </c>
      <c r="T605">
        <f t="shared" si="51"/>
        <v>0</v>
      </c>
    </row>
    <row r="606" spans="2:20" ht="18" customHeight="1" x14ac:dyDescent="0.2">
      <c r="B606" s="85" t="s">
        <v>132</v>
      </c>
      <c r="C606" s="86" t="str">
        <f t="shared" si="52"/>
        <v>Desafio 30</v>
      </c>
      <c r="D606" s="87" t="str">
        <f>'⚙️ Configuração'!C49</f>
        <v>-</v>
      </c>
      <c r="E606" s="50">
        <v>0</v>
      </c>
      <c r="F606" s="50">
        <v>0</v>
      </c>
      <c r="G606" s="50">
        <v>0</v>
      </c>
      <c r="H606" s="50">
        <v>0</v>
      </c>
      <c r="I606" s="50">
        <v>0</v>
      </c>
      <c r="J606" s="89">
        <v>0</v>
      </c>
      <c r="K606" s="81">
        <f>(E606*'⚙️ Configuração'!$C$6+F606*'⚙️ Configuração'!$C$7+G606*'⚙️ Configuração'!$C$8+H606*'⚙️ Configuração'!$C$9+I606*'⚙️ Configuração'!$C$10+J606*'⚙️ Configuração'!$C$11)*IF(N606="S",2,1)</f>
        <v>0</v>
      </c>
      <c r="L606" s="90" t="s">
        <v>167</v>
      </c>
      <c r="M606" s="82">
        <f>IF(L606="AT1",'⚙️ Configuração'!$C$14,IF(L606="AT2",'⚙️ Configuração'!$C$15,IF(L606="FI",'⚙️ Configuração'!$C$16,IF(L606="FJ",'⚙️ Configuração'!$C$17,0))))</f>
        <v>0</v>
      </c>
      <c r="N606" s="91" t="s">
        <v>167</v>
      </c>
      <c r="O606" s="92"/>
      <c r="P606" s="83">
        <f>IF(O606="1",'⚙️ Configuração'!$C$21,IF(O606="2",'⚙️ Configuração'!$C$22,IF(O606="3",'⚙️ Configuração'!$C$23,IF(O606="Outro",'⚙️ Configuração'!$C$24,0))))</f>
        <v>0</v>
      </c>
      <c r="Q606" s="84">
        <f t="shared" si="50"/>
        <v>0</v>
      </c>
      <c r="R606" s="40" t="str">
        <f t="shared" si="44"/>
        <v>Semana 1 — ver 🔄</v>
      </c>
      <c r="S606" t="str" cm="1">
        <f t="array" ref="S606">IF(D606="","",IFERROR(_xlfn.SWITCH(B606,"Semana 1",IFERROR(INDEX('🔄 Rotação Duplas'!$D$8:$D$17,MATCH(D606,'🔄 Rotação Duplas'!$C$8:$C$17,0)),INDEX('🔄 Rotação Duplas'!$C$8:$C$17,MATCH(D606,'🔄 Rotação Duplas'!$D$8:$D$17,0))),"Semana 2",IFERROR(INDEX('🔄 Rotação Duplas'!$D$22:$D$31,MATCH(D606,'🔄 Rotação Duplas'!$C$22:$C$31,0)),INDEX('🔄 Rotação Duplas'!$C$22:$C$31,MATCH(D606,'🔄 Rotação Duplas'!$D$22:$D$31,0))),"Semana 3",IFERROR(INDEX('🔄 Rotação Duplas'!$D$36:$D$45,MATCH(D606,'🔄 Rotação Duplas'!$C$36:$C$45,0)),INDEX('🔄 Rotação Duplas'!$C$36:$C$45,MATCH(D606,'🔄 Rotação Duplas'!$D$36:$D$45,0))),"Semana 4",IFERROR(INDEX('🔄 Rotação Duplas'!$D$50:$D$59,MATCH(D606,'🔄 Rotação Duplas'!$C$50:$C$59,0)),INDEX('🔄 Rotação Duplas'!$C$50:$C$59,MATCH(D606,'🔄 Rotação Duplas'!$D$50:$D$59,0))),"Semana 5",IFERROR(INDEX('🔄 Rotação Duplas'!$D$64:$D$73,MATCH(D606,'🔄 Rotação Duplas'!$C$64:$C$73,0)),INDEX('🔄 Rotação Duplas'!$C$64:$C$73,MATCH(D606,'🔄 Rotação Duplas'!$D$64:$D$73,0))),"Semana 6",IFERROR(INDEX('🔄 Rotação Duplas'!$D$78:$D$87,MATCH(D606,'🔄 Rotação Duplas'!$C$78:$C$87,0)),INDEX('🔄 Rotação Duplas'!$C$78:$C$87,MATCH(D606,'🔄 Rotação Duplas'!$D$78:$D$87,0))),"Semana 7",IFERROR(INDEX('🔄 Rotação Duplas'!$D$92:$D$101,MATCH(D606,'🔄 Rotação Duplas'!$C$92:$C$101,0)),INDEX('🔄 Rotação Duplas'!$C$92:$C$101,MATCH(D606,'🔄 Rotação Duplas'!$D$92:$D$101,0))),"Semana 8",IFERROR(INDEX('🔄 Rotação Duplas'!$D$106:$D$115,MATCH(D606,'🔄 Rotação Duplas'!$C$106:$C$115,0)),INDEX('🔄 Rotação Duplas'!$C$106:$C$115,MATCH(D606,'🔄 Rotação Duplas'!$D$106:$D$115,0)))),""))</f>
        <v/>
      </c>
      <c r="T606">
        <f t="shared" si="51"/>
        <v>0</v>
      </c>
    </row>
    <row r="607" spans="2:20" ht="18" customHeight="1" x14ac:dyDescent="0.2">
      <c r="B607" s="78" t="s">
        <v>132</v>
      </c>
      <c r="C607" s="79" t="str">
        <f t="shared" ref="C607:C626" si="53">"Desafio 31"</f>
        <v>Desafio 31</v>
      </c>
      <c r="D607" s="80" t="str">
        <f>'⚙️ Configuração'!C30</f>
        <v>Carla Cantante</v>
      </c>
      <c r="E607" s="50">
        <v>0</v>
      </c>
      <c r="F607" s="50">
        <v>0</v>
      </c>
      <c r="G607" s="50">
        <v>0</v>
      </c>
      <c r="H607" s="50">
        <v>0</v>
      </c>
      <c r="I607" s="50">
        <v>0</v>
      </c>
      <c r="J607" s="89">
        <v>0</v>
      </c>
      <c r="K607" s="81">
        <f>(E607*'⚙️ Configuração'!$C$6+F607*'⚙️ Configuração'!$C$7+G607*'⚙️ Configuração'!$C$8+H607*'⚙️ Configuração'!$C$9+I607*'⚙️ Configuração'!$C$10+J607*'⚙️ Configuração'!$C$11)*IF(N607="S",2,1)</f>
        <v>0</v>
      </c>
      <c r="L607" s="90" t="s">
        <v>167</v>
      </c>
      <c r="M607" s="82">
        <f>IF(L607="AT1",'⚙️ Configuração'!$C$14,IF(L607="AT2",'⚙️ Configuração'!$C$15,IF(L607="FI",'⚙️ Configuração'!$C$16,IF(L607="FJ",'⚙️ Configuração'!$C$17,0))))</f>
        <v>0</v>
      </c>
      <c r="N607" s="91" t="s">
        <v>167</v>
      </c>
      <c r="O607" s="92"/>
      <c r="P607" s="83">
        <f>IF(O607="1",'⚙️ Configuração'!$C$21,IF(O607="2",'⚙️ Configuração'!$C$22,IF(O607="3",'⚙️ Configuração'!$C$23,IF(O607="Outro",'⚙️ Configuração'!$C$24,0))))</f>
        <v>0</v>
      </c>
      <c r="Q607" s="84">
        <f t="shared" si="50"/>
        <v>0</v>
      </c>
      <c r="R607" s="40" t="str">
        <f t="shared" si="44"/>
        <v>Semana 1 — ver 🔄</v>
      </c>
      <c r="S607" t="str" cm="1">
        <f t="array" ref="S607">IF(D607="","",IFERROR(_xlfn.SWITCH(B607,"Semana 1",IFERROR(INDEX('🔄 Rotação Duplas'!$D$8:$D$17,MATCH(D607,'🔄 Rotação Duplas'!$C$8:$C$17,0)),INDEX('🔄 Rotação Duplas'!$C$8:$C$17,MATCH(D607,'🔄 Rotação Duplas'!$D$8:$D$17,0))),"Semana 2",IFERROR(INDEX('🔄 Rotação Duplas'!$D$22:$D$31,MATCH(D607,'🔄 Rotação Duplas'!$C$22:$C$31,0)),INDEX('🔄 Rotação Duplas'!$C$22:$C$31,MATCH(D607,'🔄 Rotação Duplas'!$D$22:$D$31,0))),"Semana 3",IFERROR(INDEX('🔄 Rotação Duplas'!$D$36:$D$45,MATCH(D607,'🔄 Rotação Duplas'!$C$36:$C$45,0)),INDEX('🔄 Rotação Duplas'!$C$36:$C$45,MATCH(D607,'🔄 Rotação Duplas'!$D$36:$D$45,0))),"Semana 4",IFERROR(INDEX('🔄 Rotação Duplas'!$D$50:$D$59,MATCH(D607,'🔄 Rotação Duplas'!$C$50:$C$59,0)),INDEX('🔄 Rotação Duplas'!$C$50:$C$59,MATCH(D607,'🔄 Rotação Duplas'!$D$50:$D$59,0))),"Semana 5",IFERROR(INDEX('🔄 Rotação Duplas'!$D$64:$D$73,MATCH(D607,'🔄 Rotação Duplas'!$C$64:$C$73,0)),INDEX('🔄 Rotação Duplas'!$C$64:$C$73,MATCH(D607,'🔄 Rotação Duplas'!$D$64:$D$73,0))),"Semana 6",IFERROR(INDEX('🔄 Rotação Duplas'!$D$78:$D$87,MATCH(D607,'🔄 Rotação Duplas'!$C$78:$C$87,0)),INDEX('🔄 Rotação Duplas'!$C$78:$C$87,MATCH(D607,'🔄 Rotação Duplas'!$D$78:$D$87,0))),"Semana 7",IFERROR(INDEX('🔄 Rotação Duplas'!$D$92:$D$101,MATCH(D607,'🔄 Rotação Duplas'!$C$92:$C$101,0)),INDEX('🔄 Rotação Duplas'!$C$92:$C$101,MATCH(D607,'🔄 Rotação Duplas'!$D$92:$D$101,0))),"Semana 8",IFERROR(INDEX('🔄 Rotação Duplas'!$D$106:$D$115,MATCH(D607,'🔄 Rotação Duplas'!$C$106:$C$115,0)),INDEX('🔄 Rotação Duplas'!$C$106:$C$115,MATCH(D607,'🔄 Rotação Duplas'!$D$106:$D$115,0)))),""))</f>
        <v/>
      </c>
      <c r="T607">
        <f t="shared" si="51"/>
        <v>0</v>
      </c>
    </row>
    <row r="608" spans="2:20" ht="18" customHeight="1" x14ac:dyDescent="0.2">
      <c r="B608" s="85" t="s">
        <v>132</v>
      </c>
      <c r="C608" s="86" t="str">
        <f t="shared" si="53"/>
        <v>Desafio 31</v>
      </c>
      <c r="D608" s="87" t="str">
        <f>'⚙️ Configuração'!C31</f>
        <v>Elisabete Mendes</v>
      </c>
      <c r="E608" s="50">
        <v>0</v>
      </c>
      <c r="F608" s="50">
        <v>0</v>
      </c>
      <c r="G608" s="50">
        <v>0</v>
      </c>
      <c r="H608" s="50">
        <v>0</v>
      </c>
      <c r="I608" s="50">
        <v>0</v>
      </c>
      <c r="J608" s="89">
        <v>0</v>
      </c>
      <c r="K608" s="81">
        <f>(E608*'⚙️ Configuração'!$C$6+F608*'⚙️ Configuração'!$C$7+G608*'⚙️ Configuração'!$C$8+H608*'⚙️ Configuração'!$C$9+I608*'⚙️ Configuração'!$C$10+J608*'⚙️ Configuração'!$C$11)*IF(N608="S",2,1)</f>
        <v>0</v>
      </c>
      <c r="L608" s="90" t="s">
        <v>167</v>
      </c>
      <c r="M608" s="82">
        <f>IF(L608="AT1",'⚙️ Configuração'!$C$14,IF(L608="AT2",'⚙️ Configuração'!$C$15,IF(L608="FI",'⚙️ Configuração'!$C$16,IF(L608="FJ",'⚙️ Configuração'!$C$17,0))))</f>
        <v>0</v>
      </c>
      <c r="N608" s="91" t="s">
        <v>167</v>
      </c>
      <c r="O608" s="92"/>
      <c r="P608" s="83">
        <f>IF(O608="1",'⚙️ Configuração'!$C$21,IF(O608="2",'⚙️ Configuração'!$C$22,IF(O608="3",'⚙️ Configuração'!$C$23,IF(O608="Outro",'⚙️ Configuração'!$C$24,0))))</f>
        <v>0</v>
      </c>
      <c r="Q608" s="84">
        <f t="shared" si="50"/>
        <v>0</v>
      </c>
      <c r="R608" s="40" t="str">
        <f t="shared" si="44"/>
        <v>Semana 1 — ver 🔄</v>
      </c>
      <c r="S608" t="str" cm="1">
        <f t="array" ref="S608">IF(D608="","",IFERROR(_xlfn.SWITCH(B608,"Semana 1",IFERROR(INDEX('🔄 Rotação Duplas'!$D$8:$D$17,MATCH(D608,'🔄 Rotação Duplas'!$C$8:$C$17,0)),INDEX('🔄 Rotação Duplas'!$C$8:$C$17,MATCH(D608,'🔄 Rotação Duplas'!$D$8:$D$17,0))),"Semana 2",IFERROR(INDEX('🔄 Rotação Duplas'!$D$22:$D$31,MATCH(D608,'🔄 Rotação Duplas'!$C$22:$C$31,0)),INDEX('🔄 Rotação Duplas'!$C$22:$C$31,MATCH(D608,'🔄 Rotação Duplas'!$D$22:$D$31,0))),"Semana 3",IFERROR(INDEX('🔄 Rotação Duplas'!$D$36:$D$45,MATCH(D608,'🔄 Rotação Duplas'!$C$36:$C$45,0)),INDEX('🔄 Rotação Duplas'!$C$36:$C$45,MATCH(D608,'🔄 Rotação Duplas'!$D$36:$D$45,0))),"Semana 4",IFERROR(INDEX('🔄 Rotação Duplas'!$D$50:$D$59,MATCH(D608,'🔄 Rotação Duplas'!$C$50:$C$59,0)),INDEX('🔄 Rotação Duplas'!$C$50:$C$59,MATCH(D608,'🔄 Rotação Duplas'!$D$50:$D$59,0))),"Semana 5",IFERROR(INDEX('🔄 Rotação Duplas'!$D$64:$D$73,MATCH(D608,'🔄 Rotação Duplas'!$C$64:$C$73,0)),INDEX('🔄 Rotação Duplas'!$C$64:$C$73,MATCH(D608,'🔄 Rotação Duplas'!$D$64:$D$73,0))),"Semana 6",IFERROR(INDEX('🔄 Rotação Duplas'!$D$78:$D$87,MATCH(D608,'🔄 Rotação Duplas'!$C$78:$C$87,0)),INDEX('🔄 Rotação Duplas'!$C$78:$C$87,MATCH(D608,'🔄 Rotação Duplas'!$D$78:$D$87,0))),"Semana 7",IFERROR(INDEX('🔄 Rotação Duplas'!$D$92:$D$101,MATCH(D608,'🔄 Rotação Duplas'!$C$92:$C$101,0)),INDEX('🔄 Rotação Duplas'!$C$92:$C$101,MATCH(D608,'🔄 Rotação Duplas'!$D$92:$D$101,0))),"Semana 8",IFERROR(INDEX('🔄 Rotação Duplas'!$D$106:$D$115,MATCH(D608,'🔄 Rotação Duplas'!$C$106:$C$115,0)),INDEX('🔄 Rotação Duplas'!$C$106:$C$115,MATCH(D608,'🔄 Rotação Duplas'!$D$106:$D$115,0)))),""))</f>
        <v/>
      </c>
      <c r="T608">
        <f t="shared" si="51"/>
        <v>0</v>
      </c>
    </row>
    <row r="609" spans="2:20" ht="18" customHeight="1" x14ac:dyDescent="0.2">
      <c r="B609" s="78" t="s">
        <v>132</v>
      </c>
      <c r="C609" s="79" t="str">
        <f t="shared" si="53"/>
        <v>Desafio 31</v>
      </c>
      <c r="D609" s="80" t="str">
        <f>'⚙️ Configuração'!C32</f>
        <v>Filipa Cunha</v>
      </c>
      <c r="E609" s="50">
        <v>0</v>
      </c>
      <c r="F609" s="50">
        <v>0</v>
      </c>
      <c r="G609" s="50">
        <v>0</v>
      </c>
      <c r="H609" s="50">
        <v>0</v>
      </c>
      <c r="I609" s="50">
        <v>0</v>
      </c>
      <c r="J609" s="89">
        <v>0</v>
      </c>
      <c r="K609" s="81">
        <f>(E609*'⚙️ Configuração'!$C$6+F609*'⚙️ Configuração'!$C$7+G609*'⚙️ Configuração'!$C$8+H609*'⚙️ Configuração'!$C$9+I609*'⚙️ Configuração'!$C$10+J609*'⚙️ Configuração'!$C$11)*IF(N609="S",2,1)</f>
        <v>0</v>
      </c>
      <c r="L609" s="90" t="s">
        <v>167</v>
      </c>
      <c r="M609" s="82">
        <f>IF(L609="AT1",'⚙️ Configuração'!$C$14,IF(L609="AT2",'⚙️ Configuração'!$C$15,IF(L609="FI",'⚙️ Configuração'!$C$16,IF(L609="FJ",'⚙️ Configuração'!$C$17,0))))</f>
        <v>0</v>
      </c>
      <c r="N609" s="91" t="s">
        <v>167</v>
      </c>
      <c r="O609" s="92"/>
      <c r="P609" s="83">
        <f>IF(O609="1",'⚙️ Configuração'!$C$21,IF(O609="2",'⚙️ Configuração'!$C$22,IF(O609="3",'⚙️ Configuração'!$C$23,IF(O609="Outro",'⚙️ Configuração'!$C$24,0))))</f>
        <v>0</v>
      </c>
      <c r="Q609" s="84">
        <f t="shared" si="50"/>
        <v>0</v>
      </c>
      <c r="R609" s="40" t="str">
        <f t="shared" si="44"/>
        <v>Semana 1 — ver 🔄</v>
      </c>
      <c r="S609" t="str" cm="1">
        <f t="array" ref="S609">IF(D609="","",IFERROR(_xlfn.SWITCH(B609,"Semana 1",IFERROR(INDEX('🔄 Rotação Duplas'!$D$8:$D$17,MATCH(D609,'🔄 Rotação Duplas'!$C$8:$C$17,0)),INDEX('🔄 Rotação Duplas'!$C$8:$C$17,MATCH(D609,'🔄 Rotação Duplas'!$D$8:$D$17,0))),"Semana 2",IFERROR(INDEX('🔄 Rotação Duplas'!$D$22:$D$31,MATCH(D609,'🔄 Rotação Duplas'!$C$22:$C$31,0)),INDEX('🔄 Rotação Duplas'!$C$22:$C$31,MATCH(D609,'🔄 Rotação Duplas'!$D$22:$D$31,0))),"Semana 3",IFERROR(INDEX('🔄 Rotação Duplas'!$D$36:$D$45,MATCH(D609,'🔄 Rotação Duplas'!$C$36:$C$45,0)),INDEX('🔄 Rotação Duplas'!$C$36:$C$45,MATCH(D609,'🔄 Rotação Duplas'!$D$36:$D$45,0))),"Semana 4",IFERROR(INDEX('🔄 Rotação Duplas'!$D$50:$D$59,MATCH(D609,'🔄 Rotação Duplas'!$C$50:$C$59,0)),INDEX('🔄 Rotação Duplas'!$C$50:$C$59,MATCH(D609,'🔄 Rotação Duplas'!$D$50:$D$59,0))),"Semana 5",IFERROR(INDEX('🔄 Rotação Duplas'!$D$64:$D$73,MATCH(D609,'🔄 Rotação Duplas'!$C$64:$C$73,0)),INDEX('🔄 Rotação Duplas'!$C$64:$C$73,MATCH(D609,'🔄 Rotação Duplas'!$D$64:$D$73,0))),"Semana 6",IFERROR(INDEX('🔄 Rotação Duplas'!$D$78:$D$87,MATCH(D609,'🔄 Rotação Duplas'!$C$78:$C$87,0)),INDEX('🔄 Rotação Duplas'!$C$78:$C$87,MATCH(D609,'🔄 Rotação Duplas'!$D$78:$D$87,0))),"Semana 7",IFERROR(INDEX('🔄 Rotação Duplas'!$D$92:$D$101,MATCH(D609,'🔄 Rotação Duplas'!$C$92:$C$101,0)),INDEX('🔄 Rotação Duplas'!$C$92:$C$101,MATCH(D609,'🔄 Rotação Duplas'!$D$92:$D$101,0))),"Semana 8",IFERROR(INDEX('🔄 Rotação Duplas'!$D$106:$D$115,MATCH(D609,'🔄 Rotação Duplas'!$C$106:$C$115,0)),INDEX('🔄 Rotação Duplas'!$C$106:$C$115,MATCH(D609,'🔄 Rotação Duplas'!$D$106:$D$115,0)))),""))</f>
        <v/>
      </c>
      <c r="T609">
        <f t="shared" si="51"/>
        <v>0</v>
      </c>
    </row>
    <row r="610" spans="2:20" ht="18" customHeight="1" x14ac:dyDescent="0.2">
      <c r="B610" s="85" t="s">
        <v>132</v>
      </c>
      <c r="C610" s="86" t="str">
        <f t="shared" si="53"/>
        <v>Desafio 31</v>
      </c>
      <c r="D610" s="87" t="str">
        <f>'⚙️ Configuração'!C33</f>
        <v>Helena Rocha</v>
      </c>
      <c r="E610" s="50">
        <v>0</v>
      </c>
      <c r="F610" s="50">
        <v>0</v>
      </c>
      <c r="G610" s="50">
        <v>0</v>
      </c>
      <c r="H610" s="50">
        <v>0</v>
      </c>
      <c r="I610" s="50">
        <v>0</v>
      </c>
      <c r="J610" s="89">
        <v>0</v>
      </c>
      <c r="K610" s="81">
        <f>(E610*'⚙️ Configuração'!$C$6+F610*'⚙️ Configuração'!$C$7+G610*'⚙️ Configuração'!$C$8+H610*'⚙️ Configuração'!$C$9+I610*'⚙️ Configuração'!$C$10+J610*'⚙️ Configuração'!$C$11)*IF(N610="S",2,1)</f>
        <v>0</v>
      </c>
      <c r="L610" s="90" t="s">
        <v>167</v>
      </c>
      <c r="M610" s="82">
        <f>IF(L610="AT1",'⚙️ Configuração'!$C$14,IF(L610="AT2",'⚙️ Configuração'!$C$15,IF(L610="FI",'⚙️ Configuração'!$C$16,IF(L610="FJ",'⚙️ Configuração'!$C$17,0))))</f>
        <v>0</v>
      </c>
      <c r="N610" s="91" t="s">
        <v>167</v>
      </c>
      <c r="O610" s="92"/>
      <c r="P610" s="83">
        <f>IF(O610="1",'⚙️ Configuração'!$C$21,IF(O610="2",'⚙️ Configuração'!$C$22,IF(O610="3",'⚙️ Configuração'!$C$23,IF(O610="Outro",'⚙️ Configuração'!$C$24,0))))</f>
        <v>0</v>
      </c>
      <c r="Q610" s="84">
        <f t="shared" si="50"/>
        <v>0</v>
      </c>
      <c r="R610" s="40" t="str">
        <f t="shared" si="44"/>
        <v>Semana 1 — ver 🔄</v>
      </c>
      <c r="S610" t="str" cm="1">
        <f t="array" ref="S610">IF(D610="","",IFERROR(_xlfn.SWITCH(B610,"Semana 1",IFERROR(INDEX('🔄 Rotação Duplas'!$D$8:$D$17,MATCH(D610,'🔄 Rotação Duplas'!$C$8:$C$17,0)),INDEX('🔄 Rotação Duplas'!$C$8:$C$17,MATCH(D610,'🔄 Rotação Duplas'!$D$8:$D$17,0))),"Semana 2",IFERROR(INDEX('🔄 Rotação Duplas'!$D$22:$D$31,MATCH(D610,'🔄 Rotação Duplas'!$C$22:$C$31,0)),INDEX('🔄 Rotação Duplas'!$C$22:$C$31,MATCH(D610,'🔄 Rotação Duplas'!$D$22:$D$31,0))),"Semana 3",IFERROR(INDEX('🔄 Rotação Duplas'!$D$36:$D$45,MATCH(D610,'🔄 Rotação Duplas'!$C$36:$C$45,0)),INDEX('🔄 Rotação Duplas'!$C$36:$C$45,MATCH(D610,'🔄 Rotação Duplas'!$D$36:$D$45,0))),"Semana 4",IFERROR(INDEX('🔄 Rotação Duplas'!$D$50:$D$59,MATCH(D610,'🔄 Rotação Duplas'!$C$50:$C$59,0)),INDEX('🔄 Rotação Duplas'!$C$50:$C$59,MATCH(D610,'🔄 Rotação Duplas'!$D$50:$D$59,0))),"Semana 5",IFERROR(INDEX('🔄 Rotação Duplas'!$D$64:$D$73,MATCH(D610,'🔄 Rotação Duplas'!$C$64:$C$73,0)),INDEX('🔄 Rotação Duplas'!$C$64:$C$73,MATCH(D610,'🔄 Rotação Duplas'!$D$64:$D$73,0))),"Semana 6",IFERROR(INDEX('🔄 Rotação Duplas'!$D$78:$D$87,MATCH(D610,'🔄 Rotação Duplas'!$C$78:$C$87,0)),INDEX('🔄 Rotação Duplas'!$C$78:$C$87,MATCH(D610,'🔄 Rotação Duplas'!$D$78:$D$87,0))),"Semana 7",IFERROR(INDEX('🔄 Rotação Duplas'!$D$92:$D$101,MATCH(D610,'🔄 Rotação Duplas'!$C$92:$C$101,0)),INDEX('🔄 Rotação Duplas'!$C$92:$C$101,MATCH(D610,'🔄 Rotação Duplas'!$D$92:$D$101,0))),"Semana 8",IFERROR(INDEX('🔄 Rotação Duplas'!$D$106:$D$115,MATCH(D610,'🔄 Rotação Duplas'!$C$106:$C$115,0)),INDEX('🔄 Rotação Duplas'!$C$106:$C$115,MATCH(D610,'🔄 Rotação Duplas'!$D$106:$D$115,0)))),""))</f>
        <v/>
      </c>
      <c r="T610">
        <f t="shared" si="51"/>
        <v>0</v>
      </c>
    </row>
    <row r="611" spans="2:20" ht="18" customHeight="1" x14ac:dyDescent="0.2">
      <c r="B611" s="78" t="s">
        <v>132</v>
      </c>
      <c r="C611" s="79" t="str">
        <f t="shared" si="53"/>
        <v>Desafio 31</v>
      </c>
      <c r="D611" s="80" t="str">
        <f>'⚙️ Configuração'!C34</f>
        <v>João Xavier</v>
      </c>
      <c r="E611" s="50">
        <v>0</v>
      </c>
      <c r="F611" s="50">
        <v>0</v>
      </c>
      <c r="G611" s="50">
        <v>0</v>
      </c>
      <c r="H611" s="50">
        <v>0</v>
      </c>
      <c r="I611" s="50">
        <v>0</v>
      </c>
      <c r="J611" s="89">
        <v>0</v>
      </c>
      <c r="K611" s="81">
        <f>(E611*'⚙️ Configuração'!$C$6+F611*'⚙️ Configuração'!$C$7+G611*'⚙️ Configuração'!$C$8+H611*'⚙️ Configuração'!$C$9+I611*'⚙️ Configuração'!$C$10+J611*'⚙️ Configuração'!$C$11)*IF(N611="S",2,1)</f>
        <v>0</v>
      </c>
      <c r="L611" s="90" t="s">
        <v>167</v>
      </c>
      <c r="M611" s="82">
        <f>IF(L611="AT1",'⚙️ Configuração'!$C$14,IF(L611="AT2",'⚙️ Configuração'!$C$15,IF(L611="FI",'⚙️ Configuração'!$C$16,IF(L611="FJ",'⚙️ Configuração'!$C$17,0))))</f>
        <v>0</v>
      </c>
      <c r="N611" s="91" t="s">
        <v>167</v>
      </c>
      <c r="O611" s="92"/>
      <c r="P611" s="83">
        <f>IF(O611="1",'⚙️ Configuração'!$C$21,IF(O611="2",'⚙️ Configuração'!$C$22,IF(O611="3",'⚙️ Configuração'!$C$23,IF(O611="Outro",'⚙️ Configuração'!$C$24,0))))</f>
        <v>0</v>
      </c>
      <c r="Q611" s="84">
        <f t="shared" si="50"/>
        <v>0</v>
      </c>
      <c r="R611" s="40" t="str">
        <f t="shared" si="44"/>
        <v>Semana 1 — ver 🔄</v>
      </c>
      <c r="S611" t="str" cm="1">
        <f t="array" ref="S611">IF(D611="","",IFERROR(_xlfn.SWITCH(B611,"Semana 1",IFERROR(INDEX('🔄 Rotação Duplas'!$D$8:$D$17,MATCH(D611,'🔄 Rotação Duplas'!$C$8:$C$17,0)),INDEX('🔄 Rotação Duplas'!$C$8:$C$17,MATCH(D611,'🔄 Rotação Duplas'!$D$8:$D$17,0))),"Semana 2",IFERROR(INDEX('🔄 Rotação Duplas'!$D$22:$D$31,MATCH(D611,'🔄 Rotação Duplas'!$C$22:$C$31,0)),INDEX('🔄 Rotação Duplas'!$C$22:$C$31,MATCH(D611,'🔄 Rotação Duplas'!$D$22:$D$31,0))),"Semana 3",IFERROR(INDEX('🔄 Rotação Duplas'!$D$36:$D$45,MATCH(D611,'🔄 Rotação Duplas'!$C$36:$C$45,0)),INDEX('🔄 Rotação Duplas'!$C$36:$C$45,MATCH(D611,'🔄 Rotação Duplas'!$D$36:$D$45,0))),"Semana 4",IFERROR(INDEX('🔄 Rotação Duplas'!$D$50:$D$59,MATCH(D611,'🔄 Rotação Duplas'!$C$50:$C$59,0)),INDEX('🔄 Rotação Duplas'!$C$50:$C$59,MATCH(D611,'🔄 Rotação Duplas'!$D$50:$D$59,0))),"Semana 5",IFERROR(INDEX('🔄 Rotação Duplas'!$D$64:$D$73,MATCH(D611,'🔄 Rotação Duplas'!$C$64:$C$73,0)),INDEX('🔄 Rotação Duplas'!$C$64:$C$73,MATCH(D611,'🔄 Rotação Duplas'!$D$64:$D$73,0))),"Semana 6",IFERROR(INDEX('🔄 Rotação Duplas'!$D$78:$D$87,MATCH(D611,'🔄 Rotação Duplas'!$C$78:$C$87,0)),INDEX('🔄 Rotação Duplas'!$C$78:$C$87,MATCH(D611,'🔄 Rotação Duplas'!$D$78:$D$87,0))),"Semana 7",IFERROR(INDEX('🔄 Rotação Duplas'!$D$92:$D$101,MATCH(D611,'🔄 Rotação Duplas'!$C$92:$C$101,0)),INDEX('🔄 Rotação Duplas'!$C$92:$C$101,MATCH(D611,'🔄 Rotação Duplas'!$D$92:$D$101,0))),"Semana 8",IFERROR(INDEX('🔄 Rotação Duplas'!$D$106:$D$115,MATCH(D611,'🔄 Rotação Duplas'!$C$106:$C$115,0)),INDEX('🔄 Rotação Duplas'!$C$106:$C$115,MATCH(D611,'🔄 Rotação Duplas'!$D$106:$D$115,0)))),""))</f>
        <v/>
      </c>
      <c r="T611">
        <f t="shared" si="51"/>
        <v>0</v>
      </c>
    </row>
    <row r="612" spans="2:20" ht="18" customHeight="1" x14ac:dyDescent="0.2">
      <c r="B612" s="85" t="s">
        <v>132</v>
      </c>
      <c r="C612" s="86" t="str">
        <f t="shared" si="53"/>
        <v>Desafio 31</v>
      </c>
      <c r="D612" s="87" t="str">
        <f>'⚙️ Configuração'!C35</f>
        <v>Tomás Carlos</v>
      </c>
      <c r="E612" s="50">
        <v>0</v>
      </c>
      <c r="F612" s="50">
        <v>0</v>
      </c>
      <c r="G612" s="50">
        <v>0</v>
      </c>
      <c r="H612" s="50">
        <v>0</v>
      </c>
      <c r="I612" s="50">
        <v>0</v>
      </c>
      <c r="J612" s="89">
        <v>0</v>
      </c>
      <c r="K612" s="81">
        <f>(E612*'⚙️ Configuração'!$C$6+F612*'⚙️ Configuração'!$C$7+G612*'⚙️ Configuração'!$C$8+H612*'⚙️ Configuração'!$C$9+I612*'⚙️ Configuração'!$C$10+J612*'⚙️ Configuração'!$C$11)*IF(N612="S",2,1)</f>
        <v>0</v>
      </c>
      <c r="L612" s="90" t="s">
        <v>167</v>
      </c>
      <c r="M612" s="82">
        <f>IF(L612="AT1",'⚙️ Configuração'!$C$14,IF(L612="AT2",'⚙️ Configuração'!$C$15,IF(L612="FI",'⚙️ Configuração'!$C$16,IF(L612="FJ",'⚙️ Configuração'!$C$17,0))))</f>
        <v>0</v>
      </c>
      <c r="N612" s="91" t="s">
        <v>167</v>
      </c>
      <c r="O612" s="92"/>
      <c r="P612" s="83">
        <f>IF(O612="1",'⚙️ Configuração'!$C$21,IF(O612="2",'⚙️ Configuração'!$C$22,IF(O612="3",'⚙️ Configuração'!$C$23,IF(O612="Outro",'⚙️ Configuração'!$C$24,0))))</f>
        <v>0</v>
      </c>
      <c r="Q612" s="84">
        <f t="shared" si="50"/>
        <v>0</v>
      </c>
      <c r="R612" s="40" t="str">
        <f t="shared" si="44"/>
        <v>Semana 1 — ver 🔄</v>
      </c>
      <c r="S612" t="str" cm="1">
        <f t="array" ref="S612">IF(D612="","",IFERROR(_xlfn.SWITCH(B612,"Semana 1",IFERROR(INDEX('🔄 Rotação Duplas'!$D$8:$D$17,MATCH(D612,'🔄 Rotação Duplas'!$C$8:$C$17,0)),INDEX('🔄 Rotação Duplas'!$C$8:$C$17,MATCH(D612,'🔄 Rotação Duplas'!$D$8:$D$17,0))),"Semana 2",IFERROR(INDEX('🔄 Rotação Duplas'!$D$22:$D$31,MATCH(D612,'🔄 Rotação Duplas'!$C$22:$C$31,0)),INDEX('🔄 Rotação Duplas'!$C$22:$C$31,MATCH(D612,'🔄 Rotação Duplas'!$D$22:$D$31,0))),"Semana 3",IFERROR(INDEX('🔄 Rotação Duplas'!$D$36:$D$45,MATCH(D612,'🔄 Rotação Duplas'!$C$36:$C$45,0)),INDEX('🔄 Rotação Duplas'!$C$36:$C$45,MATCH(D612,'🔄 Rotação Duplas'!$D$36:$D$45,0))),"Semana 4",IFERROR(INDEX('🔄 Rotação Duplas'!$D$50:$D$59,MATCH(D612,'🔄 Rotação Duplas'!$C$50:$C$59,0)),INDEX('🔄 Rotação Duplas'!$C$50:$C$59,MATCH(D612,'🔄 Rotação Duplas'!$D$50:$D$59,0))),"Semana 5",IFERROR(INDEX('🔄 Rotação Duplas'!$D$64:$D$73,MATCH(D612,'🔄 Rotação Duplas'!$C$64:$C$73,0)),INDEX('🔄 Rotação Duplas'!$C$64:$C$73,MATCH(D612,'🔄 Rotação Duplas'!$D$64:$D$73,0))),"Semana 6",IFERROR(INDEX('🔄 Rotação Duplas'!$D$78:$D$87,MATCH(D612,'🔄 Rotação Duplas'!$C$78:$C$87,0)),INDEX('🔄 Rotação Duplas'!$C$78:$C$87,MATCH(D612,'🔄 Rotação Duplas'!$D$78:$D$87,0))),"Semana 7",IFERROR(INDEX('🔄 Rotação Duplas'!$D$92:$D$101,MATCH(D612,'🔄 Rotação Duplas'!$C$92:$C$101,0)),INDEX('🔄 Rotação Duplas'!$C$92:$C$101,MATCH(D612,'🔄 Rotação Duplas'!$D$92:$D$101,0))),"Semana 8",IFERROR(INDEX('🔄 Rotação Duplas'!$D$106:$D$115,MATCH(D612,'🔄 Rotação Duplas'!$C$106:$C$115,0)),INDEX('🔄 Rotação Duplas'!$C$106:$C$115,MATCH(D612,'🔄 Rotação Duplas'!$D$106:$D$115,0)))),""))</f>
        <v/>
      </c>
      <c r="T612">
        <f t="shared" si="51"/>
        <v>0</v>
      </c>
    </row>
    <row r="613" spans="2:20" ht="18" customHeight="1" x14ac:dyDescent="0.2">
      <c r="B613" s="78" t="s">
        <v>132</v>
      </c>
      <c r="C613" s="79" t="str">
        <f t="shared" si="53"/>
        <v>Desafio 31</v>
      </c>
      <c r="D613" s="80" t="str">
        <f>'⚙️ Configuração'!C36</f>
        <v>Alexandra Correia</v>
      </c>
      <c r="E613" s="50">
        <v>0</v>
      </c>
      <c r="F613" s="50">
        <v>0</v>
      </c>
      <c r="G613" s="50">
        <v>0</v>
      </c>
      <c r="H613" s="50">
        <v>0</v>
      </c>
      <c r="I613" s="50">
        <v>0</v>
      </c>
      <c r="J613" s="89">
        <v>0</v>
      </c>
      <c r="K613" s="81">
        <f>(E613*'⚙️ Configuração'!$C$6+F613*'⚙️ Configuração'!$C$7+G613*'⚙️ Configuração'!$C$8+H613*'⚙️ Configuração'!$C$9+I613*'⚙️ Configuração'!$C$10+J613*'⚙️ Configuração'!$C$11)*IF(N613="S",2,1)</f>
        <v>0</v>
      </c>
      <c r="L613" s="90" t="s">
        <v>167</v>
      </c>
      <c r="M613" s="82">
        <f>IF(L613="AT1",'⚙️ Configuração'!$C$14,IF(L613="AT2",'⚙️ Configuração'!$C$15,IF(L613="FI",'⚙️ Configuração'!$C$16,IF(L613="FJ",'⚙️ Configuração'!$C$17,0))))</f>
        <v>0</v>
      </c>
      <c r="N613" s="91" t="s">
        <v>167</v>
      </c>
      <c r="O613" s="92"/>
      <c r="P613" s="83">
        <f>IF(O613="1",'⚙️ Configuração'!$C$21,IF(O613="2",'⚙️ Configuração'!$C$22,IF(O613="3",'⚙️ Configuração'!$C$23,IF(O613="Outro",'⚙️ Configuração'!$C$24,0))))</f>
        <v>0</v>
      </c>
      <c r="Q613" s="84">
        <f t="shared" si="50"/>
        <v>0</v>
      </c>
      <c r="R613" s="40" t="str">
        <f t="shared" si="44"/>
        <v>Semana 1 — ver 🔄</v>
      </c>
      <c r="S613" t="str" cm="1">
        <f t="array" ref="S613">IF(D613="","",IFERROR(_xlfn.SWITCH(B613,"Semana 1",IFERROR(INDEX('🔄 Rotação Duplas'!$D$8:$D$17,MATCH(D613,'🔄 Rotação Duplas'!$C$8:$C$17,0)),INDEX('🔄 Rotação Duplas'!$C$8:$C$17,MATCH(D613,'🔄 Rotação Duplas'!$D$8:$D$17,0))),"Semana 2",IFERROR(INDEX('🔄 Rotação Duplas'!$D$22:$D$31,MATCH(D613,'🔄 Rotação Duplas'!$C$22:$C$31,0)),INDEX('🔄 Rotação Duplas'!$C$22:$C$31,MATCH(D613,'🔄 Rotação Duplas'!$D$22:$D$31,0))),"Semana 3",IFERROR(INDEX('🔄 Rotação Duplas'!$D$36:$D$45,MATCH(D613,'🔄 Rotação Duplas'!$C$36:$C$45,0)),INDEX('🔄 Rotação Duplas'!$C$36:$C$45,MATCH(D613,'🔄 Rotação Duplas'!$D$36:$D$45,0))),"Semana 4",IFERROR(INDEX('🔄 Rotação Duplas'!$D$50:$D$59,MATCH(D613,'🔄 Rotação Duplas'!$C$50:$C$59,0)),INDEX('🔄 Rotação Duplas'!$C$50:$C$59,MATCH(D613,'🔄 Rotação Duplas'!$D$50:$D$59,0))),"Semana 5",IFERROR(INDEX('🔄 Rotação Duplas'!$D$64:$D$73,MATCH(D613,'🔄 Rotação Duplas'!$C$64:$C$73,0)),INDEX('🔄 Rotação Duplas'!$C$64:$C$73,MATCH(D613,'🔄 Rotação Duplas'!$D$64:$D$73,0))),"Semana 6",IFERROR(INDEX('🔄 Rotação Duplas'!$D$78:$D$87,MATCH(D613,'🔄 Rotação Duplas'!$C$78:$C$87,0)),INDEX('🔄 Rotação Duplas'!$C$78:$C$87,MATCH(D613,'🔄 Rotação Duplas'!$D$78:$D$87,0))),"Semana 7",IFERROR(INDEX('🔄 Rotação Duplas'!$D$92:$D$101,MATCH(D613,'🔄 Rotação Duplas'!$C$92:$C$101,0)),INDEX('🔄 Rotação Duplas'!$C$92:$C$101,MATCH(D613,'🔄 Rotação Duplas'!$D$92:$D$101,0))),"Semana 8",IFERROR(INDEX('🔄 Rotação Duplas'!$D$106:$D$115,MATCH(D613,'🔄 Rotação Duplas'!$C$106:$C$115,0)),INDEX('🔄 Rotação Duplas'!$C$106:$C$115,MATCH(D613,'🔄 Rotação Duplas'!$D$106:$D$115,0)))),""))</f>
        <v/>
      </c>
      <c r="T613">
        <f t="shared" si="51"/>
        <v>0</v>
      </c>
    </row>
    <row r="614" spans="2:20" ht="18" customHeight="1" x14ac:dyDescent="0.2">
      <c r="B614" s="85" t="s">
        <v>132</v>
      </c>
      <c r="C614" s="86" t="str">
        <f t="shared" si="53"/>
        <v>Desafio 31</v>
      </c>
      <c r="D614" s="87" t="str">
        <f>'⚙️ Configuração'!C37</f>
        <v>Carla Barata</v>
      </c>
      <c r="E614" s="50">
        <v>0</v>
      </c>
      <c r="F614" s="50">
        <v>0</v>
      </c>
      <c r="G614" s="50">
        <v>0</v>
      </c>
      <c r="H614" s="50">
        <v>0</v>
      </c>
      <c r="I614" s="50">
        <v>0</v>
      </c>
      <c r="J614" s="89">
        <v>0</v>
      </c>
      <c r="K614" s="81">
        <f>(E614*'⚙️ Configuração'!$C$6+F614*'⚙️ Configuração'!$C$7+G614*'⚙️ Configuração'!$C$8+H614*'⚙️ Configuração'!$C$9+I614*'⚙️ Configuração'!$C$10+J614*'⚙️ Configuração'!$C$11)*IF(N614="S",2,1)</f>
        <v>0</v>
      </c>
      <c r="L614" s="90" t="s">
        <v>167</v>
      </c>
      <c r="M614" s="82">
        <f>IF(L614="AT1",'⚙️ Configuração'!$C$14,IF(L614="AT2",'⚙️ Configuração'!$C$15,IF(L614="FI",'⚙️ Configuração'!$C$16,IF(L614="FJ",'⚙️ Configuração'!$C$17,0))))</f>
        <v>0</v>
      </c>
      <c r="N614" s="91" t="s">
        <v>167</v>
      </c>
      <c r="O614" s="92"/>
      <c r="P614" s="83">
        <f>IF(O614="1",'⚙️ Configuração'!$C$21,IF(O614="2",'⚙️ Configuração'!$C$22,IF(O614="3",'⚙️ Configuração'!$C$23,IF(O614="Outro",'⚙️ Configuração'!$C$24,0))))</f>
        <v>0</v>
      </c>
      <c r="Q614" s="84">
        <f t="shared" si="50"/>
        <v>0</v>
      </c>
      <c r="R614" s="40" t="str">
        <f t="shared" si="44"/>
        <v>Semana 1 — ver 🔄</v>
      </c>
      <c r="S614" t="str" cm="1">
        <f t="array" ref="S614">IF(D614="","",IFERROR(_xlfn.SWITCH(B614,"Semana 1",IFERROR(INDEX('🔄 Rotação Duplas'!$D$8:$D$17,MATCH(D614,'🔄 Rotação Duplas'!$C$8:$C$17,0)),INDEX('🔄 Rotação Duplas'!$C$8:$C$17,MATCH(D614,'🔄 Rotação Duplas'!$D$8:$D$17,0))),"Semana 2",IFERROR(INDEX('🔄 Rotação Duplas'!$D$22:$D$31,MATCH(D614,'🔄 Rotação Duplas'!$C$22:$C$31,0)),INDEX('🔄 Rotação Duplas'!$C$22:$C$31,MATCH(D614,'🔄 Rotação Duplas'!$D$22:$D$31,0))),"Semana 3",IFERROR(INDEX('🔄 Rotação Duplas'!$D$36:$D$45,MATCH(D614,'🔄 Rotação Duplas'!$C$36:$C$45,0)),INDEX('🔄 Rotação Duplas'!$C$36:$C$45,MATCH(D614,'🔄 Rotação Duplas'!$D$36:$D$45,0))),"Semana 4",IFERROR(INDEX('🔄 Rotação Duplas'!$D$50:$D$59,MATCH(D614,'🔄 Rotação Duplas'!$C$50:$C$59,0)),INDEX('🔄 Rotação Duplas'!$C$50:$C$59,MATCH(D614,'🔄 Rotação Duplas'!$D$50:$D$59,0))),"Semana 5",IFERROR(INDEX('🔄 Rotação Duplas'!$D$64:$D$73,MATCH(D614,'🔄 Rotação Duplas'!$C$64:$C$73,0)),INDEX('🔄 Rotação Duplas'!$C$64:$C$73,MATCH(D614,'🔄 Rotação Duplas'!$D$64:$D$73,0))),"Semana 6",IFERROR(INDEX('🔄 Rotação Duplas'!$D$78:$D$87,MATCH(D614,'🔄 Rotação Duplas'!$C$78:$C$87,0)),INDEX('🔄 Rotação Duplas'!$C$78:$C$87,MATCH(D614,'🔄 Rotação Duplas'!$D$78:$D$87,0))),"Semana 7",IFERROR(INDEX('🔄 Rotação Duplas'!$D$92:$D$101,MATCH(D614,'🔄 Rotação Duplas'!$C$92:$C$101,0)),INDEX('🔄 Rotação Duplas'!$C$92:$C$101,MATCH(D614,'🔄 Rotação Duplas'!$D$92:$D$101,0))),"Semana 8",IFERROR(INDEX('🔄 Rotação Duplas'!$D$106:$D$115,MATCH(D614,'🔄 Rotação Duplas'!$C$106:$C$115,0)),INDEX('🔄 Rotação Duplas'!$C$106:$C$115,MATCH(D614,'🔄 Rotação Duplas'!$D$106:$D$115,0)))),""))</f>
        <v/>
      </c>
      <c r="T614">
        <f t="shared" si="51"/>
        <v>0</v>
      </c>
    </row>
    <row r="615" spans="2:20" ht="18" customHeight="1" x14ac:dyDescent="0.2">
      <c r="B615" s="78" t="s">
        <v>132</v>
      </c>
      <c r="C615" s="79" t="str">
        <f t="shared" si="53"/>
        <v>Desafio 31</v>
      </c>
      <c r="D615" s="80" t="str">
        <f>'⚙️ Configuração'!C38</f>
        <v>Denise Filipe</v>
      </c>
      <c r="E615" s="50">
        <v>0</v>
      </c>
      <c r="F615" s="50">
        <v>0</v>
      </c>
      <c r="G615" s="50">
        <v>0</v>
      </c>
      <c r="H615" s="50">
        <v>0</v>
      </c>
      <c r="I615" s="50">
        <v>0</v>
      </c>
      <c r="J615" s="89">
        <v>0</v>
      </c>
      <c r="K615" s="81">
        <f>(E615*'⚙️ Configuração'!$C$6+F615*'⚙️ Configuração'!$C$7+G615*'⚙️ Configuração'!$C$8+H615*'⚙️ Configuração'!$C$9+I615*'⚙️ Configuração'!$C$10+J615*'⚙️ Configuração'!$C$11)*IF(N615="S",2,1)</f>
        <v>0</v>
      </c>
      <c r="L615" s="90" t="s">
        <v>167</v>
      </c>
      <c r="M615" s="82">
        <f>IF(L615="AT1",'⚙️ Configuração'!$C$14,IF(L615="AT2",'⚙️ Configuração'!$C$15,IF(L615="FI",'⚙️ Configuração'!$C$16,IF(L615="FJ",'⚙️ Configuração'!$C$17,0))))</f>
        <v>0</v>
      </c>
      <c r="N615" s="91" t="s">
        <v>167</v>
      </c>
      <c r="O615" s="92"/>
      <c r="P615" s="83">
        <f>IF(O615="1",'⚙️ Configuração'!$C$21,IF(O615="2",'⚙️ Configuração'!$C$22,IF(O615="3",'⚙️ Configuração'!$C$23,IF(O615="Outro",'⚙️ Configuração'!$C$24,0))))</f>
        <v>0</v>
      </c>
      <c r="Q615" s="84">
        <f t="shared" si="50"/>
        <v>0</v>
      </c>
      <c r="R615" s="40" t="str">
        <f t="shared" si="44"/>
        <v>Semana 1 — ver 🔄</v>
      </c>
      <c r="S615" t="str" cm="1">
        <f t="array" ref="S615">IF(D615="","",IFERROR(_xlfn.SWITCH(B615,"Semana 1",IFERROR(INDEX('🔄 Rotação Duplas'!$D$8:$D$17,MATCH(D615,'🔄 Rotação Duplas'!$C$8:$C$17,0)),INDEX('🔄 Rotação Duplas'!$C$8:$C$17,MATCH(D615,'🔄 Rotação Duplas'!$D$8:$D$17,0))),"Semana 2",IFERROR(INDEX('🔄 Rotação Duplas'!$D$22:$D$31,MATCH(D615,'🔄 Rotação Duplas'!$C$22:$C$31,0)),INDEX('🔄 Rotação Duplas'!$C$22:$C$31,MATCH(D615,'🔄 Rotação Duplas'!$D$22:$D$31,0))),"Semana 3",IFERROR(INDEX('🔄 Rotação Duplas'!$D$36:$D$45,MATCH(D615,'🔄 Rotação Duplas'!$C$36:$C$45,0)),INDEX('🔄 Rotação Duplas'!$C$36:$C$45,MATCH(D615,'🔄 Rotação Duplas'!$D$36:$D$45,0))),"Semana 4",IFERROR(INDEX('🔄 Rotação Duplas'!$D$50:$D$59,MATCH(D615,'🔄 Rotação Duplas'!$C$50:$C$59,0)),INDEX('🔄 Rotação Duplas'!$C$50:$C$59,MATCH(D615,'🔄 Rotação Duplas'!$D$50:$D$59,0))),"Semana 5",IFERROR(INDEX('🔄 Rotação Duplas'!$D$64:$D$73,MATCH(D615,'🔄 Rotação Duplas'!$C$64:$C$73,0)),INDEX('🔄 Rotação Duplas'!$C$64:$C$73,MATCH(D615,'🔄 Rotação Duplas'!$D$64:$D$73,0))),"Semana 6",IFERROR(INDEX('🔄 Rotação Duplas'!$D$78:$D$87,MATCH(D615,'🔄 Rotação Duplas'!$C$78:$C$87,0)),INDEX('🔄 Rotação Duplas'!$C$78:$C$87,MATCH(D615,'🔄 Rotação Duplas'!$D$78:$D$87,0))),"Semana 7",IFERROR(INDEX('🔄 Rotação Duplas'!$D$92:$D$101,MATCH(D615,'🔄 Rotação Duplas'!$C$92:$C$101,0)),INDEX('🔄 Rotação Duplas'!$C$92:$C$101,MATCH(D615,'🔄 Rotação Duplas'!$D$92:$D$101,0))),"Semana 8",IFERROR(INDEX('🔄 Rotação Duplas'!$D$106:$D$115,MATCH(D615,'🔄 Rotação Duplas'!$C$106:$C$115,0)),INDEX('🔄 Rotação Duplas'!$C$106:$C$115,MATCH(D615,'🔄 Rotação Duplas'!$D$106:$D$115,0)))),""))</f>
        <v/>
      </c>
      <c r="T615">
        <f t="shared" si="51"/>
        <v>0</v>
      </c>
    </row>
    <row r="616" spans="2:20" ht="18" customHeight="1" x14ac:dyDescent="0.2">
      <c r="B616" s="85" t="s">
        <v>132</v>
      </c>
      <c r="C616" s="86" t="str">
        <f t="shared" si="53"/>
        <v>Desafio 31</v>
      </c>
      <c r="D616" s="87" t="str">
        <f>'⚙️ Configuração'!C39</f>
        <v>Fátima Rodriguez</v>
      </c>
      <c r="E616" s="50">
        <v>0</v>
      </c>
      <c r="F616" s="50">
        <v>0</v>
      </c>
      <c r="G616" s="50">
        <v>0</v>
      </c>
      <c r="H616" s="50">
        <v>0</v>
      </c>
      <c r="I616" s="50">
        <v>0</v>
      </c>
      <c r="J616" s="89">
        <v>0</v>
      </c>
      <c r="K616" s="81">
        <f>(E616*'⚙️ Configuração'!$C$6+F616*'⚙️ Configuração'!$C$7+G616*'⚙️ Configuração'!$C$8+H616*'⚙️ Configuração'!$C$9+I616*'⚙️ Configuração'!$C$10+J616*'⚙️ Configuração'!$C$11)*IF(N616="S",2,1)</f>
        <v>0</v>
      </c>
      <c r="L616" s="90" t="s">
        <v>167</v>
      </c>
      <c r="M616" s="82">
        <f>IF(L616="AT1",'⚙️ Configuração'!$C$14,IF(L616="AT2",'⚙️ Configuração'!$C$15,IF(L616="FI",'⚙️ Configuração'!$C$16,IF(L616="FJ",'⚙️ Configuração'!$C$17,0))))</f>
        <v>0</v>
      </c>
      <c r="N616" s="91" t="s">
        <v>167</v>
      </c>
      <c r="O616" s="92"/>
      <c r="P616" s="83">
        <f>IF(O616="1",'⚙️ Configuração'!$C$21,IF(O616="2",'⚙️ Configuração'!$C$22,IF(O616="3",'⚙️ Configuração'!$C$23,IF(O616="Outro",'⚙️ Configuração'!$C$24,0))))</f>
        <v>0</v>
      </c>
      <c r="Q616" s="84">
        <f t="shared" si="50"/>
        <v>0</v>
      </c>
      <c r="R616" s="40" t="str">
        <f t="shared" si="44"/>
        <v>Semana 1 — ver 🔄</v>
      </c>
      <c r="S616" t="str" cm="1">
        <f t="array" ref="S616">IF(D616="","",IFERROR(_xlfn.SWITCH(B616,"Semana 1",IFERROR(INDEX('🔄 Rotação Duplas'!$D$8:$D$17,MATCH(D616,'🔄 Rotação Duplas'!$C$8:$C$17,0)),INDEX('🔄 Rotação Duplas'!$C$8:$C$17,MATCH(D616,'🔄 Rotação Duplas'!$D$8:$D$17,0))),"Semana 2",IFERROR(INDEX('🔄 Rotação Duplas'!$D$22:$D$31,MATCH(D616,'🔄 Rotação Duplas'!$C$22:$C$31,0)),INDEX('🔄 Rotação Duplas'!$C$22:$C$31,MATCH(D616,'🔄 Rotação Duplas'!$D$22:$D$31,0))),"Semana 3",IFERROR(INDEX('🔄 Rotação Duplas'!$D$36:$D$45,MATCH(D616,'🔄 Rotação Duplas'!$C$36:$C$45,0)),INDEX('🔄 Rotação Duplas'!$C$36:$C$45,MATCH(D616,'🔄 Rotação Duplas'!$D$36:$D$45,0))),"Semana 4",IFERROR(INDEX('🔄 Rotação Duplas'!$D$50:$D$59,MATCH(D616,'🔄 Rotação Duplas'!$C$50:$C$59,0)),INDEX('🔄 Rotação Duplas'!$C$50:$C$59,MATCH(D616,'🔄 Rotação Duplas'!$D$50:$D$59,0))),"Semana 5",IFERROR(INDEX('🔄 Rotação Duplas'!$D$64:$D$73,MATCH(D616,'🔄 Rotação Duplas'!$C$64:$C$73,0)),INDEX('🔄 Rotação Duplas'!$C$64:$C$73,MATCH(D616,'🔄 Rotação Duplas'!$D$64:$D$73,0))),"Semana 6",IFERROR(INDEX('🔄 Rotação Duplas'!$D$78:$D$87,MATCH(D616,'🔄 Rotação Duplas'!$C$78:$C$87,0)),INDEX('🔄 Rotação Duplas'!$C$78:$C$87,MATCH(D616,'🔄 Rotação Duplas'!$D$78:$D$87,0))),"Semana 7",IFERROR(INDEX('🔄 Rotação Duplas'!$D$92:$D$101,MATCH(D616,'🔄 Rotação Duplas'!$C$92:$C$101,0)),INDEX('🔄 Rotação Duplas'!$C$92:$C$101,MATCH(D616,'🔄 Rotação Duplas'!$D$92:$D$101,0))),"Semana 8",IFERROR(INDEX('🔄 Rotação Duplas'!$D$106:$D$115,MATCH(D616,'🔄 Rotação Duplas'!$C$106:$C$115,0)),INDEX('🔄 Rotação Duplas'!$C$106:$C$115,MATCH(D616,'🔄 Rotação Duplas'!$D$106:$D$115,0)))),""))</f>
        <v/>
      </c>
      <c r="T616">
        <f t="shared" si="51"/>
        <v>0</v>
      </c>
    </row>
    <row r="617" spans="2:20" ht="18" customHeight="1" x14ac:dyDescent="0.2">
      <c r="B617" s="78" t="s">
        <v>132</v>
      </c>
      <c r="C617" s="79" t="str">
        <f t="shared" si="53"/>
        <v>Desafio 31</v>
      </c>
      <c r="D617" s="80" t="str">
        <f>'⚙️ Configuração'!C40</f>
        <v>Maria João Travassos</v>
      </c>
      <c r="E617" s="50">
        <v>0</v>
      </c>
      <c r="F617" s="50">
        <v>0</v>
      </c>
      <c r="G617" s="50">
        <v>0</v>
      </c>
      <c r="H617" s="50">
        <v>0</v>
      </c>
      <c r="I617" s="50">
        <v>0</v>
      </c>
      <c r="J617" s="89">
        <v>0</v>
      </c>
      <c r="K617" s="81">
        <f>(E617*'⚙️ Configuração'!$C$6+F617*'⚙️ Configuração'!$C$7+G617*'⚙️ Configuração'!$C$8+H617*'⚙️ Configuração'!$C$9+I617*'⚙️ Configuração'!$C$10+J617*'⚙️ Configuração'!$C$11)*IF(N617="S",2,1)</f>
        <v>0</v>
      </c>
      <c r="L617" s="90" t="s">
        <v>167</v>
      </c>
      <c r="M617" s="82">
        <f>IF(L617="AT1",'⚙️ Configuração'!$C$14,IF(L617="AT2",'⚙️ Configuração'!$C$15,IF(L617="FI",'⚙️ Configuração'!$C$16,IF(L617="FJ",'⚙️ Configuração'!$C$17,0))))</f>
        <v>0</v>
      </c>
      <c r="N617" s="91" t="s">
        <v>167</v>
      </c>
      <c r="O617" s="92"/>
      <c r="P617" s="83">
        <f>IF(O617="1",'⚙️ Configuração'!$C$21,IF(O617="2",'⚙️ Configuração'!$C$22,IF(O617="3",'⚙️ Configuração'!$C$23,IF(O617="Outro",'⚙️ Configuração'!$C$24,0))))</f>
        <v>0</v>
      </c>
      <c r="Q617" s="84">
        <f t="shared" si="50"/>
        <v>0</v>
      </c>
      <c r="R617" s="40" t="str">
        <f t="shared" si="44"/>
        <v>Semana 1 — ver 🔄</v>
      </c>
      <c r="S617" t="str" cm="1">
        <f t="array" ref="S617">IF(D617="","",IFERROR(_xlfn.SWITCH(B617,"Semana 1",IFERROR(INDEX('🔄 Rotação Duplas'!$D$8:$D$17,MATCH(D617,'🔄 Rotação Duplas'!$C$8:$C$17,0)),INDEX('🔄 Rotação Duplas'!$C$8:$C$17,MATCH(D617,'🔄 Rotação Duplas'!$D$8:$D$17,0))),"Semana 2",IFERROR(INDEX('🔄 Rotação Duplas'!$D$22:$D$31,MATCH(D617,'🔄 Rotação Duplas'!$C$22:$C$31,0)),INDEX('🔄 Rotação Duplas'!$C$22:$C$31,MATCH(D617,'🔄 Rotação Duplas'!$D$22:$D$31,0))),"Semana 3",IFERROR(INDEX('🔄 Rotação Duplas'!$D$36:$D$45,MATCH(D617,'🔄 Rotação Duplas'!$C$36:$C$45,0)),INDEX('🔄 Rotação Duplas'!$C$36:$C$45,MATCH(D617,'🔄 Rotação Duplas'!$D$36:$D$45,0))),"Semana 4",IFERROR(INDEX('🔄 Rotação Duplas'!$D$50:$D$59,MATCH(D617,'🔄 Rotação Duplas'!$C$50:$C$59,0)),INDEX('🔄 Rotação Duplas'!$C$50:$C$59,MATCH(D617,'🔄 Rotação Duplas'!$D$50:$D$59,0))),"Semana 5",IFERROR(INDEX('🔄 Rotação Duplas'!$D$64:$D$73,MATCH(D617,'🔄 Rotação Duplas'!$C$64:$C$73,0)),INDEX('🔄 Rotação Duplas'!$C$64:$C$73,MATCH(D617,'🔄 Rotação Duplas'!$D$64:$D$73,0))),"Semana 6",IFERROR(INDEX('🔄 Rotação Duplas'!$D$78:$D$87,MATCH(D617,'🔄 Rotação Duplas'!$C$78:$C$87,0)),INDEX('🔄 Rotação Duplas'!$C$78:$C$87,MATCH(D617,'🔄 Rotação Duplas'!$D$78:$D$87,0))),"Semana 7",IFERROR(INDEX('🔄 Rotação Duplas'!$D$92:$D$101,MATCH(D617,'🔄 Rotação Duplas'!$C$92:$C$101,0)),INDEX('🔄 Rotação Duplas'!$C$92:$C$101,MATCH(D617,'🔄 Rotação Duplas'!$D$92:$D$101,0))),"Semana 8",IFERROR(INDEX('🔄 Rotação Duplas'!$D$106:$D$115,MATCH(D617,'🔄 Rotação Duplas'!$C$106:$C$115,0)),INDEX('🔄 Rotação Duplas'!$C$106:$C$115,MATCH(D617,'🔄 Rotação Duplas'!$D$106:$D$115,0)))),""))</f>
        <v/>
      </c>
      <c r="T617">
        <f t="shared" si="51"/>
        <v>0</v>
      </c>
    </row>
    <row r="618" spans="2:20" ht="18" customHeight="1" x14ac:dyDescent="0.2">
      <c r="B618" s="85" t="s">
        <v>132</v>
      </c>
      <c r="C618" s="86" t="str">
        <f t="shared" si="53"/>
        <v>Desafio 31</v>
      </c>
      <c r="D618" s="87" t="str">
        <f>'⚙️ Configuração'!C41</f>
        <v>Marta Torres</v>
      </c>
      <c r="E618" s="50">
        <v>0</v>
      </c>
      <c r="F618" s="50">
        <v>0</v>
      </c>
      <c r="G618" s="50">
        <v>0</v>
      </c>
      <c r="H618" s="50">
        <v>0</v>
      </c>
      <c r="I618" s="50">
        <v>0</v>
      </c>
      <c r="J618" s="89">
        <v>0</v>
      </c>
      <c r="K618" s="81">
        <f>(E618*'⚙️ Configuração'!$C$6+F618*'⚙️ Configuração'!$C$7+G618*'⚙️ Configuração'!$C$8+H618*'⚙️ Configuração'!$C$9+I618*'⚙️ Configuração'!$C$10+J618*'⚙️ Configuração'!$C$11)*IF(N618="S",2,1)</f>
        <v>0</v>
      </c>
      <c r="L618" s="90" t="s">
        <v>167</v>
      </c>
      <c r="M618" s="82">
        <f>IF(L618="AT1",'⚙️ Configuração'!$C$14,IF(L618="AT2",'⚙️ Configuração'!$C$15,IF(L618="FI",'⚙️ Configuração'!$C$16,IF(L618="FJ",'⚙️ Configuração'!$C$17,0))))</f>
        <v>0</v>
      </c>
      <c r="N618" s="91" t="s">
        <v>167</v>
      </c>
      <c r="O618" s="92"/>
      <c r="P618" s="83">
        <f>IF(O618="1",'⚙️ Configuração'!$C$21,IF(O618="2",'⚙️ Configuração'!$C$22,IF(O618="3",'⚙️ Configuração'!$C$23,IF(O618="Outro",'⚙️ Configuração'!$C$24,0))))</f>
        <v>0</v>
      </c>
      <c r="Q618" s="84">
        <f t="shared" si="50"/>
        <v>0</v>
      </c>
      <c r="R618" s="40" t="str">
        <f t="shared" si="44"/>
        <v>Semana 1 — ver 🔄</v>
      </c>
      <c r="S618" t="str" cm="1">
        <f t="array" ref="S618">IF(D618="","",IFERROR(_xlfn.SWITCH(B618,"Semana 1",IFERROR(INDEX('🔄 Rotação Duplas'!$D$8:$D$17,MATCH(D618,'🔄 Rotação Duplas'!$C$8:$C$17,0)),INDEX('🔄 Rotação Duplas'!$C$8:$C$17,MATCH(D618,'🔄 Rotação Duplas'!$D$8:$D$17,0))),"Semana 2",IFERROR(INDEX('🔄 Rotação Duplas'!$D$22:$D$31,MATCH(D618,'🔄 Rotação Duplas'!$C$22:$C$31,0)),INDEX('🔄 Rotação Duplas'!$C$22:$C$31,MATCH(D618,'🔄 Rotação Duplas'!$D$22:$D$31,0))),"Semana 3",IFERROR(INDEX('🔄 Rotação Duplas'!$D$36:$D$45,MATCH(D618,'🔄 Rotação Duplas'!$C$36:$C$45,0)),INDEX('🔄 Rotação Duplas'!$C$36:$C$45,MATCH(D618,'🔄 Rotação Duplas'!$D$36:$D$45,0))),"Semana 4",IFERROR(INDEX('🔄 Rotação Duplas'!$D$50:$D$59,MATCH(D618,'🔄 Rotação Duplas'!$C$50:$C$59,0)),INDEX('🔄 Rotação Duplas'!$C$50:$C$59,MATCH(D618,'🔄 Rotação Duplas'!$D$50:$D$59,0))),"Semana 5",IFERROR(INDEX('🔄 Rotação Duplas'!$D$64:$D$73,MATCH(D618,'🔄 Rotação Duplas'!$C$64:$C$73,0)),INDEX('🔄 Rotação Duplas'!$C$64:$C$73,MATCH(D618,'🔄 Rotação Duplas'!$D$64:$D$73,0))),"Semana 6",IFERROR(INDEX('🔄 Rotação Duplas'!$D$78:$D$87,MATCH(D618,'🔄 Rotação Duplas'!$C$78:$C$87,0)),INDEX('🔄 Rotação Duplas'!$C$78:$C$87,MATCH(D618,'🔄 Rotação Duplas'!$D$78:$D$87,0))),"Semana 7",IFERROR(INDEX('🔄 Rotação Duplas'!$D$92:$D$101,MATCH(D618,'🔄 Rotação Duplas'!$C$92:$C$101,0)),INDEX('🔄 Rotação Duplas'!$C$92:$C$101,MATCH(D618,'🔄 Rotação Duplas'!$D$92:$D$101,0))),"Semana 8",IFERROR(INDEX('🔄 Rotação Duplas'!$D$106:$D$115,MATCH(D618,'🔄 Rotação Duplas'!$C$106:$C$115,0)),INDEX('🔄 Rotação Duplas'!$C$106:$C$115,MATCH(D618,'🔄 Rotação Duplas'!$D$106:$D$115,0)))),""))</f>
        <v/>
      </c>
      <c r="T618">
        <f t="shared" si="51"/>
        <v>0</v>
      </c>
    </row>
    <row r="619" spans="2:20" ht="18" customHeight="1" x14ac:dyDescent="0.2">
      <c r="B619" s="78" t="s">
        <v>132</v>
      </c>
      <c r="C619" s="79" t="str">
        <f t="shared" si="53"/>
        <v>Desafio 31</v>
      </c>
      <c r="D619" s="80" t="str">
        <f>'⚙️ Configuração'!C42</f>
        <v>Patricia Isabel Silva</v>
      </c>
      <c r="E619" s="50">
        <v>0</v>
      </c>
      <c r="F619" s="50">
        <v>0</v>
      </c>
      <c r="G619" s="50">
        <v>0</v>
      </c>
      <c r="H619" s="50">
        <v>0</v>
      </c>
      <c r="I619" s="50">
        <v>0</v>
      </c>
      <c r="J619" s="89">
        <v>0</v>
      </c>
      <c r="K619" s="81">
        <f>(E619*'⚙️ Configuração'!$C$6+F619*'⚙️ Configuração'!$C$7+G619*'⚙️ Configuração'!$C$8+H619*'⚙️ Configuração'!$C$9+I619*'⚙️ Configuração'!$C$10+J619*'⚙️ Configuração'!$C$11)*IF(N619="S",2,1)</f>
        <v>0</v>
      </c>
      <c r="L619" s="90" t="s">
        <v>167</v>
      </c>
      <c r="M619" s="82">
        <f>IF(L619="AT1",'⚙️ Configuração'!$C$14,IF(L619="AT2",'⚙️ Configuração'!$C$15,IF(L619="FI",'⚙️ Configuração'!$C$16,IF(L619="FJ",'⚙️ Configuração'!$C$17,0))))</f>
        <v>0</v>
      </c>
      <c r="N619" s="91" t="s">
        <v>167</v>
      </c>
      <c r="O619" s="92"/>
      <c r="P619" s="83">
        <f>IF(O619="1",'⚙️ Configuração'!$C$21,IF(O619="2",'⚙️ Configuração'!$C$22,IF(O619="3",'⚙️ Configuração'!$C$23,IF(O619="Outro",'⚙️ Configuração'!$C$24,0))))</f>
        <v>0</v>
      </c>
      <c r="Q619" s="84">
        <f t="shared" si="50"/>
        <v>0</v>
      </c>
      <c r="R619" s="40" t="str">
        <f t="shared" si="44"/>
        <v>Semana 1 — ver 🔄</v>
      </c>
      <c r="S619" t="str" cm="1">
        <f t="array" ref="S619">IF(D619="","",IFERROR(_xlfn.SWITCH(B619,"Semana 1",IFERROR(INDEX('🔄 Rotação Duplas'!$D$8:$D$17,MATCH(D619,'🔄 Rotação Duplas'!$C$8:$C$17,0)),INDEX('🔄 Rotação Duplas'!$C$8:$C$17,MATCH(D619,'🔄 Rotação Duplas'!$D$8:$D$17,0))),"Semana 2",IFERROR(INDEX('🔄 Rotação Duplas'!$D$22:$D$31,MATCH(D619,'🔄 Rotação Duplas'!$C$22:$C$31,0)),INDEX('🔄 Rotação Duplas'!$C$22:$C$31,MATCH(D619,'🔄 Rotação Duplas'!$D$22:$D$31,0))),"Semana 3",IFERROR(INDEX('🔄 Rotação Duplas'!$D$36:$D$45,MATCH(D619,'🔄 Rotação Duplas'!$C$36:$C$45,0)),INDEX('🔄 Rotação Duplas'!$C$36:$C$45,MATCH(D619,'🔄 Rotação Duplas'!$D$36:$D$45,0))),"Semana 4",IFERROR(INDEX('🔄 Rotação Duplas'!$D$50:$D$59,MATCH(D619,'🔄 Rotação Duplas'!$C$50:$C$59,0)),INDEX('🔄 Rotação Duplas'!$C$50:$C$59,MATCH(D619,'🔄 Rotação Duplas'!$D$50:$D$59,0))),"Semana 5",IFERROR(INDEX('🔄 Rotação Duplas'!$D$64:$D$73,MATCH(D619,'🔄 Rotação Duplas'!$C$64:$C$73,0)),INDEX('🔄 Rotação Duplas'!$C$64:$C$73,MATCH(D619,'🔄 Rotação Duplas'!$D$64:$D$73,0))),"Semana 6",IFERROR(INDEX('🔄 Rotação Duplas'!$D$78:$D$87,MATCH(D619,'🔄 Rotação Duplas'!$C$78:$C$87,0)),INDEX('🔄 Rotação Duplas'!$C$78:$C$87,MATCH(D619,'🔄 Rotação Duplas'!$D$78:$D$87,0))),"Semana 7",IFERROR(INDEX('🔄 Rotação Duplas'!$D$92:$D$101,MATCH(D619,'🔄 Rotação Duplas'!$C$92:$C$101,0)),INDEX('🔄 Rotação Duplas'!$C$92:$C$101,MATCH(D619,'🔄 Rotação Duplas'!$D$92:$D$101,0))),"Semana 8",IFERROR(INDEX('🔄 Rotação Duplas'!$D$106:$D$115,MATCH(D619,'🔄 Rotação Duplas'!$C$106:$C$115,0)),INDEX('🔄 Rotação Duplas'!$C$106:$C$115,MATCH(D619,'🔄 Rotação Duplas'!$D$106:$D$115,0)))),""))</f>
        <v/>
      </c>
      <c r="T619">
        <f t="shared" si="51"/>
        <v>0</v>
      </c>
    </row>
    <row r="620" spans="2:20" ht="18" customHeight="1" x14ac:dyDescent="0.2">
      <c r="B620" s="85" t="s">
        <v>132</v>
      </c>
      <c r="C620" s="86" t="str">
        <f t="shared" si="53"/>
        <v>Desafio 31</v>
      </c>
      <c r="D620" s="87" t="str">
        <f>'⚙️ Configuração'!C43</f>
        <v>Paula Martins</v>
      </c>
      <c r="E620" s="50">
        <v>0</v>
      </c>
      <c r="F620" s="50">
        <v>0</v>
      </c>
      <c r="G620" s="50">
        <v>0</v>
      </c>
      <c r="H620" s="50">
        <v>0</v>
      </c>
      <c r="I620" s="50">
        <v>0</v>
      </c>
      <c r="J620" s="89">
        <v>0</v>
      </c>
      <c r="K620" s="81">
        <f>(E620*'⚙️ Configuração'!$C$6+F620*'⚙️ Configuração'!$C$7+G620*'⚙️ Configuração'!$C$8+H620*'⚙️ Configuração'!$C$9+I620*'⚙️ Configuração'!$C$10+J620*'⚙️ Configuração'!$C$11)*IF(N620="S",2,1)</f>
        <v>0</v>
      </c>
      <c r="L620" s="90" t="s">
        <v>167</v>
      </c>
      <c r="M620" s="82">
        <f>IF(L620="AT1",'⚙️ Configuração'!$C$14,IF(L620="AT2",'⚙️ Configuração'!$C$15,IF(L620="FI",'⚙️ Configuração'!$C$16,IF(L620="FJ",'⚙️ Configuração'!$C$17,0))))</f>
        <v>0</v>
      </c>
      <c r="N620" s="91" t="s">
        <v>167</v>
      </c>
      <c r="O620" s="92"/>
      <c r="P620" s="83">
        <f>IF(O620="1",'⚙️ Configuração'!$C$21,IF(O620="2",'⚙️ Configuração'!$C$22,IF(O620="3",'⚙️ Configuração'!$C$23,IF(O620="Outro",'⚙️ Configuração'!$C$24,0))))</f>
        <v>0</v>
      </c>
      <c r="Q620" s="84">
        <f t="shared" si="50"/>
        <v>0</v>
      </c>
      <c r="R620" s="40" t="str">
        <f t="shared" si="44"/>
        <v>Semana 1 — ver 🔄</v>
      </c>
      <c r="S620" t="str" cm="1">
        <f t="array" ref="S620">IF(D620="","",IFERROR(_xlfn.SWITCH(B620,"Semana 1",IFERROR(INDEX('🔄 Rotação Duplas'!$D$8:$D$17,MATCH(D620,'🔄 Rotação Duplas'!$C$8:$C$17,0)),INDEX('🔄 Rotação Duplas'!$C$8:$C$17,MATCH(D620,'🔄 Rotação Duplas'!$D$8:$D$17,0))),"Semana 2",IFERROR(INDEX('🔄 Rotação Duplas'!$D$22:$D$31,MATCH(D620,'🔄 Rotação Duplas'!$C$22:$C$31,0)),INDEX('🔄 Rotação Duplas'!$C$22:$C$31,MATCH(D620,'🔄 Rotação Duplas'!$D$22:$D$31,0))),"Semana 3",IFERROR(INDEX('🔄 Rotação Duplas'!$D$36:$D$45,MATCH(D620,'🔄 Rotação Duplas'!$C$36:$C$45,0)),INDEX('🔄 Rotação Duplas'!$C$36:$C$45,MATCH(D620,'🔄 Rotação Duplas'!$D$36:$D$45,0))),"Semana 4",IFERROR(INDEX('🔄 Rotação Duplas'!$D$50:$D$59,MATCH(D620,'🔄 Rotação Duplas'!$C$50:$C$59,0)),INDEX('🔄 Rotação Duplas'!$C$50:$C$59,MATCH(D620,'🔄 Rotação Duplas'!$D$50:$D$59,0))),"Semana 5",IFERROR(INDEX('🔄 Rotação Duplas'!$D$64:$D$73,MATCH(D620,'🔄 Rotação Duplas'!$C$64:$C$73,0)),INDEX('🔄 Rotação Duplas'!$C$64:$C$73,MATCH(D620,'🔄 Rotação Duplas'!$D$64:$D$73,0))),"Semana 6",IFERROR(INDEX('🔄 Rotação Duplas'!$D$78:$D$87,MATCH(D620,'🔄 Rotação Duplas'!$C$78:$C$87,0)),INDEX('🔄 Rotação Duplas'!$C$78:$C$87,MATCH(D620,'🔄 Rotação Duplas'!$D$78:$D$87,0))),"Semana 7",IFERROR(INDEX('🔄 Rotação Duplas'!$D$92:$D$101,MATCH(D620,'🔄 Rotação Duplas'!$C$92:$C$101,0)),INDEX('🔄 Rotação Duplas'!$C$92:$C$101,MATCH(D620,'🔄 Rotação Duplas'!$D$92:$D$101,0))),"Semana 8",IFERROR(INDEX('🔄 Rotação Duplas'!$D$106:$D$115,MATCH(D620,'🔄 Rotação Duplas'!$C$106:$C$115,0)),INDEX('🔄 Rotação Duplas'!$C$106:$C$115,MATCH(D620,'🔄 Rotação Duplas'!$D$106:$D$115,0)))),""))</f>
        <v/>
      </c>
      <c r="T620">
        <f t="shared" si="51"/>
        <v>0</v>
      </c>
    </row>
    <row r="621" spans="2:20" ht="18" customHeight="1" x14ac:dyDescent="0.2">
      <c r="B621" s="78" t="s">
        <v>132</v>
      </c>
      <c r="C621" s="79" t="str">
        <f t="shared" si="53"/>
        <v>Desafio 31</v>
      </c>
      <c r="D621" s="80" t="str">
        <f>'⚙️ Configuração'!C44</f>
        <v>Paula Miabara</v>
      </c>
      <c r="E621" s="50">
        <v>0</v>
      </c>
      <c r="F621" s="50">
        <v>0</v>
      </c>
      <c r="G621" s="50">
        <v>0</v>
      </c>
      <c r="H621" s="50">
        <v>0</v>
      </c>
      <c r="I621" s="50">
        <v>0</v>
      </c>
      <c r="J621" s="89">
        <v>0</v>
      </c>
      <c r="K621" s="81">
        <f>(E621*'⚙️ Configuração'!$C$6+F621*'⚙️ Configuração'!$C$7+G621*'⚙️ Configuração'!$C$8+H621*'⚙️ Configuração'!$C$9+I621*'⚙️ Configuração'!$C$10+J621*'⚙️ Configuração'!$C$11)*IF(N621="S",2,1)</f>
        <v>0</v>
      </c>
      <c r="L621" s="90" t="s">
        <v>167</v>
      </c>
      <c r="M621" s="82">
        <f>IF(L621="AT1",'⚙️ Configuração'!$C$14,IF(L621="AT2",'⚙️ Configuração'!$C$15,IF(L621="FI",'⚙️ Configuração'!$C$16,IF(L621="FJ",'⚙️ Configuração'!$C$17,0))))</f>
        <v>0</v>
      </c>
      <c r="N621" s="91" t="s">
        <v>167</v>
      </c>
      <c r="O621" s="92"/>
      <c r="P621" s="83">
        <f>IF(O621="1",'⚙️ Configuração'!$C$21,IF(O621="2",'⚙️ Configuração'!$C$22,IF(O621="3",'⚙️ Configuração'!$C$23,IF(O621="Outro",'⚙️ Configuração'!$C$24,0))))</f>
        <v>0</v>
      </c>
      <c r="Q621" s="84">
        <f t="shared" si="50"/>
        <v>0</v>
      </c>
      <c r="R621" s="40" t="str">
        <f t="shared" si="44"/>
        <v>Semana 1 — ver 🔄</v>
      </c>
      <c r="S621" t="str" cm="1">
        <f t="array" ref="S621">IF(D621="","",IFERROR(_xlfn.SWITCH(B621,"Semana 1",IFERROR(INDEX('🔄 Rotação Duplas'!$D$8:$D$17,MATCH(D621,'🔄 Rotação Duplas'!$C$8:$C$17,0)),INDEX('🔄 Rotação Duplas'!$C$8:$C$17,MATCH(D621,'🔄 Rotação Duplas'!$D$8:$D$17,0))),"Semana 2",IFERROR(INDEX('🔄 Rotação Duplas'!$D$22:$D$31,MATCH(D621,'🔄 Rotação Duplas'!$C$22:$C$31,0)),INDEX('🔄 Rotação Duplas'!$C$22:$C$31,MATCH(D621,'🔄 Rotação Duplas'!$D$22:$D$31,0))),"Semana 3",IFERROR(INDEX('🔄 Rotação Duplas'!$D$36:$D$45,MATCH(D621,'🔄 Rotação Duplas'!$C$36:$C$45,0)),INDEX('🔄 Rotação Duplas'!$C$36:$C$45,MATCH(D621,'🔄 Rotação Duplas'!$D$36:$D$45,0))),"Semana 4",IFERROR(INDEX('🔄 Rotação Duplas'!$D$50:$D$59,MATCH(D621,'🔄 Rotação Duplas'!$C$50:$C$59,0)),INDEX('🔄 Rotação Duplas'!$C$50:$C$59,MATCH(D621,'🔄 Rotação Duplas'!$D$50:$D$59,0))),"Semana 5",IFERROR(INDEX('🔄 Rotação Duplas'!$D$64:$D$73,MATCH(D621,'🔄 Rotação Duplas'!$C$64:$C$73,0)),INDEX('🔄 Rotação Duplas'!$C$64:$C$73,MATCH(D621,'🔄 Rotação Duplas'!$D$64:$D$73,0))),"Semana 6",IFERROR(INDEX('🔄 Rotação Duplas'!$D$78:$D$87,MATCH(D621,'🔄 Rotação Duplas'!$C$78:$C$87,0)),INDEX('🔄 Rotação Duplas'!$C$78:$C$87,MATCH(D621,'🔄 Rotação Duplas'!$D$78:$D$87,0))),"Semana 7",IFERROR(INDEX('🔄 Rotação Duplas'!$D$92:$D$101,MATCH(D621,'🔄 Rotação Duplas'!$C$92:$C$101,0)),INDEX('🔄 Rotação Duplas'!$C$92:$C$101,MATCH(D621,'🔄 Rotação Duplas'!$D$92:$D$101,0))),"Semana 8",IFERROR(INDEX('🔄 Rotação Duplas'!$D$106:$D$115,MATCH(D621,'🔄 Rotação Duplas'!$C$106:$C$115,0)),INDEX('🔄 Rotação Duplas'!$C$106:$C$115,MATCH(D621,'🔄 Rotação Duplas'!$D$106:$D$115,0)))),""))</f>
        <v/>
      </c>
      <c r="T621">
        <f t="shared" si="51"/>
        <v>0</v>
      </c>
    </row>
    <row r="622" spans="2:20" ht="18" customHeight="1" x14ac:dyDescent="0.2">
      <c r="B622" s="85" t="s">
        <v>132</v>
      </c>
      <c r="C622" s="86" t="str">
        <f t="shared" si="53"/>
        <v>Desafio 31</v>
      </c>
      <c r="D622" s="87" t="str">
        <f>'⚙️ Configuração'!C45</f>
        <v>Rita Carmo</v>
      </c>
      <c r="E622" s="50">
        <v>0</v>
      </c>
      <c r="F622" s="50">
        <v>0</v>
      </c>
      <c r="G622" s="50">
        <v>0</v>
      </c>
      <c r="H622" s="50">
        <v>0</v>
      </c>
      <c r="I622" s="50">
        <v>0</v>
      </c>
      <c r="J622" s="89">
        <v>0</v>
      </c>
      <c r="K622" s="81">
        <f>(E622*'⚙️ Configuração'!$C$6+F622*'⚙️ Configuração'!$C$7+G622*'⚙️ Configuração'!$C$8+H622*'⚙️ Configuração'!$C$9+I622*'⚙️ Configuração'!$C$10+J622*'⚙️ Configuração'!$C$11)*IF(N622="S",2,1)</f>
        <v>0</v>
      </c>
      <c r="L622" s="90" t="s">
        <v>167</v>
      </c>
      <c r="M622" s="82">
        <f>IF(L622="AT1",'⚙️ Configuração'!$C$14,IF(L622="AT2",'⚙️ Configuração'!$C$15,IF(L622="FI",'⚙️ Configuração'!$C$16,IF(L622="FJ",'⚙️ Configuração'!$C$17,0))))</f>
        <v>0</v>
      </c>
      <c r="N622" s="91" t="s">
        <v>167</v>
      </c>
      <c r="O622" s="92"/>
      <c r="P622" s="83">
        <f>IF(O622="1",'⚙️ Configuração'!$C$21,IF(O622="2",'⚙️ Configuração'!$C$22,IF(O622="3",'⚙️ Configuração'!$C$23,IF(O622="Outro",'⚙️ Configuração'!$C$24,0))))</f>
        <v>0</v>
      </c>
      <c r="Q622" s="84">
        <f t="shared" si="50"/>
        <v>0</v>
      </c>
      <c r="R622" s="40" t="str">
        <f t="shared" si="44"/>
        <v>Semana 1 — ver 🔄</v>
      </c>
      <c r="S622" t="str" cm="1">
        <f t="array" ref="S622">IF(D622="","",IFERROR(_xlfn.SWITCH(B622,"Semana 1",IFERROR(INDEX('🔄 Rotação Duplas'!$D$8:$D$17,MATCH(D622,'🔄 Rotação Duplas'!$C$8:$C$17,0)),INDEX('🔄 Rotação Duplas'!$C$8:$C$17,MATCH(D622,'🔄 Rotação Duplas'!$D$8:$D$17,0))),"Semana 2",IFERROR(INDEX('🔄 Rotação Duplas'!$D$22:$D$31,MATCH(D622,'🔄 Rotação Duplas'!$C$22:$C$31,0)),INDEX('🔄 Rotação Duplas'!$C$22:$C$31,MATCH(D622,'🔄 Rotação Duplas'!$D$22:$D$31,0))),"Semana 3",IFERROR(INDEX('🔄 Rotação Duplas'!$D$36:$D$45,MATCH(D622,'🔄 Rotação Duplas'!$C$36:$C$45,0)),INDEX('🔄 Rotação Duplas'!$C$36:$C$45,MATCH(D622,'🔄 Rotação Duplas'!$D$36:$D$45,0))),"Semana 4",IFERROR(INDEX('🔄 Rotação Duplas'!$D$50:$D$59,MATCH(D622,'🔄 Rotação Duplas'!$C$50:$C$59,0)),INDEX('🔄 Rotação Duplas'!$C$50:$C$59,MATCH(D622,'🔄 Rotação Duplas'!$D$50:$D$59,0))),"Semana 5",IFERROR(INDEX('🔄 Rotação Duplas'!$D$64:$D$73,MATCH(D622,'🔄 Rotação Duplas'!$C$64:$C$73,0)),INDEX('🔄 Rotação Duplas'!$C$64:$C$73,MATCH(D622,'🔄 Rotação Duplas'!$D$64:$D$73,0))),"Semana 6",IFERROR(INDEX('🔄 Rotação Duplas'!$D$78:$D$87,MATCH(D622,'🔄 Rotação Duplas'!$C$78:$C$87,0)),INDEX('🔄 Rotação Duplas'!$C$78:$C$87,MATCH(D622,'🔄 Rotação Duplas'!$D$78:$D$87,0))),"Semana 7",IFERROR(INDEX('🔄 Rotação Duplas'!$D$92:$D$101,MATCH(D622,'🔄 Rotação Duplas'!$C$92:$C$101,0)),INDEX('🔄 Rotação Duplas'!$C$92:$C$101,MATCH(D622,'🔄 Rotação Duplas'!$D$92:$D$101,0))),"Semana 8",IFERROR(INDEX('🔄 Rotação Duplas'!$D$106:$D$115,MATCH(D622,'🔄 Rotação Duplas'!$C$106:$C$115,0)),INDEX('🔄 Rotação Duplas'!$C$106:$C$115,MATCH(D622,'🔄 Rotação Duplas'!$D$106:$D$115,0)))),""))</f>
        <v/>
      </c>
      <c r="T622">
        <f t="shared" si="51"/>
        <v>0</v>
      </c>
    </row>
    <row r="623" spans="2:20" ht="18" customHeight="1" x14ac:dyDescent="0.2">
      <c r="B623" s="78" t="s">
        <v>132</v>
      </c>
      <c r="C623" s="79" t="str">
        <f t="shared" si="53"/>
        <v>Desafio 31</v>
      </c>
      <c r="D623" s="80" t="str">
        <f>'⚙️ Configuração'!C46</f>
        <v>William Fernandes</v>
      </c>
      <c r="E623" s="50">
        <v>0</v>
      </c>
      <c r="F623" s="50">
        <v>0</v>
      </c>
      <c r="G623" s="50">
        <v>0</v>
      </c>
      <c r="H623" s="50">
        <v>0</v>
      </c>
      <c r="I623" s="50">
        <v>0</v>
      </c>
      <c r="J623" s="89">
        <v>0</v>
      </c>
      <c r="K623" s="81">
        <f>(E623*'⚙️ Configuração'!$C$6+F623*'⚙️ Configuração'!$C$7+G623*'⚙️ Configuração'!$C$8+H623*'⚙️ Configuração'!$C$9+I623*'⚙️ Configuração'!$C$10+J623*'⚙️ Configuração'!$C$11)*IF(N623="S",2,1)</f>
        <v>0</v>
      </c>
      <c r="L623" s="90" t="s">
        <v>167</v>
      </c>
      <c r="M623" s="82">
        <f>IF(L623="AT1",'⚙️ Configuração'!$C$14,IF(L623="AT2",'⚙️ Configuração'!$C$15,IF(L623="FI",'⚙️ Configuração'!$C$16,IF(L623="FJ",'⚙️ Configuração'!$C$17,0))))</f>
        <v>0</v>
      </c>
      <c r="N623" s="91" t="s">
        <v>167</v>
      </c>
      <c r="O623" s="92"/>
      <c r="P623" s="83">
        <f>IF(O623="1",'⚙️ Configuração'!$C$21,IF(O623="2",'⚙️ Configuração'!$C$22,IF(O623="3",'⚙️ Configuração'!$C$23,IF(O623="Outro",'⚙️ Configuração'!$C$24,0))))</f>
        <v>0</v>
      </c>
      <c r="Q623" s="84">
        <f t="shared" si="50"/>
        <v>0</v>
      </c>
      <c r="R623" s="40" t="str">
        <f t="shared" si="44"/>
        <v>Semana 1 — ver 🔄</v>
      </c>
      <c r="S623" t="str" cm="1">
        <f t="array" ref="S623">IF(D623="","",IFERROR(_xlfn.SWITCH(B623,"Semana 1",IFERROR(INDEX('🔄 Rotação Duplas'!$D$8:$D$17,MATCH(D623,'🔄 Rotação Duplas'!$C$8:$C$17,0)),INDEX('🔄 Rotação Duplas'!$C$8:$C$17,MATCH(D623,'🔄 Rotação Duplas'!$D$8:$D$17,0))),"Semana 2",IFERROR(INDEX('🔄 Rotação Duplas'!$D$22:$D$31,MATCH(D623,'🔄 Rotação Duplas'!$C$22:$C$31,0)),INDEX('🔄 Rotação Duplas'!$C$22:$C$31,MATCH(D623,'🔄 Rotação Duplas'!$D$22:$D$31,0))),"Semana 3",IFERROR(INDEX('🔄 Rotação Duplas'!$D$36:$D$45,MATCH(D623,'🔄 Rotação Duplas'!$C$36:$C$45,0)),INDEX('🔄 Rotação Duplas'!$C$36:$C$45,MATCH(D623,'🔄 Rotação Duplas'!$D$36:$D$45,0))),"Semana 4",IFERROR(INDEX('🔄 Rotação Duplas'!$D$50:$D$59,MATCH(D623,'🔄 Rotação Duplas'!$C$50:$C$59,0)),INDEX('🔄 Rotação Duplas'!$C$50:$C$59,MATCH(D623,'🔄 Rotação Duplas'!$D$50:$D$59,0))),"Semana 5",IFERROR(INDEX('🔄 Rotação Duplas'!$D$64:$D$73,MATCH(D623,'🔄 Rotação Duplas'!$C$64:$C$73,0)),INDEX('🔄 Rotação Duplas'!$C$64:$C$73,MATCH(D623,'🔄 Rotação Duplas'!$D$64:$D$73,0))),"Semana 6",IFERROR(INDEX('🔄 Rotação Duplas'!$D$78:$D$87,MATCH(D623,'🔄 Rotação Duplas'!$C$78:$C$87,0)),INDEX('🔄 Rotação Duplas'!$C$78:$C$87,MATCH(D623,'🔄 Rotação Duplas'!$D$78:$D$87,0))),"Semana 7",IFERROR(INDEX('🔄 Rotação Duplas'!$D$92:$D$101,MATCH(D623,'🔄 Rotação Duplas'!$C$92:$C$101,0)),INDEX('🔄 Rotação Duplas'!$C$92:$C$101,MATCH(D623,'🔄 Rotação Duplas'!$D$92:$D$101,0))),"Semana 8",IFERROR(INDEX('🔄 Rotação Duplas'!$D$106:$D$115,MATCH(D623,'🔄 Rotação Duplas'!$C$106:$C$115,0)),INDEX('🔄 Rotação Duplas'!$C$106:$C$115,MATCH(D623,'🔄 Rotação Duplas'!$D$106:$D$115,0)))),""))</f>
        <v/>
      </c>
      <c r="T623">
        <f t="shared" si="51"/>
        <v>0</v>
      </c>
    </row>
    <row r="624" spans="2:20" ht="18" customHeight="1" x14ac:dyDescent="0.2">
      <c r="B624" s="85" t="s">
        <v>132</v>
      </c>
      <c r="C624" s="86" t="str">
        <f t="shared" si="53"/>
        <v>Desafio 31</v>
      </c>
      <c r="D624" s="87" t="str">
        <f>'⚙️ Configuração'!C47</f>
        <v>-</v>
      </c>
      <c r="E624" s="50">
        <v>0</v>
      </c>
      <c r="F624" s="50">
        <v>0</v>
      </c>
      <c r="G624" s="50">
        <v>0</v>
      </c>
      <c r="H624" s="50">
        <v>0</v>
      </c>
      <c r="I624" s="50">
        <v>0</v>
      </c>
      <c r="J624" s="89">
        <v>0</v>
      </c>
      <c r="K624" s="81">
        <f>(E624*'⚙️ Configuração'!$C$6+F624*'⚙️ Configuração'!$C$7+G624*'⚙️ Configuração'!$C$8+H624*'⚙️ Configuração'!$C$9+I624*'⚙️ Configuração'!$C$10+J624*'⚙️ Configuração'!$C$11)*IF(N624="S",2,1)</f>
        <v>0</v>
      </c>
      <c r="L624" s="90" t="s">
        <v>167</v>
      </c>
      <c r="M624" s="82">
        <f>IF(L624="AT1",'⚙️ Configuração'!$C$14,IF(L624="AT2",'⚙️ Configuração'!$C$15,IF(L624="FI",'⚙️ Configuração'!$C$16,IF(L624="FJ",'⚙️ Configuração'!$C$17,0))))</f>
        <v>0</v>
      </c>
      <c r="N624" s="91" t="s">
        <v>167</v>
      </c>
      <c r="O624" s="92"/>
      <c r="P624" s="83">
        <f>IF(O624="1",'⚙️ Configuração'!$C$21,IF(O624="2",'⚙️ Configuração'!$C$22,IF(O624="3",'⚙️ Configuração'!$C$23,IF(O624="Outro",'⚙️ Configuração'!$C$24,0))))</f>
        <v>0</v>
      </c>
      <c r="Q624" s="84">
        <f t="shared" si="50"/>
        <v>0</v>
      </c>
      <c r="R624" s="40" t="str">
        <f t="shared" si="44"/>
        <v>Semana 1 — ver 🔄</v>
      </c>
      <c r="S624" t="str" cm="1">
        <f t="array" ref="S624">IF(D624="","",IFERROR(_xlfn.SWITCH(B624,"Semana 1",IFERROR(INDEX('🔄 Rotação Duplas'!$D$8:$D$17,MATCH(D624,'🔄 Rotação Duplas'!$C$8:$C$17,0)),INDEX('🔄 Rotação Duplas'!$C$8:$C$17,MATCH(D624,'🔄 Rotação Duplas'!$D$8:$D$17,0))),"Semana 2",IFERROR(INDEX('🔄 Rotação Duplas'!$D$22:$D$31,MATCH(D624,'🔄 Rotação Duplas'!$C$22:$C$31,0)),INDEX('🔄 Rotação Duplas'!$C$22:$C$31,MATCH(D624,'🔄 Rotação Duplas'!$D$22:$D$31,0))),"Semana 3",IFERROR(INDEX('🔄 Rotação Duplas'!$D$36:$D$45,MATCH(D624,'🔄 Rotação Duplas'!$C$36:$C$45,0)),INDEX('🔄 Rotação Duplas'!$C$36:$C$45,MATCH(D624,'🔄 Rotação Duplas'!$D$36:$D$45,0))),"Semana 4",IFERROR(INDEX('🔄 Rotação Duplas'!$D$50:$D$59,MATCH(D624,'🔄 Rotação Duplas'!$C$50:$C$59,0)),INDEX('🔄 Rotação Duplas'!$C$50:$C$59,MATCH(D624,'🔄 Rotação Duplas'!$D$50:$D$59,0))),"Semana 5",IFERROR(INDEX('🔄 Rotação Duplas'!$D$64:$D$73,MATCH(D624,'🔄 Rotação Duplas'!$C$64:$C$73,0)),INDEX('🔄 Rotação Duplas'!$C$64:$C$73,MATCH(D624,'🔄 Rotação Duplas'!$D$64:$D$73,0))),"Semana 6",IFERROR(INDEX('🔄 Rotação Duplas'!$D$78:$D$87,MATCH(D624,'🔄 Rotação Duplas'!$C$78:$C$87,0)),INDEX('🔄 Rotação Duplas'!$C$78:$C$87,MATCH(D624,'🔄 Rotação Duplas'!$D$78:$D$87,0))),"Semana 7",IFERROR(INDEX('🔄 Rotação Duplas'!$D$92:$D$101,MATCH(D624,'🔄 Rotação Duplas'!$C$92:$C$101,0)),INDEX('🔄 Rotação Duplas'!$C$92:$C$101,MATCH(D624,'🔄 Rotação Duplas'!$D$92:$D$101,0))),"Semana 8",IFERROR(INDEX('🔄 Rotação Duplas'!$D$106:$D$115,MATCH(D624,'🔄 Rotação Duplas'!$C$106:$C$115,0)),INDEX('🔄 Rotação Duplas'!$C$106:$C$115,MATCH(D624,'🔄 Rotação Duplas'!$D$106:$D$115,0)))),""))</f>
        <v/>
      </c>
      <c r="T624">
        <f t="shared" si="51"/>
        <v>0</v>
      </c>
    </row>
    <row r="625" spans="2:20" ht="18" customHeight="1" x14ac:dyDescent="0.2">
      <c r="B625" s="78" t="s">
        <v>132</v>
      </c>
      <c r="C625" s="79" t="str">
        <f t="shared" si="53"/>
        <v>Desafio 31</v>
      </c>
      <c r="D625" s="80" t="str">
        <f>'⚙️ Configuração'!C48</f>
        <v>-</v>
      </c>
      <c r="E625" s="50">
        <v>0</v>
      </c>
      <c r="F625" s="50">
        <v>0</v>
      </c>
      <c r="G625" s="50">
        <v>0</v>
      </c>
      <c r="H625" s="50">
        <v>0</v>
      </c>
      <c r="I625" s="50">
        <v>0</v>
      </c>
      <c r="J625" s="89">
        <v>0</v>
      </c>
      <c r="K625" s="81">
        <f>(E625*'⚙️ Configuração'!$C$6+F625*'⚙️ Configuração'!$C$7+G625*'⚙️ Configuração'!$C$8+H625*'⚙️ Configuração'!$C$9+I625*'⚙️ Configuração'!$C$10+J625*'⚙️ Configuração'!$C$11)*IF(N625="S",2,1)</f>
        <v>0</v>
      </c>
      <c r="L625" s="90" t="s">
        <v>167</v>
      </c>
      <c r="M625" s="82">
        <f>IF(L625="AT1",'⚙️ Configuração'!$C$14,IF(L625="AT2",'⚙️ Configuração'!$C$15,IF(L625="FI",'⚙️ Configuração'!$C$16,IF(L625="FJ",'⚙️ Configuração'!$C$17,0))))</f>
        <v>0</v>
      </c>
      <c r="N625" s="91" t="s">
        <v>167</v>
      </c>
      <c r="O625" s="92"/>
      <c r="P625" s="83">
        <f>IF(O625="1",'⚙️ Configuração'!$C$21,IF(O625="2",'⚙️ Configuração'!$C$22,IF(O625="3",'⚙️ Configuração'!$C$23,IF(O625="Outro",'⚙️ Configuração'!$C$24,0))))</f>
        <v>0</v>
      </c>
      <c r="Q625" s="84">
        <f t="shared" si="50"/>
        <v>0</v>
      </c>
      <c r="R625" s="40" t="str">
        <f t="shared" si="44"/>
        <v>Semana 1 — ver 🔄</v>
      </c>
      <c r="S625" t="str" cm="1">
        <f t="array" ref="S625">IF(D625="","",IFERROR(_xlfn.SWITCH(B625,"Semana 1",IFERROR(INDEX('🔄 Rotação Duplas'!$D$8:$D$17,MATCH(D625,'🔄 Rotação Duplas'!$C$8:$C$17,0)),INDEX('🔄 Rotação Duplas'!$C$8:$C$17,MATCH(D625,'🔄 Rotação Duplas'!$D$8:$D$17,0))),"Semana 2",IFERROR(INDEX('🔄 Rotação Duplas'!$D$22:$D$31,MATCH(D625,'🔄 Rotação Duplas'!$C$22:$C$31,0)),INDEX('🔄 Rotação Duplas'!$C$22:$C$31,MATCH(D625,'🔄 Rotação Duplas'!$D$22:$D$31,0))),"Semana 3",IFERROR(INDEX('🔄 Rotação Duplas'!$D$36:$D$45,MATCH(D625,'🔄 Rotação Duplas'!$C$36:$C$45,0)),INDEX('🔄 Rotação Duplas'!$C$36:$C$45,MATCH(D625,'🔄 Rotação Duplas'!$D$36:$D$45,0))),"Semana 4",IFERROR(INDEX('🔄 Rotação Duplas'!$D$50:$D$59,MATCH(D625,'🔄 Rotação Duplas'!$C$50:$C$59,0)),INDEX('🔄 Rotação Duplas'!$C$50:$C$59,MATCH(D625,'🔄 Rotação Duplas'!$D$50:$D$59,0))),"Semana 5",IFERROR(INDEX('🔄 Rotação Duplas'!$D$64:$D$73,MATCH(D625,'🔄 Rotação Duplas'!$C$64:$C$73,0)),INDEX('🔄 Rotação Duplas'!$C$64:$C$73,MATCH(D625,'🔄 Rotação Duplas'!$D$64:$D$73,0))),"Semana 6",IFERROR(INDEX('🔄 Rotação Duplas'!$D$78:$D$87,MATCH(D625,'🔄 Rotação Duplas'!$C$78:$C$87,0)),INDEX('🔄 Rotação Duplas'!$C$78:$C$87,MATCH(D625,'🔄 Rotação Duplas'!$D$78:$D$87,0))),"Semana 7",IFERROR(INDEX('🔄 Rotação Duplas'!$D$92:$D$101,MATCH(D625,'🔄 Rotação Duplas'!$C$92:$C$101,0)),INDEX('🔄 Rotação Duplas'!$C$92:$C$101,MATCH(D625,'🔄 Rotação Duplas'!$D$92:$D$101,0))),"Semana 8",IFERROR(INDEX('🔄 Rotação Duplas'!$D$106:$D$115,MATCH(D625,'🔄 Rotação Duplas'!$C$106:$C$115,0)),INDEX('🔄 Rotação Duplas'!$C$106:$C$115,MATCH(D625,'🔄 Rotação Duplas'!$D$106:$D$115,0)))),""))</f>
        <v/>
      </c>
      <c r="T625">
        <f t="shared" si="51"/>
        <v>0</v>
      </c>
    </row>
    <row r="626" spans="2:20" ht="18" customHeight="1" x14ac:dyDescent="0.2">
      <c r="B626" s="85" t="s">
        <v>132</v>
      </c>
      <c r="C626" s="86" t="str">
        <f t="shared" si="53"/>
        <v>Desafio 31</v>
      </c>
      <c r="D626" s="87" t="str">
        <f>'⚙️ Configuração'!C49</f>
        <v>-</v>
      </c>
      <c r="E626" s="50">
        <v>0</v>
      </c>
      <c r="F626" s="50">
        <v>0</v>
      </c>
      <c r="G626" s="50">
        <v>0</v>
      </c>
      <c r="H626" s="50">
        <v>0</v>
      </c>
      <c r="I626" s="50">
        <v>0</v>
      </c>
      <c r="J626" s="89">
        <v>0</v>
      </c>
      <c r="K626" s="81">
        <f>(E626*'⚙️ Configuração'!$C$6+F626*'⚙️ Configuração'!$C$7+G626*'⚙️ Configuração'!$C$8+H626*'⚙️ Configuração'!$C$9+I626*'⚙️ Configuração'!$C$10+J626*'⚙️ Configuração'!$C$11)*IF(N626="S",2,1)</f>
        <v>0</v>
      </c>
      <c r="L626" s="90" t="s">
        <v>167</v>
      </c>
      <c r="M626" s="82">
        <f>IF(L626="AT1",'⚙️ Configuração'!$C$14,IF(L626="AT2",'⚙️ Configuração'!$C$15,IF(L626="FI",'⚙️ Configuração'!$C$16,IF(L626="FJ",'⚙️ Configuração'!$C$17,0))))</f>
        <v>0</v>
      </c>
      <c r="N626" s="91" t="s">
        <v>167</v>
      </c>
      <c r="O626" s="92"/>
      <c r="P626" s="83">
        <f>IF(O626="1",'⚙️ Configuração'!$C$21,IF(O626="2",'⚙️ Configuração'!$C$22,IF(O626="3",'⚙️ Configuração'!$C$23,IF(O626="Outro",'⚙️ Configuração'!$C$24,0))))</f>
        <v>0</v>
      </c>
      <c r="Q626" s="84">
        <f t="shared" si="50"/>
        <v>0</v>
      </c>
      <c r="R626" s="40" t="str">
        <f t="shared" si="44"/>
        <v>Semana 1 — ver 🔄</v>
      </c>
      <c r="S626" t="str" cm="1">
        <f t="array" ref="S626">IF(D626="","",IFERROR(_xlfn.SWITCH(B626,"Semana 1",IFERROR(INDEX('🔄 Rotação Duplas'!$D$8:$D$17,MATCH(D626,'🔄 Rotação Duplas'!$C$8:$C$17,0)),INDEX('🔄 Rotação Duplas'!$C$8:$C$17,MATCH(D626,'🔄 Rotação Duplas'!$D$8:$D$17,0))),"Semana 2",IFERROR(INDEX('🔄 Rotação Duplas'!$D$22:$D$31,MATCH(D626,'🔄 Rotação Duplas'!$C$22:$C$31,0)),INDEX('🔄 Rotação Duplas'!$C$22:$C$31,MATCH(D626,'🔄 Rotação Duplas'!$D$22:$D$31,0))),"Semana 3",IFERROR(INDEX('🔄 Rotação Duplas'!$D$36:$D$45,MATCH(D626,'🔄 Rotação Duplas'!$C$36:$C$45,0)),INDEX('🔄 Rotação Duplas'!$C$36:$C$45,MATCH(D626,'🔄 Rotação Duplas'!$D$36:$D$45,0))),"Semana 4",IFERROR(INDEX('🔄 Rotação Duplas'!$D$50:$D$59,MATCH(D626,'🔄 Rotação Duplas'!$C$50:$C$59,0)),INDEX('🔄 Rotação Duplas'!$C$50:$C$59,MATCH(D626,'🔄 Rotação Duplas'!$D$50:$D$59,0))),"Semana 5",IFERROR(INDEX('🔄 Rotação Duplas'!$D$64:$D$73,MATCH(D626,'🔄 Rotação Duplas'!$C$64:$C$73,0)),INDEX('🔄 Rotação Duplas'!$C$64:$C$73,MATCH(D626,'🔄 Rotação Duplas'!$D$64:$D$73,0))),"Semana 6",IFERROR(INDEX('🔄 Rotação Duplas'!$D$78:$D$87,MATCH(D626,'🔄 Rotação Duplas'!$C$78:$C$87,0)),INDEX('🔄 Rotação Duplas'!$C$78:$C$87,MATCH(D626,'🔄 Rotação Duplas'!$D$78:$D$87,0))),"Semana 7",IFERROR(INDEX('🔄 Rotação Duplas'!$D$92:$D$101,MATCH(D626,'🔄 Rotação Duplas'!$C$92:$C$101,0)),INDEX('🔄 Rotação Duplas'!$C$92:$C$101,MATCH(D626,'🔄 Rotação Duplas'!$D$92:$D$101,0))),"Semana 8",IFERROR(INDEX('🔄 Rotação Duplas'!$D$106:$D$115,MATCH(D626,'🔄 Rotação Duplas'!$C$106:$C$115,0)),INDEX('🔄 Rotação Duplas'!$C$106:$C$115,MATCH(D626,'🔄 Rotação Duplas'!$D$106:$D$115,0)))),""))</f>
        <v/>
      </c>
      <c r="T626">
        <f t="shared" si="51"/>
        <v>0</v>
      </c>
    </row>
    <row r="627" spans="2:20" ht="18" customHeight="1" x14ac:dyDescent="0.2">
      <c r="B627" s="78" t="s">
        <v>132</v>
      </c>
      <c r="C627" s="79" t="str">
        <f t="shared" ref="C627:C646" si="54">"Desafio 32"</f>
        <v>Desafio 32</v>
      </c>
      <c r="D627" s="80" t="str">
        <f>'⚙️ Configuração'!C30</f>
        <v>Carla Cantante</v>
      </c>
      <c r="E627" s="50">
        <v>0</v>
      </c>
      <c r="F627" s="50">
        <v>0</v>
      </c>
      <c r="G627" s="50">
        <v>0</v>
      </c>
      <c r="H627" s="50">
        <v>0</v>
      </c>
      <c r="I627" s="50">
        <v>0</v>
      </c>
      <c r="J627" s="89">
        <v>0</v>
      </c>
      <c r="K627" s="81">
        <f>(E627*'⚙️ Configuração'!$C$6+F627*'⚙️ Configuração'!$C$7+G627*'⚙️ Configuração'!$C$8+H627*'⚙️ Configuração'!$C$9+I627*'⚙️ Configuração'!$C$10+J627*'⚙️ Configuração'!$C$11)*IF(N627="S",2,1)</f>
        <v>0</v>
      </c>
      <c r="L627" s="90" t="s">
        <v>167</v>
      </c>
      <c r="M627" s="82">
        <f>IF(L627="AT1",'⚙️ Configuração'!$C$14,IF(L627="AT2",'⚙️ Configuração'!$C$15,IF(L627="FI",'⚙️ Configuração'!$C$16,IF(L627="FJ",'⚙️ Configuração'!$C$17,0))))</f>
        <v>0</v>
      </c>
      <c r="N627" s="91" t="s">
        <v>167</v>
      </c>
      <c r="O627" s="92"/>
      <c r="P627" s="83">
        <f>IF(O627="1",'⚙️ Configuração'!$C$21,IF(O627="2",'⚙️ Configuração'!$C$22,IF(O627="3",'⚙️ Configuração'!$C$23,IF(O627="Outro",'⚙️ Configuração'!$C$24,0))))</f>
        <v>0</v>
      </c>
      <c r="Q627" s="84">
        <f t="shared" si="50"/>
        <v>0</v>
      </c>
      <c r="R627" s="40" t="str">
        <f t="shared" si="44"/>
        <v>Semana 1 — ver 🔄</v>
      </c>
      <c r="S627" t="str" cm="1">
        <f t="array" ref="S627">IF(D627="","",IFERROR(_xlfn.SWITCH(B627,"Semana 1",IFERROR(INDEX('🔄 Rotação Duplas'!$D$8:$D$17,MATCH(D627,'🔄 Rotação Duplas'!$C$8:$C$17,0)),INDEX('🔄 Rotação Duplas'!$C$8:$C$17,MATCH(D627,'🔄 Rotação Duplas'!$D$8:$D$17,0))),"Semana 2",IFERROR(INDEX('🔄 Rotação Duplas'!$D$22:$D$31,MATCH(D627,'🔄 Rotação Duplas'!$C$22:$C$31,0)),INDEX('🔄 Rotação Duplas'!$C$22:$C$31,MATCH(D627,'🔄 Rotação Duplas'!$D$22:$D$31,0))),"Semana 3",IFERROR(INDEX('🔄 Rotação Duplas'!$D$36:$D$45,MATCH(D627,'🔄 Rotação Duplas'!$C$36:$C$45,0)),INDEX('🔄 Rotação Duplas'!$C$36:$C$45,MATCH(D627,'🔄 Rotação Duplas'!$D$36:$D$45,0))),"Semana 4",IFERROR(INDEX('🔄 Rotação Duplas'!$D$50:$D$59,MATCH(D627,'🔄 Rotação Duplas'!$C$50:$C$59,0)),INDEX('🔄 Rotação Duplas'!$C$50:$C$59,MATCH(D627,'🔄 Rotação Duplas'!$D$50:$D$59,0))),"Semana 5",IFERROR(INDEX('🔄 Rotação Duplas'!$D$64:$D$73,MATCH(D627,'🔄 Rotação Duplas'!$C$64:$C$73,0)),INDEX('🔄 Rotação Duplas'!$C$64:$C$73,MATCH(D627,'🔄 Rotação Duplas'!$D$64:$D$73,0))),"Semana 6",IFERROR(INDEX('🔄 Rotação Duplas'!$D$78:$D$87,MATCH(D627,'🔄 Rotação Duplas'!$C$78:$C$87,0)),INDEX('🔄 Rotação Duplas'!$C$78:$C$87,MATCH(D627,'🔄 Rotação Duplas'!$D$78:$D$87,0))),"Semana 7",IFERROR(INDEX('🔄 Rotação Duplas'!$D$92:$D$101,MATCH(D627,'🔄 Rotação Duplas'!$C$92:$C$101,0)),INDEX('🔄 Rotação Duplas'!$C$92:$C$101,MATCH(D627,'🔄 Rotação Duplas'!$D$92:$D$101,0))),"Semana 8",IFERROR(INDEX('🔄 Rotação Duplas'!$D$106:$D$115,MATCH(D627,'🔄 Rotação Duplas'!$C$106:$C$115,0)),INDEX('🔄 Rotação Duplas'!$C$106:$C$115,MATCH(D627,'🔄 Rotação Duplas'!$D$106:$D$115,0)))),""))</f>
        <v/>
      </c>
      <c r="T627">
        <f t="shared" si="51"/>
        <v>0</v>
      </c>
    </row>
    <row r="628" spans="2:20" ht="18" customHeight="1" x14ac:dyDescent="0.2">
      <c r="B628" s="85" t="s">
        <v>132</v>
      </c>
      <c r="C628" s="86" t="str">
        <f t="shared" si="54"/>
        <v>Desafio 32</v>
      </c>
      <c r="D628" s="87" t="str">
        <f>'⚙️ Configuração'!C31</f>
        <v>Elisabete Mendes</v>
      </c>
      <c r="E628" s="50">
        <v>0</v>
      </c>
      <c r="F628" s="50">
        <v>0</v>
      </c>
      <c r="G628" s="50">
        <v>0</v>
      </c>
      <c r="H628" s="50">
        <v>0</v>
      </c>
      <c r="I628" s="50">
        <v>0</v>
      </c>
      <c r="J628" s="89">
        <v>0</v>
      </c>
      <c r="K628" s="81">
        <f>(E628*'⚙️ Configuração'!$C$6+F628*'⚙️ Configuração'!$C$7+G628*'⚙️ Configuração'!$C$8+H628*'⚙️ Configuração'!$C$9+I628*'⚙️ Configuração'!$C$10+J628*'⚙️ Configuração'!$C$11)*IF(N628="S",2,1)</f>
        <v>0</v>
      </c>
      <c r="L628" s="90" t="s">
        <v>167</v>
      </c>
      <c r="M628" s="82">
        <f>IF(L628="AT1",'⚙️ Configuração'!$C$14,IF(L628="AT2",'⚙️ Configuração'!$C$15,IF(L628="FI",'⚙️ Configuração'!$C$16,IF(L628="FJ",'⚙️ Configuração'!$C$17,0))))</f>
        <v>0</v>
      </c>
      <c r="N628" s="91" t="s">
        <v>167</v>
      </c>
      <c r="O628" s="92"/>
      <c r="P628" s="83">
        <f>IF(O628="1",'⚙️ Configuração'!$C$21,IF(O628="2",'⚙️ Configuração'!$C$22,IF(O628="3",'⚙️ Configuração'!$C$23,IF(O628="Outro",'⚙️ Configuração'!$C$24,0))))</f>
        <v>0</v>
      </c>
      <c r="Q628" s="84">
        <f t="shared" si="50"/>
        <v>0</v>
      </c>
      <c r="R628" s="40" t="str">
        <f t="shared" si="44"/>
        <v>Semana 1 — ver 🔄</v>
      </c>
      <c r="S628" t="str" cm="1">
        <f t="array" ref="S628">IF(D628="","",IFERROR(_xlfn.SWITCH(B628,"Semana 1",IFERROR(INDEX('🔄 Rotação Duplas'!$D$8:$D$17,MATCH(D628,'🔄 Rotação Duplas'!$C$8:$C$17,0)),INDEX('🔄 Rotação Duplas'!$C$8:$C$17,MATCH(D628,'🔄 Rotação Duplas'!$D$8:$D$17,0))),"Semana 2",IFERROR(INDEX('🔄 Rotação Duplas'!$D$22:$D$31,MATCH(D628,'🔄 Rotação Duplas'!$C$22:$C$31,0)),INDEX('🔄 Rotação Duplas'!$C$22:$C$31,MATCH(D628,'🔄 Rotação Duplas'!$D$22:$D$31,0))),"Semana 3",IFERROR(INDEX('🔄 Rotação Duplas'!$D$36:$D$45,MATCH(D628,'🔄 Rotação Duplas'!$C$36:$C$45,0)),INDEX('🔄 Rotação Duplas'!$C$36:$C$45,MATCH(D628,'🔄 Rotação Duplas'!$D$36:$D$45,0))),"Semana 4",IFERROR(INDEX('🔄 Rotação Duplas'!$D$50:$D$59,MATCH(D628,'🔄 Rotação Duplas'!$C$50:$C$59,0)),INDEX('🔄 Rotação Duplas'!$C$50:$C$59,MATCH(D628,'🔄 Rotação Duplas'!$D$50:$D$59,0))),"Semana 5",IFERROR(INDEX('🔄 Rotação Duplas'!$D$64:$D$73,MATCH(D628,'🔄 Rotação Duplas'!$C$64:$C$73,0)),INDEX('🔄 Rotação Duplas'!$C$64:$C$73,MATCH(D628,'🔄 Rotação Duplas'!$D$64:$D$73,0))),"Semana 6",IFERROR(INDEX('🔄 Rotação Duplas'!$D$78:$D$87,MATCH(D628,'🔄 Rotação Duplas'!$C$78:$C$87,0)),INDEX('🔄 Rotação Duplas'!$C$78:$C$87,MATCH(D628,'🔄 Rotação Duplas'!$D$78:$D$87,0))),"Semana 7",IFERROR(INDEX('🔄 Rotação Duplas'!$D$92:$D$101,MATCH(D628,'🔄 Rotação Duplas'!$C$92:$C$101,0)),INDEX('🔄 Rotação Duplas'!$C$92:$C$101,MATCH(D628,'🔄 Rotação Duplas'!$D$92:$D$101,0))),"Semana 8",IFERROR(INDEX('🔄 Rotação Duplas'!$D$106:$D$115,MATCH(D628,'🔄 Rotação Duplas'!$C$106:$C$115,0)),INDEX('🔄 Rotação Duplas'!$C$106:$C$115,MATCH(D628,'🔄 Rotação Duplas'!$D$106:$D$115,0)))),""))</f>
        <v/>
      </c>
      <c r="T628">
        <f t="shared" si="51"/>
        <v>0</v>
      </c>
    </row>
    <row r="629" spans="2:20" ht="18" customHeight="1" x14ac:dyDescent="0.2">
      <c r="B629" s="78" t="s">
        <v>132</v>
      </c>
      <c r="C629" s="79" t="str">
        <f t="shared" si="54"/>
        <v>Desafio 32</v>
      </c>
      <c r="D629" s="80" t="str">
        <f>'⚙️ Configuração'!C32</f>
        <v>Filipa Cunha</v>
      </c>
      <c r="E629" s="50">
        <v>0</v>
      </c>
      <c r="F629" s="50">
        <v>0</v>
      </c>
      <c r="G629" s="50">
        <v>0</v>
      </c>
      <c r="H629" s="50">
        <v>0</v>
      </c>
      <c r="I629" s="50">
        <v>0</v>
      </c>
      <c r="J629" s="89">
        <v>0</v>
      </c>
      <c r="K629" s="81">
        <f>(E629*'⚙️ Configuração'!$C$6+F629*'⚙️ Configuração'!$C$7+G629*'⚙️ Configuração'!$C$8+H629*'⚙️ Configuração'!$C$9+I629*'⚙️ Configuração'!$C$10+J629*'⚙️ Configuração'!$C$11)*IF(N629="S",2,1)</f>
        <v>0</v>
      </c>
      <c r="L629" s="90" t="s">
        <v>167</v>
      </c>
      <c r="M629" s="82">
        <f>IF(L629="AT1",'⚙️ Configuração'!$C$14,IF(L629="AT2",'⚙️ Configuração'!$C$15,IF(L629="FI",'⚙️ Configuração'!$C$16,IF(L629="FJ",'⚙️ Configuração'!$C$17,0))))</f>
        <v>0</v>
      </c>
      <c r="N629" s="91" t="s">
        <v>167</v>
      </c>
      <c r="O629" s="92"/>
      <c r="P629" s="83">
        <f>IF(O629="1",'⚙️ Configuração'!$C$21,IF(O629="2",'⚙️ Configuração'!$C$22,IF(O629="3",'⚙️ Configuração'!$C$23,IF(O629="Outro",'⚙️ Configuração'!$C$24,0))))</f>
        <v>0</v>
      </c>
      <c r="Q629" s="84">
        <f t="shared" si="50"/>
        <v>0</v>
      </c>
      <c r="R629" s="40" t="str">
        <f t="shared" si="44"/>
        <v>Semana 1 — ver 🔄</v>
      </c>
      <c r="S629" t="str" cm="1">
        <f t="array" ref="S629">IF(D629="","",IFERROR(_xlfn.SWITCH(B629,"Semana 1",IFERROR(INDEX('🔄 Rotação Duplas'!$D$8:$D$17,MATCH(D629,'🔄 Rotação Duplas'!$C$8:$C$17,0)),INDEX('🔄 Rotação Duplas'!$C$8:$C$17,MATCH(D629,'🔄 Rotação Duplas'!$D$8:$D$17,0))),"Semana 2",IFERROR(INDEX('🔄 Rotação Duplas'!$D$22:$D$31,MATCH(D629,'🔄 Rotação Duplas'!$C$22:$C$31,0)),INDEX('🔄 Rotação Duplas'!$C$22:$C$31,MATCH(D629,'🔄 Rotação Duplas'!$D$22:$D$31,0))),"Semana 3",IFERROR(INDEX('🔄 Rotação Duplas'!$D$36:$D$45,MATCH(D629,'🔄 Rotação Duplas'!$C$36:$C$45,0)),INDEX('🔄 Rotação Duplas'!$C$36:$C$45,MATCH(D629,'🔄 Rotação Duplas'!$D$36:$D$45,0))),"Semana 4",IFERROR(INDEX('🔄 Rotação Duplas'!$D$50:$D$59,MATCH(D629,'🔄 Rotação Duplas'!$C$50:$C$59,0)),INDEX('🔄 Rotação Duplas'!$C$50:$C$59,MATCH(D629,'🔄 Rotação Duplas'!$D$50:$D$59,0))),"Semana 5",IFERROR(INDEX('🔄 Rotação Duplas'!$D$64:$D$73,MATCH(D629,'🔄 Rotação Duplas'!$C$64:$C$73,0)),INDEX('🔄 Rotação Duplas'!$C$64:$C$73,MATCH(D629,'🔄 Rotação Duplas'!$D$64:$D$73,0))),"Semana 6",IFERROR(INDEX('🔄 Rotação Duplas'!$D$78:$D$87,MATCH(D629,'🔄 Rotação Duplas'!$C$78:$C$87,0)),INDEX('🔄 Rotação Duplas'!$C$78:$C$87,MATCH(D629,'🔄 Rotação Duplas'!$D$78:$D$87,0))),"Semana 7",IFERROR(INDEX('🔄 Rotação Duplas'!$D$92:$D$101,MATCH(D629,'🔄 Rotação Duplas'!$C$92:$C$101,0)),INDEX('🔄 Rotação Duplas'!$C$92:$C$101,MATCH(D629,'🔄 Rotação Duplas'!$D$92:$D$101,0))),"Semana 8",IFERROR(INDEX('🔄 Rotação Duplas'!$D$106:$D$115,MATCH(D629,'🔄 Rotação Duplas'!$C$106:$C$115,0)),INDEX('🔄 Rotação Duplas'!$C$106:$C$115,MATCH(D629,'🔄 Rotação Duplas'!$D$106:$D$115,0)))),""))</f>
        <v/>
      </c>
      <c r="T629">
        <f t="shared" si="51"/>
        <v>0</v>
      </c>
    </row>
    <row r="630" spans="2:20" ht="18" customHeight="1" x14ac:dyDescent="0.2">
      <c r="B630" s="85" t="s">
        <v>132</v>
      </c>
      <c r="C630" s="86" t="str">
        <f t="shared" si="54"/>
        <v>Desafio 32</v>
      </c>
      <c r="D630" s="87" t="str">
        <f>'⚙️ Configuração'!C33</f>
        <v>Helena Rocha</v>
      </c>
      <c r="E630" s="50">
        <v>0</v>
      </c>
      <c r="F630" s="50">
        <v>0</v>
      </c>
      <c r="G630" s="50">
        <v>0</v>
      </c>
      <c r="H630" s="50">
        <v>0</v>
      </c>
      <c r="I630" s="50">
        <v>0</v>
      </c>
      <c r="J630" s="89">
        <v>0</v>
      </c>
      <c r="K630" s="81">
        <f>(E630*'⚙️ Configuração'!$C$6+F630*'⚙️ Configuração'!$C$7+G630*'⚙️ Configuração'!$C$8+H630*'⚙️ Configuração'!$C$9+I630*'⚙️ Configuração'!$C$10+J630*'⚙️ Configuração'!$C$11)*IF(N630="S",2,1)</f>
        <v>0</v>
      </c>
      <c r="L630" s="90" t="s">
        <v>167</v>
      </c>
      <c r="M630" s="82">
        <f>IF(L630="AT1",'⚙️ Configuração'!$C$14,IF(L630="AT2",'⚙️ Configuração'!$C$15,IF(L630="FI",'⚙️ Configuração'!$C$16,IF(L630="FJ",'⚙️ Configuração'!$C$17,0))))</f>
        <v>0</v>
      </c>
      <c r="N630" s="91" t="s">
        <v>167</v>
      </c>
      <c r="O630" s="92"/>
      <c r="P630" s="83">
        <f>IF(O630="1",'⚙️ Configuração'!$C$21,IF(O630="2",'⚙️ Configuração'!$C$22,IF(O630="3",'⚙️ Configuração'!$C$23,IF(O630="Outro",'⚙️ Configuração'!$C$24,0))))</f>
        <v>0</v>
      </c>
      <c r="Q630" s="84">
        <f t="shared" si="50"/>
        <v>0</v>
      </c>
      <c r="R630" s="40" t="str">
        <f t="shared" si="44"/>
        <v>Semana 1 — ver 🔄</v>
      </c>
      <c r="S630" t="str" cm="1">
        <f t="array" ref="S630">IF(D630="","",IFERROR(_xlfn.SWITCH(B630,"Semana 1",IFERROR(INDEX('🔄 Rotação Duplas'!$D$8:$D$17,MATCH(D630,'🔄 Rotação Duplas'!$C$8:$C$17,0)),INDEX('🔄 Rotação Duplas'!$C$8:$C$17,MATCH(D630,'🔄 Rotação Duplas'!$D$8:$D$17,0))),"Semana 2",IFERROR(INDEX('🔄 Rotação Duplas'!$D$22:$D$31,MATCH(D630,'🔄 Rotação Duplas'!$C$22:$C$31,0)),INDEX('🔄 Rotação Duplas'!$C$22:$C$31,MATCH(D630,'🔄 Rotação Duplas'!$D$22:$D$31,0))),"Semana 3",IFERROR(INDEX('🔄 Rotação Duplas'!$D$36:$D$45,MATCH(D630,'🔄 Rotação Duplas'!$C$36:$C$45,0)),INDEX('🔄 Rotação Duplas'!$C$36:$C$45,MATCH(D630,'🔄 Rotação Duplas'!$D$36:$D$45,0))),"Semana 4",IFERROR(INDEX('🔄 Rotação Duplas'!$D$50:$D$59,MATCH(D630,'🔄 Rotação Duplas'!$C$50:$C$59,0)),INDEX('🔄 Rotação Duplas'!$C$50:$C$59,MATCH(D630,'🔄 Rotação Duplas'!$D$50:$D$59,0))),"Semana 5",IFERROR(INDEX('🔄 Rotação Duplas'!$D$64:$D$73,MATCH(D630,'🔄 Rotação Duplas'!$C$64:$C$73,0)),INDEX('🔄 Rotação Duplas'!$C$64:$C$73,MATCH(D630,'🔄 Rotação Duplas'!$D$64:$D$73,0))),"Semana 6",IFERROR(INDEX('🔄 Rotação Duplas'!$D$78:$D$87,MATCH(D630,'🔄 Rotação Duplas'!$C$78:$C$87,0)),INDEX('🔄 Rotação Duplas'!$C$78:$C$87,MATCH(D630,'🔄 Rotação Duplas'!$D$78:$D$87,0))),"Semana 7",IFERROR(INDEX('🔄 Rotação Duplas'!$D$92:$D$101,MATCH(D630,'🔄 Rotação Duplas'!$C$92:$C$101,0)),INDEX('🔄 Rotação Duplas'!$C$92:$C$101,MATCH(D630,'🔄 Rotação Duplas'!$D$92:$D$101,0))),"Semana 8",IFERROR(INDEX('🔄 Rotação Duplas'!$D$106:$D$115,MATCH(D630,'🔄 Rotação Duplas'!$C$106:$C$115,0)),INDEX('🔄 Rotação Duplas'!$C$106:$C$115,MATCH(D630,'🔄 Rotação Duplas'!$D$106:$D$115,0)))),""))</f>
        <v/>
      </c>
      <c r="T630">
        <f t="shared" si="51"/>
        <v>0</v>
      </c>
    </row>
    <row r="631" spans="2:20" ht="18" customHeight="1" x14ac:dyDescent="0.2">
      <c r="B631" s="78" t="s">
        <v>132</v>
      </c>
      <c r="C631" s="79" t="str">
        <f t="shared" si="54"/>
        <v>Desafio 32</v>
      </c>
      <c r="D631" s="80" t="str">
        <f>'⚙️ Configuração'!C34</f>
        <v>João Xavier</v>
      </c>
      <c r="E631" s="50">
        <v>0</v>
      </c>
      <c r="F631" s="50">
        <v>0</v>
      </c>
      <c r="G631" s="50">
        <v>0</v>
      </c>
      <c r="H631" s="50">
        <v>0</v>
      </c>
      <c r="I631" s="50">
        <v>0</v>
      </c>
      <c r="J631" s="89">
        <v>0</v>
      </c>
      <c r="K631" s="81">
        <f>(E631*'⚙️ Configuração'!$C$6+F631*'⚙️ Configuração'!$C$7+G631*'⚙️ Configuração'!$C$8+H631*'⚙️ Configuração'!$C$9+I631*'⚙️ Configuração'!$C$10+J631*'⚙️ Configuração'!$C$11)*IF(N631="S",2,1)</f>
        <v>0</v>
      </c>
      <c r="L631" s="90" t="s">
        <v>167</v>
      </c>
      <c r="M631" s="82">
        <f>IF(L631="AT1",'⚙️ Configuração'!$C$14,IF(L631="AT2",'⚙️ Configuração'!$C$15,IF(L631="FI",'⚙️ Configuração'!$C$16,IF(L631="FJ",'⚙️ Configuração'!$C$17,0))))</f>
        <v>0</v>
      </c>
      <c r="N631" s="91" t="s">
        <v>167</v>
      </c>
      <c r="O631" s="92"/>
      <c r="P631" s="83">
        <f>IF(O631="1",'⚙️ Configuração'!$C$21,IF(O631="2",'⚙️ Configuração'!$C$22,IF(O631="3",'⚙️ Configuração'!$C$23,IF(O631="Outro",'⚙️ Configuração'!$C$24,0))))</f>
        <v>0</v>
      </c>
      <c r="Q631" s="84">
        <f t="shared" si="50"/>
        <v>0</v>
      </c>
      <c r="R631" s="40" t="str">
        <f t="shared" si="44"/>
        <v>Semana 1 — ver 🔄</v>
      </c>
      <c r="S631" t="str" cm="1">
        <f t="array" ref="S631">IF(D631="","",IFERROR(_xlfn.SWITCH(B631,"Semana 1",IFERROR(INDEX('🔄 Rotação Duplas'!$D$8:$D$17,MATCH(D631,'🔄 Rotação Duplas'!$C$8:$C$17,0)),INDEX('🔄 Rotação Duplas'!$C$8:$C$17,MATCH(D631,'🔄 Rotação Duplas'!$D$8:$D$17,0))),"Semana 2",IFERROR(INDEX('🔄 Rotação Duplas'!$D$22:$D$31,MATCH(D631,'🔄 Rotação Duplas'!$C$22:$C$31,0)),INDEX('🔄 Rotação Duplas'!$C$22:$C$31,MATCH(D631,'🔄 Rotação Duplas'!$D$22:$D$31,0))),"Semana 3",IFERROR(INDEX('🔄 Rotação Duplas'!$D$36:$D$45,MATCH(D631,'🔄 Rotação Duplas'!$C$36:$C$45,0)),INDEX('🔄 Rotação Duplas'!$C$36:$C$45,MATCH(D631,'🔄 Rotação Duplas'!$D$36:$D$45,0))),"Semana 4",IFERROR(INDEX('🔄 Rotação Duplas'!$D$50:$D$59,MATCH(D631,'🔄 Rotação Duplas'!$C$50:$C$59,0)),INDEX('🔄 Rotação Duplas'!$C$50:$C$59,MATCH(D631,'🔄 Rotação Duplas'!$D$50:$D$59,0))),"Semana 5",IFERROR(INDEX('🔄 Rotação Duplas'!$D$64:$D$73,MATCH(D631,'🔄 Rotação Duplas'!$C$64:$C$73,0)),INDEX('🔄 Rotação Duplas'!$C$64:$C$73,MATCH(D631,'🔄 Rotação Duplas'!$D$64:$D$73,0))),"Semana 6",IFERROR(INDEX('🔄 Rotação Duplas'!$D$78:$D$87,MATCH(D631,'🔄 Rotação Duplas'!$C$78:$C$87,0)),INDEX('🔄 Rotação Duplas'!$C$78:$C$87,MATCH(D631,'🔄 Rotação Duplas'!$D$78:$D$87,0))),"Semana 7",IFERROR(INDEX('🔄 Rotação Duplas'!$D$92:$D$101,MATCH(D631,'🔄 Rotação Duplas'!$C$92:$C$101,0)),INDEX('🔄 Rotação Duplas'!$C$92:$C$101,MATCH(D631,'🔄 Rotação Duplas'!$D$92:$D$101,0))),"Semana 8",IFERROR(INDEX('🔄 Rotação Duplas'!$D$106:$D$115,MATCH(D631,'🔄 Rotação Duplas'!$C$106:$C$115,0)),INDEX('🔄 Rotação Duplas'!$C$106:$C$115,MATCH(D631,'🔄 Rotação Duplas'!$D$106:$D$115,0)))),""))</f>
        <v/>
      </c>
      <c r="T631">
        <f t="shared" si="51"/>
        <v>0</v>
      </c>
    </row>
    <row r="632" spans="2:20" ht="18" customHeight="1" x14ac:dyDescent="0.2">
      <c r="B632" s="85" t="s">
        <v>132</v>
      </c>
      <c r="C632" s="86" t="str">
        <f t="shared" si="54"/>
        <v>Desafio 32</v>
      </c>
      <c r="D632" s="87" t="str">
        <f>'⚙️ Configuração'!C35</f>
        <v>Tomás Carlos</v>
      </c>
      <c r="E632" s="50">
        <v>0</v>
      </c>
      <c r="F632" s="50">
        <v>0</v>
      </c>
      <c r="G632" s="50">
        <v>0</v>
      </c>
      <c r="H632" s="50">
        <v>0</v>
      </c>
      <c r="I632" s="50">
        <v>0</v>
      </c>
      <c r="J632" s="89">
        <v>0</v>
      </c>
      <c r="K632" s="81">
        <f>(E632*'⚙️ Configuração'!$C$6+F632*'⚙️ Configuração'!$C$7+G632*'⚙️ Configuração'!$C$8+H632*'⚙️ Configuração'!$C$9+I632*'⚙️ Configuração'!$C$10+J632*'⚙️ Configuração'!$C$11)*IF(N632="S",2,1)</f>
        <v>0</v>
      </c>
      <c r="L632" s="90" t="s">
        <v>167</v>
      </c>
      <c r="M632" s="82">
        <f>IF(L632="AT1",'⚙️ Configuração'!$C$14,IF(L632="AT2",'⚙️ Configuração'!$C$15,IF(L632="FI",'⚙️ Configuração'!$C$16,IF(L632="FJ",'⚙️ Configuração'!$C$17,0))))</f>
        <v>0</v>
      </c>
      <c r="N632" s="91" t="s">
        <v>167</v>
      </c>
      <c r="O632" s="92"/>
      <c r="P632" s="83">
        <f>IF(O632="1",'⚙️ Configuração'!$C$21,IF(O632="2",'⚙️ Configuração'!$C$22,IF(O632="3",'⚙️ Configuração'!$C$23,IF(O632="Outro",'⚙️ Configuração'!$C$24,0))))</f>
        <v>0</v>
      </c>
      <c r="Q632" s="84">
        <f t="shared" si="50"/>
        <v>0</v>
      </c>
      <c r="R632" s="40" t="str">
        <f t="shared" si="44"/>
        <v>Semana 1 — ver 🔄</v>
      </c>
      <c r="S632" t="str" cm="1">
        <f t="array" ref="S632">IF(D632="","",IFERROR(_xlfn.SWITCH(B632,"Semana 1",IFERROR(INDEX('🔄 Rotação Duplas'!$D$8:$D$17,MATCH(D632,'🔄 Rotação Duplas'!$C$8:$C$17,0)),INDEX('🔄 Rotação Duplas'!$C$8:$C$17,MATCH(D632,'🔄 Rotação Duplas'!$D$8:$D$17,0))),"Semana 2",IFERROR(INDEX('🔄 Rotação Duplas'!$D$22:$D$31,MATCH(D632,'🔄 Rotação Duplas'!$C$22:$C$31,0)),INDEX('🔄 Rotação Duplas'!$C$22:$C$31,MATCH(D632,'🔄 Rotação Duplas'!$D$22:$D$31,0))),"Semana 3",IFERROR(INDEX('🔄 Rotação Duplas'!$D$36:$D$45,MATCH(D632,'🔄 Rotação Duplas'!$C$36:$C$45,0)),INDEX('🔄 Rotação Duplas'!$C$36:$C$45,MATCH(D632,'🔄 Rotação Duplas'!$D$36:$D$45,0))),"Semana 4",IFERROR(INDEX('🔄 Rotação Duplas'!$D$50:$D$59,MATCH(D632,'🔄 Rotação Duplas'!$C$50:$C$59,0)),INDEX('🔄 Rotação Duplas'!$C$50:$C$59,MATCH(D632,'🔄 Rotação Duplas'!$D$50:$D$59,0))),"Semana 5",IFERROR(INDEX('🔄 Rotação Duplas'!$D$64:$D$73,MATCH(D632,'🔄 Rotação Duplas'!$C$64:$C$73,0)),INDEX('🔄 Rotação Duplas'!$C$64:$C$73,MATCH(D632,'🔄 Rotação Duplas'!$D$64:$D$73,0))),"Semana 6",IFERROR(INDEX('🔄 Rotação Duplas'!$D$78:$D$87,MATCH(D632,'🔄 Rotação Duplas'!$C$78:$C$87,0)),INDEX('🔄 Rotação Duplas'!$C$78:$C$87,MATCH(D632,'🔄 Rotação Duplas'!$D$78:$D$87,0))),"Semana 7",IFERROR(INDEX('🔄 Rotação Duplas'!$D$92:$D$101,MATCH(D632,'🔄 Rotação Duplas'!$C$92:$C$101,0)),INDEX('🔄 Rotação Duplas'!$C$92:$C$101,MATCH(D632,'🔄 Rotação Duplas'!$D$92:$D$101,0))),"Semana 8",IFERROR(INDEX('🔄 Rotação Duplas'!$D$106:$D$115,MATCH(D632,'🔄 Rotação Duplas'!$C$106:$C$115,0)),INDEX('🔄 Rotação Duplas'!$C$106:$C$115,MATCH(D632,'🔄 Rotação Duplas'!$D$106:$D$115,0)))),""))</f>
        <v/>
      </c>
      <c r="T632">
        <f t="shared" si="51"/>
        <v>0</v>
      </c>
    </row>
    <row r="633" spans="2:20" ht="18" customHeight="1" x14ac:dyDescent="0.2">
      <c r="B633" s="78" t="s">
        <v>132</v>
      </c>
      <c r="C633" s="79" t="str">
        <f t="shared" si="54"/>
        <v>Desafio 32</v>
      </c>
      <c r="D633" s="80" t="str">
        <f>'⚙️ Configuração'!C36</f>
        <v>Alexandra Correia</v>
      </c>
      <c r="E633" s="50">
        <v>0</v>
      </c>
      <c r="F633" s="50">
        <v>0</v>
      </c>
      <c r="G633" s="50">
        <v>0</v>
      </c>
      <c r="H633" s="50">
        <v>0</v>
      </c>
      <c r="I633" s="50">
        <v>0</v>
      </c>
      <c r="J633" s="89">
        <v>0</v>
      </c>
      <c r="K633" s="81">
        <f>(E633*'⚙️ Configuração'!$C$6+F633*'⚙️ Configuração'!$C$7+G633*'⚙️ Configuração'!$C$8+H633*'⚙️ Configuração'!$C$9+I633*'⚙️ Configuração'!$C$10+J633*'⚙️ Configuração'!$C$11)*IF(N633="S",2,1)</f>
        <v>0</v>
      </c>
      <c r="L633" s="90" t="s">
        <v>167</v>
      </c>
      <c r="M633" s="82">
        <f>IF(L633="AT1",'⚙️ Configuração'!$C$14,IF(L633="AT2",'⚙️ Configuração'!$C$15,IF(L633="FI",'⚙️ Configuração'!$C$16,IF(L633="FJ",'⚙️ Configuração'!$C$17,0))))</f>
        <v>0</v>
      </c>
      <c r="N633" s="91" t="s">
        <v>167</v>
      </c>
      <c r="O633" s="92"/>
      <c r="P633" s="83">
        <f>IF(O633="1",'⚙️ Configuração'!$C$21,IF(O633="2",'⚙️ Configuração'!$C$22,IF(O633="3",'⚙️ Configuração'!$C$23,IF(O633="Outro",'⚙️ Configuração'!$C$24,0))))</f>
        <v>0</v>
      </c>
      <c r="Q633" s="84">
        <f t="shared" si="50"/>
        <v>0</v>
      </c>
      <c r="R633" s="40" t="str">
        <f t="shared" si="44"/>
        <v>Semana 1 — ver 🔄</v>
      </c>
      <c r="S633" t="str" cm="1">
        <f t="array" ref="S633">IF(D633="","",IFERROR(_xlfn.SWITCH(B633,"Semana 1",IFERROR(INDEX('🔄 Rotação Duplas'!$D$8:$D$17,MATCH(D633,'🔄 Rotação Duplas'!$C$8:$C$17,0)),INDEX('🔄 Rotação Duplas'!$C$8:$C$17,MATCH(D633,'🔄 Rotação Duplas'!$D$8:$D$17,0))),"Semana 2",IFERROR(INDEX('🔄 Rotação Duplas'!$D$22:$D$31,MATCH(D633,'🔄 Rotação Duplas'!$C$22:$C$31,0)),INDEX('🔄 Rotação Duplas'!$C$22:$C$31,MATCH(D633,'🔄 Rotação Duplas'!$D$22:$D$31,0))),"Semana 3",IFERROR(INDEX('🔄 Rotação Duplas'!$D$36:$D$45,MATCH(D633,'🔄 Rotação Duplas'!$C$36:$C$45,0)),INDEX('🔄 Rotação Duplas'!$C$36:$C$45,MATCH(D633,'🔄 Rotação Duplas'!$D$36:$D$45,0))),"Semana 4",IFERROR(INDEX('🔄 Rotação Duplas'!$D$50:$D$59,MATCH(D633,'🔄 Rotação Duplas'!$C$50:$C$59,0)),INDEX('🔄 Rotação Duplas'!$C$50:$C$59,MATCH(D633,'🔄 Rotação Duplas'!$D$50:$D$59,0))),"Semana 5",IFERROR(INDEX('🔄 Rotação Duplas'!$D$64:$D$73,MATCH(D633,'🔄 Rotação Duplas'!$C$64:$C$73,0)),INDEX('🔄 Rotação Duplas'!$C$64:$C$73,MATCH(D633,'🔄 Rotação Duplas'!$D$64:$D$73,0))),"Semana 6",IFERROR(INDEX('🔄 Rotação Duplas'!$D$78:$D$87,MATCH(D633,'🔄 Rotação Duplas'!$C$78:$C$87,0)),INDEX('🔄 Rotação Duplas'!$C$78:$C$87,MATCH(D633,'🔄 Rotação Duplas'!$D$78:$D$87,0))),"Semana 7",IFERROR(INDEX('🔄 Rotação Duplas'!$D$92:$D$101,MATCH(D633,'🔄 Rotação Duplas'!$C$92:$C$101,0)),INDEX('🔄 Rotação Duplas'!$C$92:$C$101,MATCH(D633,'🔄 Rotação Duplas'!$D$92:$D$101,0))),"Semana 8",IFERROR(INDEX('🔄 Rotação Duplas'!$D$106:$D$115,MATCH(D633,'🔄 Rotação Duplas'!$C$106:$C$115,0)),INDEX('🔄 Rotação Duplas'!$C$106:$C$115,MATCH(D633,'🔄 Rotação Duplas'!$D$106:$D$115,0)))),""))</f>
        <v/>
      </c>
      <c r="T633">
        <f t="shared" si="51"/>
        <v>0</v>
      </c>
    </row>
    <row r="634" spans="2:20" ht="18" customHeight="1" x14ac:dyDescent="0.2">
      <c r="B634" s="85" t="s">
        <v>132</v>
      </c>
      <c r="C634" s="86" t="str">
        <f t="shared" si="54"/>
        <v>Desafio 32</v>
      </c>
      <c r="D634" s="87" t="str">
        <f>'⚙️ Configuração'!C37</f>
        <v>Carla Barata</v>
      </c>
      <c r="E634" s="50">
        <v>0</v>
      </c>
      <c r="F634" s="50">
        <v>0</v>
      </c>
      <c r="G634" s="50">
        <v>0</v>
      </c>
      <c r="H634" s="50">
        <v>0</v>
      </c>
      <c r="I634" s="50">
        <v>0</v>
      </c>
      <c r="J634" s="89">
        <v>0</v>
      </c>
      <c r="K634" s="81">
        <f>(E634*'⚙️ Configuração'!$C$6+F634*'⚙️ Configuração'!$C$7+G634*'⚙️ Configuração'!$C$8+H634*'⚙️ Configuração'!$C$9+I634*'⚙️ Configuração'!$C$10+J634*'⚙️ Configuração'!$C$11)*IF(N634="S",2,1)</f>
        <v>0</v>
      </c>
      <c r="L634" s="90" t="s">
        <v>167</v>
      </c>
      <c r="M634" s="82">
        <f>IF(L634="AT1",'⚙️ Configuração'!$C$14,IF(L634="AT2",'⚙️ Configuração'!$C$15,IF(L634="FI",'⚙️ Configuração'!$C$16,IF(L634="FJ",'⚙️ Configuração'!$C$17,0))))</f>
        <v>0</v>
      </c>
      <c r="N634" s="91" t="s">
        <v>167</v>
      </c>
      <c r="O634" s="92"/>
      <c r="P634" s="83">
        <f>IF(O634="1",'⚙️ Configuração'!$C$21,IF(O634="2",'⚙️ Configuração'!$C$22,IF(O634="3",'⚙️ Configuração'!$C$23,IF(O634="Outro",'⚙️ Configuração'!$C$24,0))))</f>
        <v>0</v>
      </c>
      <c r="Q634" s="84">
        <f t="shared" si="50"/>
        <v>0</v>
      </c>
      <c r="R634" s="40" t="str">
        <f t="shared" si="44"/>
        <v>Semana 1 — ver 🔄</v>
      </c>
      <c r="S634" t="str" cm="1">
        <f t="array" ref="S634">IF(D634="","",IFERROR(_xlfn.SWITCH(B634,"Semana 1",IFERROR(INDEX('🔄 Rotação Duplas'!$D$8:$D$17,MATCH(D634,'🔄 Rotação Duplas'!$C$8:$C$17,0)),INDEX('🔄 Rotação Duplas'!$C$8:$C$17,MATCH(D634,'🔄 Rotação Duplas'!$D$8:$D$17,0))),"Semana 2",IFERROR(INDEX('🔄 Rotação Duplas'!$D$22:$D$31,MATCH(D634,'🔄 Rotação Duplas'!$C$22:$C$31,0)),INDEX('🔄 Rotação Duplas'!$C$22:$C$31,MATCH(D634,'🔄 Rotação Duplas'!$D$22:$D$31,0))),"Semana 3",IFERROR(INDEX('🔄 Rotação Duplas'!$D$36:$D$45,MATCH(D634,'🔄 Rotação Duplas'!$C$36:$C$45,0)),INDEX('🔄 Rotação Duplas'!$C$36:$C$45,MATCH(D634,'🔄 Rotação Duplas'!$D$36:$D$45,0))),"Semana 4",IFERROR(INDEX('🔄 Rotação Duplas'!$D$50:$D$59,MATCH(D634,'🔄 Rotação Duplas'!$C$50:$C$59,0)),INDEX('🔄 Rotação Duplas'!$C$50:$C$59,MATCH(D634,'🔄 Rotação Duplas'!$D$50:$D$59,0))),"Semana 5",IFERROR(INDEX('🔄 Rotação Duplas'!$D$64:$D$73,MATCH(D634,'🔄 Rotação Duplas'!$C$64:$C$73,0)),INDEX('🔄 Rotação Duplas'!$C$64:$C$73,MATCH(D634,'🔄 Rotação Duplas'!$D$64:$D$73,0))),"Semana 6",IFERROR(INDEX('🔄 Rotação Duplas'!$D$78:$D$87,MATCH(D634,'🔄 Rotação Duplas'!$C$78:$C$87,0)),INDEX('🔄 Rotação Duplas'!$C$78:$C$87,MATCH(D634,'🔄 Rotação Duplas'!$D$78:$D$87,0))),"Semana 7",IFERROR(INDEX('🔄 Rotação Duplas'!$D$92:$D$101,MATCH(D634,'🔄 Rotação Duplas'!$C$92:$C$101,0)),INDEX('🔄 Rotação Duplas'!$C$92:$C$101,MATCH(D634,'🔄 Rotação Duplas'!$D$92:$D$101,0))),"Semana 8",IFERROR(INDEX('🔄 Rotação Duplas'!$D$106:$D$115,MATCH(D634,'🔄 Rotação Duplas'!$C$106:$C$115,0)),INDEX('🔄 Rotação Duplas'!$C$106:$C$115,MATCH(D634,'🔄 Rotação Duplas'!$D$106:$D$115,0)))),""))</f>
        <v/>
      </c>
      <c r="T634">
        <f t="shared" si="51"/>
        <v>0</v>
      </c>
    </row>
    <row r="635" spans="2:20" ht="18" customHeight="1" x14ac:dyDescent="0.2">
      <c r="B635" s="78" t="s">
        <v>132</v>
      </c>
      <c r="C635" s="79" t="str">
        <f t="shared" si="54"/>
        <v>Desafio 32</v>
      </c>
      <c r="D635" s="80" t="str">
        <f>'⚙️ Configuração'!C38</f>
        <v>Denise Filipe</v>
      </c>
      <c r="E635" s="50">
        <v>0</v>
      </c>
      <c r="F635" s="50">
        <v>0</v>
      </c>
      <c r="G635" s="50">
        <v>0</v>
      </c>
      <c r="H635" s="50">
        <v>0</v>
      </c>
      <c r="I635" s="50">
        <v>0</v>
      </c>
      <c r="J635" s="89">
        <v>0</v>
      </c>
      <c r="K635" s="81">
        <f>(E635*'⚙️ Configuração'!$C$6+F635*'⚙️ Configuração'!$C$7+G635*'⚙️ Configuração'!$C$8+H635*'⚙️ Configuração'!$C$9+I635*'⚙️ Configuração'!$C$10+J635*'⚙️ Configuração'!$C$11)*IF(N635="S",2,1)</f>
        <v>0</v>
      </c>
      <c r="L635" s="90" t="s">
        <v>167</v>
      </c>
      <c r="M635" s="82">
        <f>IF(L635="AT1",'⚙️ Configuração'!$C$14,IF(L635="AT2",'⚙️ Configuração'!$C$15,IF(L635="FI",'⚙️ Configuração'!$C$16,IF(L635="FJ",'⚙️ Configuração'!$C$17,0))))</f>
        <v>0</v>
      </c>
      <c r="N635" s="91" t="s">
        <v>167</v>
      </c>
      <c r="O635" s="92"/>
      <c r="P635" s="83">
        <f>IF(O635="1",'⚙️ Configuração'!$C$21,IF(O635="2",'⚙️ Configuração'!$C$22,IF(O635="3",'⚙️ Configuração'!$C$23,IF(O635="Outro",'⚙️ Configuração'!$C$24,0))))</f>
        <v>0</v>
      </c>
      <c r="Q635" s="84">
        <f t="shared" si="50"/>
        <v>0</v>
      </c>
      <c r="R635" s="40" t="str">
        <f t="shared" si="44"/>
        <v>Semana 1 — ver 🔄</v>
      </c>
      <c r="S635" t="str" cm="1">
        <f t="array" ref="S635">IF(D635="","",IFERROR(_xlfn.SWITCH(B635,"Semana 1",IFERROR(INDEX('🔄 Rotação Duplas'!$D$8:$D$17,MATCH(D635,'🔄 Rotação Duplas'!$C$8:$C$17,0)),INDEX('🔄 Rotação Duplas'!$C$8:$C$17,MATCH(D635,'🔄 Rotação Duplas'!$D$8:$D$17,0))),"Semana 2",IFERROR(INDEX('🔄 Rotação Duplas'!$D$22:$D$31,MATCH(D635,'🔄 Rotação Duplas'!$C$22:$C$31,0)),INDEX('🔄 Rotação Duplas'!$C$22:$C$31,MATCH(D635,'🔄 Rotação Duplas'!$D$22:$D$31,0))),"Semana 3",IFERROR(INDEX('🔄 Rotação Duplas'!$D$36:$D$45,MATCH(D635,'🔄 Rotação Duplas'!$C$36:$C$45,0)),INDEX('🔄 Rotação Duplas'!$C$36:$C$45,MATCH(D635,'🔄 Rotação Duplas'!$D$36:$D$45,0))),"Semana 4",IFERROR(INDEX('🔄 Rotação Duplas'!$D$50:$D$59,MATCH(D635,'🔄 Rotação Duplas'!$C$50:$C$59,0)),INDEX('🔄 Rotação Duplas'!$C$50:$C$59,MATCH(D635,'🔄 Rotação Duplas'!$D$50:$D$59,0))),"Semana 5",IFERROR(INDEX('🔄 Rotação Duplas'!$D$64:$D$73,MATCH(D635,'🔄 Rotação Duplas'!$C$64:$C$73,0)),INDEX('🔄 Rotação Duplas'!$C$64:$C$73,MATCH(D635,'🔄 Rotação Duplas'!$D$64:$D$73,0))),"Semana 6",IFERROR(INDEX('🔄 Rotação Duplas'!$D$78:$D$87,MATCH(D635,'🔄 Rotação Duplas'!$C$78:$C$87,0)),INDEX('🔄 Rotação Duplas'!$C$78:$C$87,MATCH(D635,'🔄 Rotação Duplas'!$D$78:$D$87,0))),"Semana 7",IFERROR(INDEX('🔄 Rotação Duplas'!$D$92:$D$101,MATCH(D635,'🔄 Rotação Duplas'!$C$92:$C$101,0)),INDEX('🔄 Rotação Duplas'!$C$92:$C$101,MATCH(D635,'🔄 Rotação Duplas'!$D$92:$D$101,0))),"Semana 8",IFERROR(INDEX('🔄 Rotação Duplas'!$D$106:$D$115,MATCH(D635,'🔄 Rotação Duplas'!$C$106:$C$115,0)),INDEX('🔄 Rotação Duplas'!$C$106:$C$115,MATCH(D635,'🔄 Rotação Duplas'!$D$106:$D$115,0)))),""))</f>
        <v/>
      </c>
      <c r="T635">
        <f t="shared" si="51"/>
        <v>0</v>
      </c>
    </row>
    <row r="636" spans="2:20" ht="18" customHeight="1" x14ac:dyDescent="0.2">
      <c r="B636" s="85" t="s">
        <v>132</v>
      </c>
      <c r="C636" s="86" t="str">
        <f t="shared" si="54"/>
        <v>Desafio 32</v>
      </c>
      <c r="D636" s="87" t="str">
        <f>'⚙️ Configuração'!C39</f>
        <v>Fátima Rodriguez</v>
      </c>
      <c r="E636" s="50">
        <v>0</v>
      </c>
      <c r="F636" s="50">
        <v>0</v>
      </c>
      <c r="G636" s="50">
        <v>0</v>
      </c>
      <c r="H636" s="50">
        <v>0</v>
      </c>
      <c r="I636" s="50">
        <v>0</v>
      </c>
      <c r="J636" s="89">
        <v>0</v>
      </c>
      <c r="K636" s="81">
        <f>(E636*'⚙️ Configuração'!$C$6+F636*'⚙️ Configuração'!$C$7+G636*'⚙️ Configuração'!$C$8+H636*'⚙️ Configuração'!$C$9+I636*'⚙️ Configuração'!$C$10+J636*'⚙️ Configuração'!$C$11)*IF(N636="S",2,1)</f>
        <v>0</v>
      </c>
      <c r="L636" s="90" t="s">
        <v>167</v>
      </c>
      <c r="M636" s="82">
        <f>IF(L636="AT1",'⚙️ Configuração'!$C$14,IF(L636="AT2",'⚙️ Configuração'!$C$15,IF(L636="FI",'⚙️ Configuração'!$C$16,IF(L636="FJ",'⚙️ Configuração'!$C$17,0))))</f>
        <v>0</v>
      </c>
      <c r="N636" s="91" t="s">
        <v>167</v>
      </c>
      <c r="O636" s="92"/>
      <c r="P636" s="83">
        <f>IF(O636="1",'⚙️ Configuração'!$C$21,IF(O636="2",'⚙️ Configuração'!$C$22,IF(O636="3",'⚙️ Configuração'!$C$23,IF(O636="Outro",'⚙️ Configuração'!$C$24,0))))</f>
        <v>0</v>
      </c>
      <c r="Q636" s="84">
        <f t="shared" si="50"/>
        <v>0</v>
      </c>
      <c r="R636" s="40" t="str">
        <f t="shared" si="44"/>
        <v>Semana 1 — ver 🔄</v>
      </c>
      <c r="S636" t="str" cm="1">
        <f t="array" ref="S636">IF(D636="","",IFERROR(_xlfn.SWITCH(B636,"Semana 1",IFERROR(INDEX('🔄 Rotação Duplas'!$D$8:$D$17,MATCH(D636,'🔄 Rotação Duplas'!$C$8:$C$17,0)),INDEX('🔄 Rotação Duplas'!$C$8:$C$17,MATCH(D636,'🔄 Rotação Duplas'!$D$8:$D$17,0))),"Semana 2",IFERROR(INDEX('🔄 Rotação Duplas'!$D$22:$D$31,MATCH(D636,'🔄 Rotação Duplas'!$C$22:$C$31,0)),INDEX('🔄 Rotação Duplas'!$C$22:$C$31,MATCH(D636,'🔄 Rotação Duplas'!$D$22:$D$31,0))),"Semana 3",IFERROR(INDEX('🔄 Rotação Duplas'!$D$36:$D$45,MATCH(D636,'🔄 Rotação Duplas'!$C$36:$C$45,0)),INDEX('🔄 Rotação Duplas'!$C$36:$C$45,MATCH(D636,'🔄 Rotação Duplas'!$D$36:$D$45,0))),"Semana 4",IFERROR(INDEX('🔄 Rotação Duplas'!$D$50:$D$59,MATCH(D636,'🔄 Rotação Duplas'!$C$50:$C$59,0)),INDEX('🔄 Rotação Duplas'!$C$50:$C$59,MATCH(D636,'🔄 Rotação Duplas'!$D$50:$D$59,0))),"Semana 5",IFERROR(INDEX('🔄 Rotação Duplas'!$D$64:$D$73,MATCH(D636,'🔄 Rotação Duplas'!$C$64:$C$73,0)),INDEX('🔄 Rotação Duplas'!$C$64:$C$73,MATCH(D636,'🔄 Rotação Duplas'!$D$64:$D$73,0))),"Semana 6",IFERROR(INDEX('🔄 Rotação Duplas'!$D$78:$D$87,MATCH(D636,'🔄 Rotação Duplas'!$C$78:$C$87,0)),INDEX('🔄 Rotação Duplas'!$C$78:$C$87,MATCH(D636,'🔄 Rotação Duplas'!$D$78:$D$87,0))),"Semana 7",IFERROR(INDEX('🔄 Rotação Duplas'!$D$92:$D$101,MATCH(D636,'🔄 Rotação Duplas'!$C$92:$C$101,0)),INDEX('🔄 Rotação Duplas'!$C$92:$C$101,MATCH(D636,'🔄 Rotação Duplas'!$D$92:$D$101,0))),"Semana 8",IFERROR(INDEX('🔄 Rotação Duplas'!$D$106:$D$115,MATCH(D636,'🔄 Rotação Duplas'!$C$106:$C$115,0)),INDEX('🔄 Rotação Duplas'!$C$106:$C$115,MATCH(D636,'🔄 Rotação Duplas'!$D$106:$D$115,0)))),""))</f>
        <v/>
      </c>
      <c r="T636">
        <f t="shared" si="51"/>
        <v>0</v>
      </c>
    </row>
    <row r="637" spans="2:20" ht="18" customHeight="1" x14ac:dyDescent="0.2">
      <c r="B637" s="78" t="s">
        <v>132</v>
      </c>
      <c r="C637" s="79" t="str">
        <f t="shared" si="54"/>
        <v>Desafio 32</v>
      </c>
      <c r="D637" s="80" t="str">
        <f>'⚙️ Configuração'!C40</f>
        <v>Maria João Travassos</v>
      </c>
      <c r="E637" s="50">
        <v>0</v>
      </c>
      <c r="F637" s="50">
        <v>0</v>
      </c>
      <c r="G637" s="50">
        <v>0</v>
      </c>
      <c r="H637" s="50">
        <v>0</v>
      </c>
      <c r="I637" s="50">
        <v>0</v>
      </c>
      <c r="J637" s="89">
        <v>0</v>
      </c>
      <c r="K637" s="81">
        <f>(E637*'⚙️ Configuração'!$C$6+F637*'⚙️ Configuração'!$C$7+G637*'⚙️ Configuração'!$C$8+H637*'⚙️ Configuração'!$C$9+I637*'⚙️ Configuração'!$C$10+J637*'⚙️ Configuração'!$C$11)*IF(N637="S",2,1)</f>
        <v>0</v>
      </c>
      <c r="L637" s="90" t="s">
        <v>167</v>
      </c>
      <c r="M637" s="82">
        <f>IF(L637="AT1",'⚙️ Configuração'!$C$14,IF(L637="AT2",'⚙️ Configuração'!$C$15,IF(L637="FI",'⚙️ Configuração'!$C$16,IF(L637="FJ",'⚙️ Configuração'!$C$17,0))))</f>
        <v>0</v>
      </c>
      <c r="N637" s="91" t="s">
        <v>167</v>
      </c>
      <c r="O637" s="92"/>
      <c r="P637" s="83">
        <f>IF(O637="1",'⚙️ Configuração'!$C$21,IF(O637="2",'⚙️ Configuração'!$C$22,IF(O637="3",'⚙️ Configuração'!$C$23,IF(O637="Outro",'⚙️ Configuração'!$C$24,0))))</f>
        <v>0</v>
      </c>
      <c r="Q637" s="84">
        <f t="shared" si="50"/>
        <v>0</v>
      </c>
      <c r="R637" s="40" t="str">
        <f t="shared" si="44"/>
        <v>Semana 1 — ver 🔄</v>
      </c>
      <c r="S637" t="str" cm="1">
        <f t="array" ref="S637">IF(D637="","",IFERROR(_xlfn.SWITCH(B637,"Semana 1",IFERROR(INDEX('🔄 Rotação Duplas'!$D$8:$D$17,MATCH(D637,'🔄 Rotação Duplas'!$C$8:$C$17,0)),INDEX('🔄 Rotação Duplas'!$C$8:$C$17,MATCH(D637,'🔄 Rotação Duplas'!$D$8:$D$17,0))),"Semana 2",IFERROR(INDEX('🔄 Rotação Duplas'!$D$22:$D$31,MATCH(D637,'🔄 Rotação Duplas'!$C$22:$C$31,0)),INDEX('🔄 Rotação Duplas'!$C$22:$C$31,MATCH(D637,'🔄 Rotação Duplas'!$D$22:$D$31,0))),"Semana 3",IFERROR(INDEX('🔄 Rotação Duplas'!$D$36:$D$45,MATCH(D637,'🔄 Rotação Duplas'!$C$36:$C$45,0)),INDEX('🔄 Rotação Duplas'!$C$36:$C$45,MATCH(D637,'🔄 Rotação Duplas'!$D$36:$D$45,0))),"Semana 4",IFERROR(INDEX('🔄 Rotação Duplas'!$D$50:$D$59,MATCH(D637,'🔄 Rotação Duplas'!$C$50:$C$59,0)),INDEX('🔄 Rotação Duplas'!$C$50:$C$59,MATCH(D637,'🔄 Rotação Duplas'!$D$50:$D$59,0))),"Semana 5",IFERROR(INDEX('🔄 Rotação Duplas'!$D$64:$D$73,MATCH(D637,'🔄 Rotação Duplas'!$C$64:$C$73,0)),INDEX('🔄 Rotação Duplas'!$C$64:$C$73,MATCH(D637,'🔄 Rotação Duplas'!$D$64:$D$73,0))),"Semana 6",IFERROR(INDEX('🔄 Rotação Duplas'!$D$78:$D$87,MATCH(D637,'🔄 Rotação Duplas'!$C$78:$C$87,0)),INDEX('🔄 Rotação Duplas'!$C$78:$C$87,MATCH(D637,'🔄 Rotação Duplas'!$D$78:$D$87,0))),"Semana 7",IFERROR(INDEX('🔄 Rotação Duplas'!$D$92:$D$101,MATCH(D637,'🔄 Rotação Duplas'!$C$92:$C$101,0)),INDEX('🔄 Rotação Duplas'!$C$92:$C$101,MATCH(D637,'🔄 Rotação Duplas'!$D$92:$D$101,0))),"Semana 8",IFERROR(INDEX('🔄 Rotação Duplas'!$D$106:$D$115,MATCH(D637,'🔄 Rotação Duplas'!$C$106:$C$115,0)),INDEX('🔄 Rotação Duplas'!$C$106:$C$115,MATCH(D637,'🔄 Rotação Duplas'!$D$106:$D$115,0)))),""))</f>
        <v/>
      </c>
      <c r="T637">
        <f t="shared" si="51"/>
        <v>0</v>
      </c>
    </row>
    <row r="638" spans="2:20" ht="18" customHeight="1" x14ac:dyDescent="0.2">
      <c r="B638" s="85" t="s">
        <v>132</v>
      </c>
      <c r="C638" s="86" t="str">
        <f t="shared" si="54"/>
        <v>Desafio 32</v>
      </c>
      <c r="D638" s="87" t="str">
        <f>'⚙️ Configuração'!C41</f>
        <v>Marta Torres</v>
      </c>
      <c r="E638" s="50">
        <v>0</v>
      </c>
      <c r="F638" s="50">
        <v>0</v>
      </c>
      <c r="G638" s="50">
        <v>0</v>
      </c>
      <c r="H638" s="50">
        <v>0</v>
      </c>
      <c r="I638" s="50">
        <v>0</v>
      </c>
      <c r="J638" s="89">
        <v>0</v>
      </c>
      <c r="K638" s="81">
        <f>(E638*'⚙️ Configuração'!$C$6+F638*'⚙️ Configuração'!$C$7+G638*'⚙️ Configuração'!$C$8+H638*'⚙️ Configuração'!$C$9+I638*'⚙️ Configuração'!$C$10+J638*'⚙️ Configuração'!$C$11)*IF(N638="S",2,1)</f>
        <v>0</v>
      </c>
      <c r="L638" s="90" t="s">
        <v>167</v>
      </c>
      <c r="M638" s="82">
        <f>IF(L638="AT1",'⚙️ Configuração'!$C$14,IF(L638="AT2",'⚙️ Configuração'!$C$15,IF(L638="FI",'⚙️ Configuração'!$C$16,IF(L638="FJ",'⚙️ Configuração'!$C$17,0))))</f>
        <v>0</v>
      </c>
      <c r="N638" s="91" t="s">
        <v>167</v>
      </c>
      <c r="O638" s="92"/>
      <c r="P638" s="83">
        <f>IF(O638="1",'⚙️ Configuração'!$C$21,IF(O638="2",'⚙️ Configuração'!$C$22,IF(O638="3",'⚙️ Configuração'!$C$23,IF(O638="Outro",'⚙️ Configuração'!$C$24,0))))</f>
        <v>0</v>
      </c>
      <c r="Q638" s="84">
        <f t="shared" si="50"/>
        <v>0</v>
      </c>
      <c r="R638" s="40" t="str">
        <f t="shared" si="44"/>
        <v>Semana 1 — ver 🔄</v>
      </c>
      <c r="S638" t="str" cm="1">
        <f t="array" ref="S638">IF(D638="","",IFERROR(_xlfn.SWITCH(B638,"Semana 1",IFERROR(INDEX('🔄 Rotação Duplas'!$D$8:$D$17,MATCH(D638,'🔄 Rotação Duplas'!$C$8:$C$17,0)),INDEX('🔄 Rotação Duplas'!$C$8:$C$17,MATCH(D638,'🔄 Rotação Duplas'!$D$8:$D$17,0))),"Semana 2",IFERROR(INDEX('🔄 Rotação Duplas'!$D$22:$D$31,MATCH(D638,'🔄 Rotação Duplas'!$C$22:$C$31,0)),INDEX('🔄 Rotação Duplas'!$C$22:$C$31,MATCH(D638,'🔄 Rotação Duplas'!$D$22:$D$31,0))),"Semana 3",IFERROR(INDEX('🔄 Rotação Duplas'!$D$36:$D$45,MATCH(D638,'🔄 Rotação Duplas'!$C$36:$C$45,0)),INDEX('🔄 Rotação Duplas'!$C$36:$C$45,MATCH(D638,'🔄 Rotação Duplas'!$D$36:$D$45,0))),"Semana 4",IFERROR(INDEX('🔄 Rotação Duplas'!$D$50:$D$59,MATCH(D638,'🔄 Rotação Duplas'!$C$50:$C$59,0)),INDEX('🔄 Rotação Duplas'!$C$50:$C$59,MATCH(D638,'🔄 Rotação Duplas'!$D$50:$D$59,0))),"Semana 5",IFERROR(INDEX('🔄 Rotação Duplas'!$D$64:$D$73,MATCH(D638,'🔄 Rotação Duplas'!$C$64:$C$73,0)),INDEX('🔄 Rotação Duplas'!$C$64:$C$73,MATCH(D638,'🔄 Rotação Duplas'!$D$64:$D$73,0))),"Semana 6",IFERROR(INDEX('🔄 Rotação Duplas'!$D$78:$D$87,MATCH(D638,'🔄 Rotação Duplas'!$C$78:$C$87,0)),INDEX('🔄 Rotação Duplas'!$C$78:$C$87,MATCH(D638,'🔄 Rotação Duplas'!$D$78:$D$87,0))),"Semana 7",IFERROR(INDEX('🔄 Rotação Duplas'!$D$92:$D$101,MATCH(D638,'🔄 Rotação Duplas'!$C$92:$C$101,0)),INDEX('🔄 Rotação Duplas'!$C$92:$C$101,MATCH(D638,'🔄 Rotação Duplas'!$D$92:$D$101,0))),"Semana 8",IFERROR(INDEX('🔄 Rotação Duplas'!$D$106:$D$115,MATCH(D638,'🔄 Rotação Duplas'!$C$106:$C$115,0)),INDEX('🔄 Rotação Duplas'!$C$106:$C$115,MATCH(D638,'🔄 Rotação Duplas'!$D$106:$D$115,0)))),""))</f>
        <v/>
      </c>
      <c r="T638">
        <f t="shared" si="51"/>
        <v>0</v>
      </c>
    </row>
    <row r="639" spans="2:20" ht="18" customHeight="1" x14ac:dyDescent="0.2">
      <c r="B639" s="78" t="s">
        <v>132</v>
      </c>
      <c r="C639" s="79" t="str">
        <f t="shared" si="54"/>
        <v>Desafio 32</v>
      </c>
      <c r="D639" s="80" t="str">
        <f>'⚙️ Configuração'!C42</f>
        <v>Patricia Isabel Silva</v>
      </c>
      <c r="E639" s="50">
        <v>0</v>
      </c>
      <c r="F639" s="50">
        <v>0</v>
      </c>
      <c r="G639" s="50">
        <v>0</v>
      </c>
      <c r="H639" s="50">
        <v>0</v>
      </c>
      <c r="I639" s="50">
        <v>0</v>
      </c>
      <c r="J639" s="89">
        <v>0</v>
      </c>
      <c r="K639" s="81">
        <f>(E639*'⚙️ Configuração'!$C$6+F639*'⚙️ Configuração'!$C$7+G639*'⚙️ Configuração'!$C$8+H639*'⚙️ Configuração'!$C$9+I639*'⚙️ Configuração'!$C$10+J639*'⚙️ Configuração'!$C$11)*IF(N639="S",2,1)</f>
        <v>0</v>
      </c>
      <c r="L639" s="90" t="s">
        <v>167</v>
      </c>
      <c r="M639" s="82">
        <f>IF(L639="AT1",'⚙️ Configuração'!$C$14,IF(L639="AT2",'⚙️ Configuração'!$C$15,IF(L639="FI",'⚙️ Configuração'!$C$16,IF(L639="FJ",'⚙️ Configuração'!$C$17,0))))</f>
        <v>0</v>
      </c>
      <c r="N639" s="91" t="s">
        <v>167</v>
      </c>
      <c r="O639" s="92"/>
      <c r="P639" s="83">
        <f>IF(O639="1",'⚙️ Configuração'!$C$21,IF(O639="2",'⚙️ Configuração'!$C$22,IF(O639="3",'⚙️ Configuração'!$C$23,IF(O639="Outro",'⚙️ Configuração'!$C$24,0))))</f>
        <v>0</v>
      </c>
      <c r="Q639" s="84">
        <f t="shared" si="50"/>
        <v>0</v>
      </c>
      <c r="R639" s="40" t="str">
        <f t="shared" si="44"/>
        <v>Semana 1 — ver 🔄</v>
      </c>
      <c r="S639" t="str" cm="1">
        <f t="array" ref="S639">IF(D639="","",IFERROR(_xlfn.SWITCH(B639,"Semana 1",IFERROR(INDEX('🔄 Rotação Duplas'!$D$8:$D$17,MATCH(D639,'🔄 Rotação Duplas'!$C$8:$C$17,0)),INDEX('🔄 Rotação Duplas'!$C$8:$C$17,MATCH(D639,'🔄 Rotação Duplas'!$D$8:$D$17,0))),"Semana 2",IFERROR(INDEX('🔄 Rotação Duplas'!$D$22:$D$31,MATCH(D639,'🔄 Rotação Duplas'!$C$22:$C$31,0)),INDEX('🔄 Rotação Duplas'!$C$22:$C$31,MATCH(D639,'🔄 Rotação Duplas'!$D$22:$D$31,0))),"Semana 3",IFERROR(INDEX('🔄 Rotação Duplas'!$D$36:$D$45,MATCH(D639,'🔄 Rotação Duplas'!$C$36:$C$45,0)),INDEX('🔄 Rotação Duplas'!$C$36:$C$45,MATCH(D639,'🔄 Rotação Duplas'!$D$36:$D$45,0))),"Semana 4",IFERROR(INDEX('🔄 Rotação Duplas'!$D$50:$D$59,MATCH(D639,'🔄 Rotação Duplas'!$C$50:$C$59,0)),INDEX('🔄 Rotação Duplas'!$C$50:$C$59,MATCH(D639,'🔄 Rotação Duplas'!$D$50:$D$59,0))),"Semana 5",IFERROR(INDEX('🔄 Rotação Duplas'!$D$64:$D$73,MATCH(D639,'🔄 Rotação Duplas'!$C$64:$C$73,0)),INDEX('🔄 Rotação Duplas'!$C$64:$C$73,MATCH(D639,'🔄 Rotação Duplas'!$D$64:$D$73,0))),"Semana 6",IFERROR(INDEX('🔄 Rotação Duplas'!$D$78:$D$87,MATCH(D639,'🔄 Rotação Duplas'!$C$78:$C$87,0)),INDEX('🔄 Rotação Duplas'!$C$78:$C$87,MATCH(D639,'🔄 Rotação Duplas'!$D$78:$D$87,0))),"Semana 7",IFERROR(INDEX('🔄 Rotação Duplas'!$D$92:$D$101,MATCH(D639,'🔄 Rotação Duplas'!$C$92:$C$101,0)),INDEX('🔄 Rotação Duplas'!$C$92:$C$101,MATCH(D639,'🔄 Rotação Duplas'!$D$92:$D$101,0))),"Semana 8",IFERROR(INDEX('🔄 Rotação Duplas'!$D$106:$D$115,MATCH(D639,'🔄 Rotação Duplas'!$C$106:$C$115,0)),INDEX('🔄 Rotação Duplas'!$C$106:$C$115,MATCH(D639,'🔄 Rotação Duplas'!$D$106:$D$115,0)))),""))</f>
        <v/>
      </c>
      <c r="T639">
        <f t="shared" si="51"/>
        <v>0</v>
      </c>
    </row>
    <row r="640" spans="2:20" ht="18" customHeight="1" x14ac:dyDescent="0.2">
      <c r="B640" s="85" t="s">
        <v>132</v>
      </c>
      <c r="C640" s="86" t="str">
        <f t="shared" si="54"/>
        <v>Desafio 32</v>
      </c>
      <c r="D640" s="87" t="str">
        <f>'⚙️ Configuração'!C43</f>
        <v>Paula Martins</v>
      </c>
      <c r="E640" s="50">
        <v>0</v>
      </c>
      <c r="F640" s="50">
        <v>0</v>
      </c>
      <c r="G640" s="50">
        <v>0</v>
      </c>
      <c r="H640" s="50">
        <v>0</v>
      </c>
      <c r="I640" s="50">
        <v>0</v>
      </c>
      <c r="J640" s="89">
        <v>0</v>
      </c>
      <c r="K640" s="81">
        <f>(E640*'⚙️ Configuração'!$C$6+F640*'⚙️ Configuração'!$C$7+G640*'⚙️ Configuração'!$C$8+H640*'⚙️ Configuração'!$C$9+I640*'⚙️ Configuração'!$C$10+J640*'⚙️ Configuração'!$C$11)*IF(N640="S",2,1)</f>
        <v>0</v>
      </c>
      <c r="L640" s="90" t="s">
        <v>167</v>
      </c>
      <c r="M640" s="82">
        <f>IF(L640="AT1",'⚙️ Configuração'!$C$14,IF(L640="AT2",'⚙️ Configuração'!$C$15,IF(L640="FI",'⚙️ Configuração'!$C$16,IF(L640="FJ",'⚙️ Configuração'!$C$17,0))))</f>
        <v>0</v>
      </c>
      <c r="N640" s="91" t="s">
        <v>167</v>
      </c>
      <c r="O640" s="92"/>
      <c r="P640" s="83">
        <f>IF(O640="1",'⚙️ Configuração'!$C$21,IF(O640="2",'⚙️ Configuração'!$C$22,IF(O640="3",'⚙️ Configuração'!$C$23,IF(O640="Outro",'⚙️ Configuração'!$C$24,0))))</f>
        <v>0</v>
      </c>
      <c r="Q640" s="84">
        <f t="shared" si="50"/>
        <v>0</v>
      </c>
      <c r="R640" s="40" t="str">
        <f t="shared" si="44"/>
        <v>Semana 1 — ver 🔄</v>
      </c>
      <c r="S640" t="str" cm="1">
        <f t="array" ref="S640">IF(D640="","",IFERROR(_xlfn.SWITCH(B640,"Semana 1",IFERROR(INDEX('🔄 Rotação Duplas'!$D$8:$D$17,MATCH(D640,'🔄 Rotação Duplas'!$C$8:$C$17,0)),INDEX('🔄 Rotação Duplas'!$C$8:$C$17,MATCH(D640,'🔄 Rotação Duplas'!$D$8:$D$17,0))),"Semana 2",IFERROR(INDEX('🔄 Rotação Duplas'!$D$22:$D$31,MATCH(D640,'🔄 Rotação Duplas'!$C$22:$C$31,0)),INDEX('🔄 Rotação Duplas'!$C$22:$C$31,MATCH(D640,'🔄 Rotação Duplas'!$D$22:$D$31,0))),"Semana 3",IFERROR(INDEX('🔄 Rotação Duplas'!$D$36:$D$45,MATCH(D640,'🔄 Rotação Duplas'!$C$36:$C$45,0)),INDEX('🔄 Rotação Duplas'!$C$36:$C$45,MATCH(D640,'🔄 Rotação Duplas'!$D$36:$D$45,0))),"Semana 4",IFERROR(INDEX('🔄 Rotação Duplas'!$D$50:$D$59,MATCH(D640,'🔄 Rotação Duplas'!$C$50:$C$59,0)),INDEX('🔄 Rotação Duplas'!$C$50:$C$59,MATCH(D640,'🔄 Rotação Duplas'!$D$50:$D$59,0))),"Semana 5",IFERROR(INDEX('🔄 Rotação Duplas'!$D$64:$D$73,MATCH(D640,'🔄 Rotação Duplas'!$C$64:$C$73,0)),INDEX('🔄 Rotação Duplas'!$C$64:$C$73,MATCH(D640,'🔄 Rotação Duplas'!$D$64:$D$73,0))),"Semana 6",IFERROR(INDEX('🔄 Rotação Duplas'!$D$78:$D$87,MATCH(D640,'🔄 Rotação Duplas'!$C$78:$C$87,0)),INDEX('🔄 Rotação Duplas'!$C$78:$C$87,MATCH(D640,'🔄 Rotação Duplas'!$D$78:$D$87,0))),"Semana 7",IFERROR(INDEX('🔄 Rotação Duplas'!$D$92:$D$101,MATCH(D640,'🔄 Rotação Duplas'!$C$92:$C$101,0)),INDEX('🔄 Rotação Duplas'!$C$92:$C$101,MATCH(D640,'🔄 Rotação Duplas'!$D$92:$D$101,0))),"Semana 8",IFERROR(INDEX('🔄 Rotação Duplas'!$D$106:$D$115,MATCH(D640,'🔄 Rotação Duplas'!$C$106:$C$115,0)),INDEX('🔄 Rotação Duplas'!$C$106:$C$115,MATCH(D640,'🔄 Rotação Duplas'!$D$106:$D$115,0)))),""))</f>
        <v/>
      </c>
      <c r="T640">
        <f t="shared" si="51"/>
        <v>0</v>
      </c>
    </row>
    <row r="641" spans="2:20" ht="18" customHeight="1" x14ac:dyDescent="0.2">
      <c r="B641" s="78" t="s">
        <v>132</v>
      </c>
      <c r="C641" s="79" t="str">
        <f t="shared" si="54"/>
        <v>Desafio 32</v>
      </c>
      <c r="D641" s="80" t="str">
        <f>'⚙️ Configuração'!C44</f>
        <v>Paula Miabara</v>
      </c>
      <c r="E641" s="50">
        <v>0</v>
      </c>
      <c r="F641" s="50">
        <v>0</v>
      </c>
      <c r="G641" s="50">
        <v>0</v>
      </c>
      <c r="H641" s="50">
        <v>0</v>
      </c>
      <c r="I641" s="50">
        <v>0</v>
      </c>
      <c r="J641" s="89">
        <v>0</v>
      </c>
      <c r="K641" s="81">
        <f>(E641*'⚙️ Configuração'!$C$6+F641*'⚙️ Configuração'!$C$7+G641*'⚙️ Configuração'!$C$8+H641*'⚙️ Configuração'!$C$9+I641*'⚙️ Configuração'!$C$10+J641*'⚙️ Configuração'!$C$11)*IF(N641="S",2,1)</f>
        <v>0</v>
      </c>
      <c r="L641" s="90" t="s">
        <v>167</v>
      </c>
      <c r="M641" s="82">
        <f>IF(L641="AT1",'⚙️ Configuração'!$C$14,IF(L641="AT2",'⚙️ Configuração'!$C$15,IF(L641="FI",'⚙️ Configuração'!$C$16,IF(L641="FJ",'⚙️ Configuração'!$C$17,0))))</f>
        <v>0</v>
      </c>
      <c r="N641" s="91" t="s">
        <v>167</v>
      </c>
      <c r="O641" s="92"/>
      <c r="P641" s="83">
        <f>IF(O641="1",'⚙️ Configuração'!$C$21,IF(O641="2",'⚙️ Configuração'!$C$22,IF(O641="3",'⚙️ Configuração'!$C$23,IF(O641="Outro",'⚙️ Configuração'!$C$24,0))))</f>
        <v>0</v>
      </c>
      <c r="Q641" s="84">
        <f t="shared" si="50"/>
        <v>0</v>
      </c>
      <c r="R641" s="40" t="str">
        <f t="shared" si="44"/>
        <v>Semana 1 — ver 🔄</v>
      </c>
      <c r="S641" t="str" cm="1">
        <f t="array" ref="S641">IF(D641="","",IFERROR(_xlfn.SWITCH(B641,"Semana 1",IFERROR(INDEX('🔄 Rotação Duplas'!$D$8:$D$17,MATCH(D641,'🔄 Rotação Duplas'!$C$8:$C$17,0)),INDEX('🔄 Rotação Duplas'!$C$8:$C$17,MATCH(D641,'🔄 Rotação Duplas'!$D$8:$D$17,0))),"Semana 2",IFERROR(INDEX('🔄 Rotação Duplas'!$D$22:$D$31,MATCH(D641,'🔄 Rotação Duplas'!$C$22:$C$31,0)),INDEX('🔄 Rotação Duplas'!$C$22:$C$31,MATCH(D641,'🔄 Rotação Duplas'!$D$22:$D$31,0))),"Semana 3",IFERROR(INDEX('🔄 Rotação Duplas'!$D$36:$D$45,MATCH(D641,'🔄 Rotação Duplas'!$C$36:$C$45,0)),INDEX('🔄 Rotação Duplas'!$C$36:$C$45,MATCH(D641,'🔄 Rotação Duplas'!$D$36:$D$45,0))),"Semana 4",IFERROR(INDEX('🔄 Rotação Duplas'!$D$50:$D$59,MATCH(D641,'🔄 Rotação Duplas'!$C$50:$C$59,0)),INDEX('🔄 Rotação Duplas'!$C$50:$C$59,MATCH(D641,'🔄 Rotação Duplas'!$D$50:$D$59,0))),"Semana 5",IFERROR(INDEX('🔄 Rotação Duplas'!$D$64:$D$73,MATCH(D641,'🔄 Rotação Duplas'!$C$64:$C$73,0)),INDEX('🔄 Rotação Duplas'!$C$64:$C$73,MATCH(D641,'🔄 Rotação Duplas'!$D$64:$D$73,0))),"Semana 6",IFERROR(INDEX('🔄 Rotação Duplas'!$D$78:$D$87,MATCH(D641,'🔄 Rotação Duplas'!$C$78:$C$87,0)),INDEX('🔄 Rotação Duplas'!$C$78:$C$87,MATCH(D641,'🔄 Rotação Duplas'!$D$78:$D$87,0))),"Semana 7",IFERROR(INDEX('🔄 Rotação Duplas'!$D$92:$D$101,MATCH(D641,'🔄 Rotação Duplas'!$C$92:$C$101,0)),INDEX('🔄 Rotação Duplas'!$C$92:$C$101,MATCH(D641,'🔄 Rotação Duplas'!$D$92:$D$101,0))),"Semana 8",IFERROR(INDEX('🔄 Rotação Duplas'!$D$106:$D$115,MATCH(D641,'🔄 Rotação Duplas'!$C$106:$C$115,0)),INDEX('🔄 Rotação Duplas'!$C$106:$C$115,MATCH(D641,'🔄 Rotação Duplas'!$D$106:$D$115,0)))),""))</f>
        <v/>
      </c>
      <c r="T641">
        <f t="shared" si="51"/>
        <v>0</v>
      </c>
    </row>
    <row r="642" spans="2:20" ht="18" customHeight="1" x14ac:dyDescent="0.2">
      <c r="B642" s="85" t="s">
        <v>132</v>
      </c>
      <c r="C642" s="86" t="str">
        <f t="shared" si="54"/>
        <v>Desafio 32</v>
      </c>
      <c r="D642" s="87" t="str">
        <f>'⚙️ Configuração'!C45</f>
        <v>Rita Carmo</v>
      </c>
      <c r="E642" s="50">
        <v>0</v>
      </c>
      <c r="F642" s="50">
        <v>0</v>
      </c>
      <c r="G642" s="50">
        <v>0</v>
      </c>
      <c r="H642" s="50">
        <v>0</v>
      </c>
      <c r="I642" s="50">
        <v>0</v>
      </c>
      <c r="J642" s="89">
        <v>0</v>
      </c>
      <c r="K642" s="81">
        <f>(E642*'⚙️ Configuração'!$C$6+F642*'⚙️ Configuração'!$C$7+G642*'⚙️ Configuração'!$C$8+H642*'⚙️ Configuração'!$C$9+I642*'⚙️ Configuração'!$C$10+J642*'⚙️ Configuração'!$C$11)*IF(N642="S",2,1)</f>
        <v>0</v>
      </c>
      <c r="L642" s="90" t="s">
        <v>167</v>
      </c>
      <c r="M642" s="82">
        <f>IF(L642="AT1",'⚙️ Configuração'!$C$14,IF(L642="AT2",'⚙️ Configuração'!$C$15,IF(L642="FI",'⚙️ Configuração'!$C$16,IF(L642="FJ",'⚙️ Configuração'!$C$17,0))))</f>
        <v>0</v>
      </c>
      <c r="N642" s="91" t="s">
        <v>167</v>
      </c>
      <c r="O642" s="92"/>
      <c r="P642" s="83">
        <f>IF(O642="1",'⚙️ Configuração'!$C$21,IF(O642="2",'⚙️ Configuração'!$C$22,IF(O642="3",'⚙️ Configuração'!$C$23,IF(O642="Outro",'⚙️ Configuração'!$C$24,0))))</f>
        <v>0</v>
      </c>
      <c r="Q642" s="84">
        <f t="shared" si="50"/>
        <v>0</v>
      </c>
      <c r="R642" s="40" t="str">
        <f t="shared" si="44"/>
        <v>Semana 1 — ver 🔄</v>
      </c>
      <c r="S642" t="str" cm="1">
        <f t="array" ref="S642">IF(D642="","",IFERROR(_xlfn.SWITCH(B642,"Semana 1",IFERROR(INDEX('🔄 Rotação Duplas'!$D$8:$D$17,MATCH(D642,'🔄 Rotação Duplas'!$C$8:$C$17,0)),INDEX('🔄 Rotação Duplas'!$C$8:$C$17,MATCH(D642,'🔄 Rotação Duplas'!$D$8:$D$17,0))),"Semana 2",IFERROR(INDEX('🔄 Rotação Duplas'!$D$22:$D$31,MATCH(D642,'🔄 Rotação Duplas'!$C$22:$C$31,0)),INDEX('🔄 Rotação Duplas'!$C$22:$C$31,MATCH(D642,'🔄 Rotação Duplas'!$D$22:$D$31,0))),"Semana 3",IFERROR(INDEX('🔄 Rotação Duplas'!$D$36:$D$45,MATCH(D642,'🔄 Rotação Duplas'!$C$36:$C$45,0)),INDEX('🔄 Rotação Duplas'!$C$36:$C$45,MATCH(D642,'🔄 Rotação Duplas'!$D$36:$D$45,0))),"Semana 4",IFERROR(INDEX('🔄 Rotação Duplas'!$D$50:$D$59,MATCH(D642,'🔄 Rotação Duplas'!$C$50:$C$59,0)),INDEX('🔄 Rotação Duplas'!$C$50:$C$59,MATCH(D642,'🔄 Rotação Duplas'!$D$50:$D$59,0))),"Semana 5",IFERROR(INDEX('🔄 Rotação Duplas'!$D$64:$D$73,MATCH(D642,'🔄 Rotação Duplas'!$C$64:$C$73,0)),INDEX('🔄 Rotação Duplas'!$C$64:$C$73,MATCH(D642,'🔄 Rotação Duplas'!$D$64:$D$73,0))),"Semana 6",IFERROR(INDEX('🔄 Rotação Duplas'!$D$78:$D$87,MATCH(D642,'🔄 Rotação Duplas'!$C$78:$C$87,0)),INDEX('🔄 Rotação Duplas'!$C$78:$C$87,MATCH(D642,'🔄 Rotação Duplas'!$D$78:$D$87,0))),"Semana 7",IFERROR(INDEX('🔄 Rotação Duplas'!$D$92:$D$101,MATCH(D642,'🔄 Rotação Duplas'!$C$92:$C$101,0)),INDEX('🔄 Rotação Duplas'!$C$92:$C$101,MATCH(D642,'🔄 Rotação Duplas'!$D$92:$D$101,0))),"Semana 8",IFERROR(INDEX('🔄 Rotação Duplas'!$D$106:$D$115,MATCH(D642,'🔄 Rotação Duplas'!$C$106:$C$115,0)),INDEX('🔄 Rotação Duplas'!$C$106:$C$115,MATCH(D642,'🔄 Rotação Duplas'!$D$106:$D$115,0)))),""))</f>
        <v/>
      </c>
      <c r="T642">
        <f t="shared" si="51"/>
        <v>0</v>
      </c>
    </row>
    <row r="643" spans="2:20" ht="18" customHeight="1" x14ac:dyDescent="0.2">
      <c r="B643" s="78" t="s">
        <v>132</v>
      </c>
      <c r="C643" s="79" t="str">
        <f t="shared" si="54"/>
        <v>Desafio 32</v>
      </c>
      <c r="D643" s="80" t="str">
        <f>'⚙️ Configuração'!C46</f>
        <v>William Fernandes</v>
      </c>
      <c r="E643" s="50">
        <v>0</v>
      </c>
      <c r="F643" s="50">
        <v>0</v>
      </c>
      <c r="G643" s="50">
        <v>0</v>
      </c>
      <c r="H643" s="50">
        <v>0</v>
      </c>
      <c r="I643" s="50">
        <v>0</v>
      </c>
      <c r="J643" s="89">
        <v>0</v>
      </c>
      <c r="K643" s="81">
        <f>(E643*'⚙️ Configuração'!$C$6+F643*'⚙️ Configuração'!$C$7+G643*'⚙️ Configuração'!$C$8+H643*'⚙️ Configuração'!$C$9+I643*'⚙️ Configuração'!$C$10+J643*'⚙️ Configuração'!$C$11)*IF(N643="S",2,1)</f>
        <v>0</v>
      </c>
      <c r="L643" s="90" t="s">
        <v>167</v>
      </c>
      <c r="M643" s="82">
        <f>IF(L643="AT1",'⚙️ Configuração'!$C$14,IF(L643="AT2",'⚙️ Configuração'!$C$15,IF(L643="FI",'⚙️ Configuração'!$C$16,IF(L643="FJ",'⚙️ Configuração'!$C$17,0))))</f>
        <v>0</v>
      </c>
      <c r="N643" s="91" t="s">
        <v>167</v>
      </c>
      <c r="O643" s="92"/>
      <c r="P643" s="83">
        <f>IF(O643="1",'⚙️ Configuração'!$C$21,IF(O643="2",'⚙️ Configuração'!$C$22,IF(O643="3",'⚙️ Configuração'!$C$23,IF(O643="Outro",'⚙️ Configuração'!$C$24,0))))</f>
        <v>0</v>
      </c>
      <c r="Q643" s="84">
        <f t="shared" si="50"/>
        <v>0</v>
      </c>
      <c r="R643" s="40" t="str">
        <f t="shared" si="44"/>
        <v>Semana 1 — ver 🔄</v>
      </c>
      <c r="S643" t="str" cm="1">
        <f t="array" ref="S643">IF(D643="","",IFERROR(_xlfn.SWITCH(B643,"Semana 1",IFERROR(INDEX('🔄 Rotação Duplas'!$D$8:$D$17,MATCH(D643,'🔄 Rotação Duplas'!$C$8:$C$17,0)),INDEX('🔄 Rotação Duplas'!$C$8:$C$17,MATCH(D643,'🔄 Rotação Duplas'!$D$8:$D$17,0))),"Semana 2",IFERROR(INDEX('🔄 Rotação Duplas'!$D$22:$D$31,MATCH(D643,'🔄 Rotação Duplas'!$C$22:$C$31,0)),INDEX('🔄 Rotação Duplas'!$C$22:$C$31,MATCH(D643,'🔄 Rotação Duplas'!$D$22:$D$31,0))),"Semana 3",IFERROR(INDEX('🔄 Rotação Duplas'!$D$36:$D$45,MATCH(D643,'🔄 Rotação Duplas'!$C$36:$C$45,0)),INDEX('🔄 Rotação Duplas'!$C$36:$C$45,MATCH(D643,'🔄 Rotação Duplas'!$D$36:$D$45,0))),"Semana 4",IFERROR(INDEX('🔄 Rotação Duplas'!$D$50:$D$59,MATCH(D643,'🔄 Rotação Duplas'!$C$50:$C$59,0)),INDEX('🔄 Rotação Duplas'!$C$50:$C$59,MATCH(D643,'🔄 Rotação Duplas'!$D$50:$D$59,0))),"Semana 5",IFERROR(INDEX('🔄 Rotação Duplas'!$D$64:$D$73,MATCH(D643,'🔄 Rotação Duplas'!$C$64:$C$73,0)),INDEX('🔄 Rotação Duplas'!$C$64:$C$73,MATCH(D643,'🔄 Rotação Duplas'!$D$64:$D$73,0))),"Semana 6",IFERROR(INDEX('🔄 Rotação Duplas'!$D$78:$D$87,MATCH(D643,'🔄 Rotação Duplas'!$C$78:$C$87,0)),INDEX('🔄 Rotação Duplas'!$C$78:$C$87,MATCH(D643,'🔄 Rotação Duplas'!$D$78:$D$87,0))),"Semana 7",IFERROR(INDEX('🔄 Rotação Duplas'!$D$92:$D$101,MATCH(D643,'🔄 Rotação Duplas'!$C$92:$C$101,0)),INDEX('🔄 Rotação Duplas'!$C$92:$C$101,MATCH(D643,'🔄 Rotação Duplas'!$D$92:$D$101,0))),"Semana 8",IFERROR(INDEX('🔄 Rotação Duplas'!$D$106:$D$115,MATCH(D643,'🔄 Rotação Duplas'!$C$106:$C$115,0)),INDEX('🔄 Rotação Duplas'!$C$106:$C$115,MATCH(D643,'🔄 Rotação Duplas'!$D$106:$D$115,0)))),""))</f>
        <v/>
      </c>
      <c r="T643">
        <f t="shared" si="51"/>
        <v>0</v>
      </c>
    </row>
    <row r="644" spans="2:20" ht="18" customHeight="1" x14ac:dyDescent="0.2">
      <c r="B644" s="85" t="s">
        <v>132</v>
      </c>
      <c r="C644" s="86" t="str">
        <f t="shared" si="54"/>
        <v>Desafio 32</v>
      </c>
      <c r="D644" s="87" t="str">
        <f>'⚙️ Configuração'!C47</f>
        <v>-</v>
      </c>
      <c r="E644" s="50">
        <v>0</v>
      </c>
      <c r="F644" s="50">
        <v>0</v>
      </c>
      <c r="G644" s="50">
        <v>0</v>
      </c>
      <c r="H644" s="50">
        <v>0</v>
      </c>
      <c r="I644" s="50">
        <v>0</v>
      </c>
      <c r="J644" s="89">
        <v>0</v>
      </c>
      <c r="K644" s="81">
        <f>(E644*'⚙️ Configuração'!$C$6+F644*'⚙️ Configuração'!$C$7+G644*'⚙️ Configuração'!$C$8+H644*'⚙️ Configuração'!$C$9+I644*'⚙️ Configuração'!$C$10+J644*'⚙️ Configuração'!$C$11)*IF(N644="S",2,1)</f>
        <v>0</v>
      </c>
      <c r="L644" s="90" t="s">
        <v>167</v>
      </c>
      <c r="M644" s="82">
        <f>IF(L644="AT1",'⚙️ Configuração'!$C$14,IF(L644="AT2",'⚙️ Configuração'!$C$15,IF(L644="FI",'⚙️ Configuração'!$C$16,IF(L644="FJ",'⚙️ Configuração'!$C$17,0))))</f>
        <v>0</v>
      </c>
      <c r="N644" s="91" t="s">
        <v>167</v>
      </c>
      <c r="O644" s="92"/>
      <c r="P644" s="83">
        <f>IF(O644="1",'⚙️ Configuração'!$C$21,IF(O644="2",'⚙️ Configuração'!$C$22,IF(O644="3",'⚙️ Configuração'!$C$23,IF(O644="Outro",'⚙️ Configuração'!$C$24,0))))</f>
        <v>0</v>
      </c>
      <c r="Q644" s="84">
        <f t="shared" si="50"/>
        <v>0</v>
      </c>
      <c r="R644" s="40" t="str">
        <f t="shared" si="44"/>
        <v>Semana 1 — ver 🔄</v>
      </c>
      <c r="S644" t="str" cm="1">
        <f t="array" ref="S644">IF(D644="","",IFERROR(_xlfn.SWITCH(B644,"Semana 1",IFERROR(INDEX('🔄 Rotação Duplas'!$D$8:$D$17,MATCH(D644,'🔄 Rotação Duplas'!$C$8:$C$17,0)),INDEX('🔄 Rotação Duplas'!$C$8:$C$17,MATCH(D644,'🔄 Rotação Duplas'!$D$8:$D$17,0))),"Semana 2",IFERROR(INDEX('🔄 Rotação Duplas'!$D$22:$D$31,MATCH(D644,'🔄 Rotação Duplas'!$C$22:$C$31,0)),INDEX('🔄 Rotação Duplas'!$C$22:$C$31,MATCH(D644,'🔄 Rotação Duplas'!$D$22:$D$31,0))),"Semana 3",IFERROR(INDEX('🔄 Rotação Duplas'!$D$36:$D$45,MATCH(D644,'🔄 Rotação Duplas'!$C$36:$C$45,0)),INDEX('🔄 Rotação Duplas'!$C$36:$C$45,MATCH(D644,'🔄 Rotação Duplas'!$D$36:$D$45,0))),"Semana 4",IFERROR(INDEX('🔄 Rotação Duplas'!$D$50:$D$59,MATCH(D644,'🔄 Rotação Duplas'!$C$50:$C$59,0)),INDEX('🔄 Rotação Duplas'!$C$50:$C$59,MATCH(D644,'🔄 Rotação Duplas'!$D$50:$D$59,0))),"Semana 5",IFERROR(INDEX('🔄 Rotação Duplas'!$D$64:$D$73,MATCH(D644,'🔄 Rotação Duplas'!$C$64:$C$73,0)),INDEX('🔄 Rotação Duplas'!$C$64:$C$73,MATCH(D644,'🔄 Rotação Duplas'!$D$64:$D$73,0))),"Semana 6",IFERROR(INDEX('🔄 Rotação Duplas'!$D$78:$D$87,MATCH(D644,'🔄 Rotação Duplas'!$C$78:$C$87,0)),INDEX('🔄 Rotação Duplas'!$C$78:$C$87,MATCH(D644,'🔄 Rotação Duplas'!$D$78:$D$87,0))),"Semana 7",IFERROR(INDEX('🔄 Rotação Duplas'!$D$92:$D$101,MATCH(D644,'🔄 Rotação Duplas'!$C$92:$C$101,0)),INDEX('🔄 Rotação Duplas'!$C$92:$C$101,MATCH(D644,'🔄 Rotação Duplas'!$D$92:$D$101,0))),"Semana 8",IFERROR(INDEX('🔄 Rotação Duplas'!$D$106:$D$115,MATCH(D644,'🔄 Rotação Duplas'!$C$106:$C$115,0)),INDEX('🔄 Rotação Duplas'!$C$106:$C$115,MATCH(D644,'🔄 Rotação Duplas'!$D$106:$D$115,0)))),""))</f>
        <v/>
      </c>
      <c r="T644">
        <f t="shared" si="51"/>
        <v>0</v>
      </c>
    </row>
    <row r="645" spans="2:20" ht="18" customHeight="1" x14ac:dyDescent="0.2">
      <c r="B645" s="78" t="s">
        <v>132</v>
      </c>
      <c r="C645" s="79" t="str">
        <f t="shared" si="54"/>
        <v>Desafio 32</v>
      </c>
      <c r="D645" s="80" t="str">
        <f>'⚙️ Configuração'!C48</f>
        <v>-</v>
      </c>
      <c r="E645" s="50">
        <v>0</v>
      </c>
      <c r="F645" s="50">
        <v>0</v>
      </c>
      <c r="G645" s="50">
        <v>0</v>
      </c>
      <c r="H645" s="50">
        <v>0</v>
      </c>
      <c r="I645" s="50">
        <v>0</v>
      </c>
      <c r="J645" s="89">
        <v>0</v>
      </c>
      <c r="K645" s="81">
        <f>(E645*'⚙️ Configuração'!$C$6+F645*'⚙️ Configuração'!$C$7+G645*'⚙️ Configuração'!$C$8+H645*'⚙️ Configuração'!$C$9+I645*'⚙️ Configuração'!$C$10+J645*'⚙️ Configuração'!$C$11)*IF(N645="S",2,1)</f>
        <v>0</v>
      </c>
      <c r="L645" s="90" t="s">
        <v>167</v>
      </c>
      <c r="M645" s="82">
        <f>IF(L645="AT1",'⚙️ Configuração'!$C$14,IF(L645="AT2",'⚙️ Configuração'!$C$15,IF(L645="FI",'⚙️ Configuração'!$C$16,IF(L645="FJ",'⚙️ Configuração'!$C$17,0))))</f>
        <v>0</v>
      </c>
      <c r="N645" s="91" t="s">
        <v>167</v>
      </c>
      <c r="O645" s="92"/>
      <c r="P645" s="83">
        <f>IF(O645="1",'⚙️ Configuração'!$C$21,IF(O645="2",'⚙️ Configuração'!$C$22,IF(O645="3",'⚙️ Configuração'!$C$23,IF(O645="Outro",'⚙️ Configuração'!$C$24,0))))</f>
        <v>0</v>
      </c>
      <c r="Q645" s="84">
        <f t="shared" si="50"/>
        <v>0</v>
      </c>
      <c r="R645" s="40" t="str">
        <f t="shared" si="44"/>
        <v>Semana 1 — ver 🔄</v>
      </c>
      <c r="S645" t="str" cm="1">
        <f t="array" ref="S645">IF(D645="","",IFERROR(_xlfn.SWITCH(B645,"Semana 1",IFERROR(INDEX('🔄 Rotação Duplas'!$D$8:$D$17,MATCH(D645,'🔄 Rotação Duplas'!$C$8:$C$17,0)),INDEX('🔄 Rotação Duplas'!$C$8:$C$17,MATCH(D645,'🔄 Rotação Duplas'!$D$8:$D$17,0))),"Semana 2",IFERROR(INDEX('🔄 Rotação Duplas'!$D$22:$D$31,MATCH(D645,'🔄 Rotação Duplas'!$C$22:$C$31,0)),INDEX('🔄 Rotação Duplas'!$C$22:$C$31,MATCH(D645,'🔄 Rotação Duplas'!$D$22:$D$31,0))),"Semana 3",IFERROR(INDEX('🔄 Rotação Duplas'!$D$36:$D$45,MATCH(D645,'🔄 Rotação Duplas'!$C$36:$C$45,0)),INDEX('🔄 Rotação Duplas'!$C$36:$C$45,MATCH(D645,'🔄 Rotação Duplas'!$D$36:$D$45,0))),"Semana 4",IFERROR(INDEX('🔄 Rotação Duplas'!$D$50:$D$59,MATCH(D645,'🔄 Rotação Duplas'!$C$50:$C$59,0)),INDEX('🔄 Rotação Duplas'!$C$50:$C$59,MATCH(D645,'🔄 Rotação Duplas'!$D$50:$D$59,0))),"Semana 5",IFERROR(INDEX('🔄 Rotação Duplas'!$D$64:$D$73,MATCH(D645,'🔄 Rotação Duplas'!$C$64:$C$73,0)),INDEX('🔄 Rotação Duplas'!$C$64:$C$73,MATCH(D645,'🔄 Rotação Duplas'!$D$64:$D$73,0))),"Semana 6",IFERROR(INDEX('🔄 Rotação Duplas'!$D$78:$D$87,MATCH(D645,'🔄 Rotação Duplas'!$C$78:$C$87,0)),INDEX('🔄 Rotação Duplas'!$C$78:$C$87,MATCH(D645,'🔄 Rotação Duplas'!$D$78:$D$87,0))),"Semana 7",IFERROR(INDEX('🔄 Rotação Duplas'!$D$92:$D$101,MATCH(D645,'🔄 Rotação Duplas'!$C$92:$C$101,0)),INDEX('🔄 Rotação Duplas'!$C$92:$C$101,MATCH(D645,'🔄 Rotação Duplas'!$D$92:$D$101,0))),"Semana 8",IFERROR(INDEX('🔄 Rotação Duplas'!$D$106:$D$115,MATCH(D645,'🔄 Rotação Duplas'!$C$106:$C$115,0)),INDEX('🔄 Rotação Duplas'!$C$106:$C$115,MATCH(D645,'🔄 Rotação Duplas'!$D$106:$D$115,0)))),""))</f>
        <v/>
      </c>
      <c r="T645">
        <f t="shared" si="51"/>
        <v>0</v>
      </c>
    </row>
    <row r="646" spans="2:20" ht="18" customHeight="1" x14ac:dyDescent="0.2">
      <c r="B646" s="85" t="s">
        <v>132</v>
      </c>
      <c r="C646" s="86" t="str">
        <f t="shared" si="54"/>
        <v>Desafio 32</v>
      </c>
      <c r="D646" s="87" t="str">
        <f>'⚙️ Configuração'!C49</f>
        <v>-</v>
      </c>
      <c r="E646" s="50">
        <v>0</v>
      </c>
      <c r="F646" s="50">
        <v>0</v>
      </c>
      <c r="G646" s="50">
        <v>0</v>
      </c>
      <c r="H646" s="50">
        <v>0</v>
      </c>
      <c r="I646" s="50">
        <v>0</v>
      </c>
      <c r="J646" s="89">
        <v>0</v>
      </c>
      <c r="K646" s="81">
        <f>(E646*'⚙️ Configuração'!$C$6+F646*'⚙️ Configuração'!$C$7+G646*'⚙️ Configuração'!$C$8+H646*'⚙️ Configuração'!$C$9+I646*'⚙️ Configuração'!$C$10+J646*'⚙️ Configuração'!$C$11)*IF(N646="S",2,1)</f>
        <v>0</v>
      </c>
      <c r="L646" s="90" t="s">
        <v>167</v>
      </c>
      <c r="M646" s="82">
        <f>IF(L646="AT1",'⚙️ Configuração'!$C$14,IF(L646="AT2",'⚙️ Configuração'!$C$15,IF(L646="FI",'⚙️ Configuração'!$C$16,IF(L646="FJ",'⚙️ Configuração'!$C$17,0))))</f>
        <v>0</v>
      </c>
      <c r="N646" s="91" t="s">
        <v>167</v>
      </c>
      <c r="O646" s="92"/>
      <c r="P646" s="83">
        <f>IF(O646="1",'⚙️ Configuração'!$C$21,IF(O646="2",'⚙️ Configuração'!$C$22,IF(O646="3",'⚙️ Configuração'!$C$23,IF(O646="Outro",'⚙️ Configuração'!$C$24,0))))</f>
        <v>0</v>
      </c>
      <c r="Q646" s="84">
        <f t="shared" si="50"/>
        <v>0</v>
      </c>
      <c r="R646" s="40" t="str">
        <f t="shared" si="44"/>
        <v>Semana 1 — ver 🔄</v>
      </c>
      <c r="S646" t="str" cm="1">
        <f t="array" ref="S646">IF(D646="","",IFERROR(_xlfn.SWITCH(B646,"Semana 1",IFERROR(INDEX('🔄 Rotação Duplas'!$D$8:$D$17,MATCH(D646,'🔄 Rotação Duplas'!$C$8:$C$17,0)),INDEX('🔄 Rotação Duplas'!$C$8:$C$17,MATCH(D646,'🔄 Rotação Duplas'!$D$8:$D$17,0))),"Semana 2",IFERROR(INDEX('🔄 Rotação Duplas'!$D$22:$D$31,MATCH(D646,'🔄 Rotação Duplas'!$C$22:$C$31,0)),INDEX('🔄 Rotação Duplas'!$C$22:$C$31,MATCH(D646,'🔄 Rotação Duplas'!$D$22:$D$31,0))),"Semana 3",IFERROR(INDEX('🔄 Rotação Duplas'!$D$36:$D$45,MATCH(D646,'🔄 Rotação Duplas'!$C$36:$C$45,0)),INDEX('🔄 Rotação Duplas'!$C$36:$C$45,MATCH(D646,'🔄 Rotação Duplas'!$D$36:$D$45,0))),"Semana 4",IFERROR(INDEX('🔄 Rotação Duplas'!$D$50:$D$59,MATCH(D646,'🔄 Rotação Duplas'!$C$50:$C$59,0)),INDEX('🔄 Rotação Duplas'!$C$50:$C$59,MATCH(D646,'🔄 Rotação Duplas'!$D$50:$D$59,0))),"Semana 5",IFERROR(INDEX('🔄 Rotação Duplas'!$D$64:$D$73,MATCH(D646,'🔄 Rotação Duplas'!$C$64:$C$73,0)),INDEX('🔄 Rotação Duplas'!$C$64:$C$73,MATCH(D646,'🔄 Rotação Duplas'!$D$64:$D$73,0))),"Semana 6",IFERROR(INDEX('🔄 Rotação Duplas'!$D$78:$D$87,MATCH(D646,'🔄 Rotação Duplas'!$C$78:$C$87,0)),INDEX('🔄 Rotação Duplas'!$C$78:$C$87,MATCH(D646,'🔄 Rotação Duplas'!$D$78:$D$87,0))),"Semana 7",IFERROR(INDEX('🔄 Rotação Duplas'!$D$92:$D$101,MATCH(D646,'🔄 Rotação Duplas'!$C$92:$C$101,0)),INDEX('🔄 Rotação Duplas'!$C$92:$C$101,MATCH(D646,'🔄 Rotação Duplas'!$D$92:$D$101,0))),"Semana 8",IFERROR(INDEX('🔄 Rotação Duplas'!$D$106:$D$115,MATCH(D646,'🔄 Rotação Duplas'!$C$106:$C$115,0)),INDEX('🔄 Rotação Duplas'!$C$106:$C$115,MATCH(D646,'🔄 Rotação Duplas'!$D$106:$D$115,0)))),""))</f>
        <v/>
      </c>
      <c r="T646">
        <f t="shared" si="51"/>
        <v>0</v>
      </c>
    </row>
    <row r="647" spans="2:20" ht="15.75" customHeight="1" x14ac:dyDescent="0.2">
      <c r="L647" s="40"/>
      <c r="Q647" s="84">
        <f t="shared" ref="Q647:Q678" si="55">K647</f>
        <v>0</v>
      </c>
    </row>
    <row r="648" spans="2:20" ht="15.75" customHeight="1" x14ac:dyDescent="0.2">
      <c r="L648" s="40"/>
      <c r="Q648" s="84">
        <f t="shared" si="55"/>
        <v>0</v>
      </c>
    </row>
    <row r="649" spans="2:20" ht="15.75" customHeight="1" x14ac:dyDescent="0.2">
      <c r="L649" s="40"/>
      <c r="Q649" s="84">
        <f t="shared" si="55"/>
        <v>0</v>
      </c>
    </row>
    <row r="650" spans="2:20" ht="15.75" customHeight="1" x14ac:dyDescent="0.2">
      <c r="L650" s="40"/>
      <c r="Q650" s="84">
        <f t="shared" si="55"/>
        <v>0</v>
      </c>
    </row>
    <row r="651" spans="2:20" ht="15.75" customHeight="1" x14ac:dyDescent="0.2">
      <c r="L651" s="40"/>
      <c r="Q651" s="84">
        <f t="shared" si="55"/>
        <v>0</v>
      </c>
    </row>
    <row r="652" spans="2:20" ht="15.75" customHeight="1" x14ac:dyDescent="0.2">
      <c r="L652" s="40"/>
      <c r="Q652" s="84">
        <f t="shared" si="55"/>
        <v>0</v>
      </c>
    </row>
    <row r="653" spans="2:20" ht="15.75" customHeight="1" x14ac:dyDescent="0.2">
      <c r="L653" s="40"/>
      <c r="Q653" s="84">
        <f t="shared" si="55"/>
        <v>0</v>
      </c>
    </row>
    <row r="654" spans="2:20" ht="15.75" customHeight="1" x14ac:dyDescent="0.2">
      <c r="L654" s="40"/>
      <c r="Q654" s="84">
        <f t="shared" si="55"/>
        <v>0</v>
      </c>
    </row>
    <row r="655" spans="2:20" ht="15.75" customHeight="1" x14ac:dyDescent="0.2">
      <c r="L655" s="40"/>
      <c r="Q655" s="84">
        <f t="shared" si="55"/>
        <v>0</v>
      </c>
    </row>
    <row r="656" spans="2:20" ht="15.75" customHeight="1" x14ac:dyDescent="0.2">
      <c r="L656" s="40"/>
      <c r="Q656" s="84">
        <f t="shared" si="55"/>
        <v>0</v>
      </c>
    </row>
    <row r="657" spans="12:17" ht="15.75" customHeight="1" x14ac:dyDescent="0.2">
      <c r="L657" s="40"/>
      <c r="Q657" s="84">
        <f t="shared" si="55"/>
        <v>0</v>
      </c>
    </row>
    <row r="658" spans="12:17" ht="15.75" customHeight="1" x14ac:dyDescent="0.2">
      <c r="L658" s="40"/>
      <c r="Q658" s="84">
        <f t="shared" si="55"/>
        <v>0</v>
      </c>
    </row>
    <row r="659" spans="12:17" ht="15.75" customHeight="1" x14ac:dyDescent="0.2">
      <c r="L659" s="40"/>
      <c r="Q659" s="84">
        <f t="shared" si="55"/>
        <v>0</v>
      </c>
    </row>
    <row r="660" spans="12:17" ht="15.75" customHeight="1" x14ac:dyDescent="0.2">
      <c r="L660" s="40"/>
      <c r="Q660" s="84">
        <f t="shared" si="55"/>
        <v>0</v>
      </c>
    </row>
    <row r="661" spans="12:17" ht="15.75" customHeight="1" x14ac:dyDescent="0.2">
      <c r="L661" s="40"/>
      <c r="Q661" s="84">
        <f t="shared" si="55"/>
        <v>0</v>
      </c>
    </row>
    <row r="662" spans="12:17" ht="15.75" customHeight="1" x14ac:dyDescent="0.2">
      <c r="L662" s="40"/>
      <c r="Q662" s="84">
        <f t="shared" si="55"/>
        <v>0</v>
      </c>
    </row>
    <row r="663" spans="12:17" ht="15.75" customHeight="1" x14ac:dyDescent="0.2">
      <c r="L663" s="40"/>
      <c r="Q663" s="84">
        <f t="shared" si="55"/>
        <v>0</v>
      </c>
    </row>
    <row r="664" spans="12:17" ht="15.75" customHeight="1" x14ac:dyDescent="0.2">
      <c r="L664" s="40"/>
      <c r="Q664" s="84">
        <f t="shared" si="55"/>
        <v>0</v>
      </c>
    </row>
    <row r="665" spans="12:17" ht="15.75" customHeight="1" x14ac:dyDescent="0.2">
      <c r="L665" s="40"/>
      <c r="Q665" s="84">
        <f t="shared" si="55"/>
        <v>0</v>
      </c>
    </row>
    <row r="666" spans="12:17" ht="15.75" customHeight="1" x14ac:dyDescent="0.2">
      <c r="L666" s="40"/>
      <c r="Q666" s="84">
        <f t="shared" si="55"/>
        <v>0</v>
      </c>
    </row>
    <row r="667" spans="12:17" ht="15.75" customHeight="1" x14ac:dyDescent="0.2">
      <c r="L667" s="40"/>
      <c r="Q667" s="84">
        <f t="shared" si="55"/>
        <v>0</v>
      </c>
    </row>
    <row r="668" spans="12:17" ht="15.75" customHeight="1" x14ac:dyDescent="0.2">
      <c r="L668" s="40"/>
      <c r="Q668" s="84">
        <f t="shared" si="55"/>
        <v>0</v>
      </c>
    </row>
    <row r="669" spans="12:17" ht="15.75" customHeight="1" x14ac:dyDescent="0.2">
      <c r="L669" s="40"/>
      <c r="Q669" s="84">
        <f t="shared" si="55"/>
        <v>0</v>
      </c>
    </row>
    <row r="670" spans="12:17" ht="15.75" customHeight="1" x14ac:dyDescent="0.2">
      <c r="L670" s="40"/>
      <c r="Q670" s="84">
        <f t="shared" si="55"/>
        <v>0</v>
      </c>
    </row>
    <row r="671" spans="12:17" ht="15.75" customHeight="1" x14ac:dyDescent="0.2">
      <c r="L671" s="40"/>
      <c r="Q671" s="84">
        <f t="shared" si="55"/>
        <v>0</v>
      </c>
    </row>
    <row r="672" spans="12:17" ht="15.75" customHeight="1" x14ac:dyDescent="0.2">
      <c r="L672" s="40"/>
      <c r="Q672" s="84">
        <f t="shared" si="55"/>
        <v>0</v>
      </c>
    </row>
    <row r="673" spans="12:17" ht="15.75" customHeight="1" x14ac:dyDescent="0.2">
      <c r="L673" s="40"/>
      <c r="Q673" s="84">
        <f t="shared" si="55"/>
        <v>0</v>
      </c>
    </row>
    <row r="674" spans="12:17" ht="15.75" customHeight="1" x14ac:dyDescent="0.2">
      <c r="L674" s="40"/>
      <c r="Q674" s="84">
        <f t="shared" si="55"/>
        <v>0</v>
      </c>
    </row>
    <row r="675" spans="12:17" ht="15.75" customHeight="1" x14ac:dyDescent="0.2">
      <c r="L675" s="40"/>
      <c r="Q675" s="84">
        <f t="shared" si="55"/>
        <v>0</v>
      </c>
    </row>
    <row r="676" spans="12:17" ht="15.75" customHeight="1" x14ac:dyDescent="0.2">
      <c r="L676" s="40"/>
      <c r="Q676" s="84">
        <f t="shared" si="55"/>
        <v>0</v>
      </c>
    </row>
    <row r="677" spans="12:17" ht="15.75" customHeight="1" x14ac:dyDescent="0.2">
      <c r="L677" s="40"/>
      <c r="Q677" s="84">
        <f t="shared" si="55"/>
        <v>0</v>
      </c>
    </row>
    <row r="678" spans="12:17" ht="15.75" customHeight="1" x14ac:dyDescent="0.2">
      <c r="L678" s="40"/>
      <c r="Q678" s="84">
        <f t="shared" si="55"/>
        <v>0</v>
      </c>
    </row>
    <row r="679" spans="12:17" ht="15.75" customHeight="1" x14ac:dyDescent="0.2">
      <c r="L679" s="40"/>
      <c r="Q679" s="84">
        <f t="shared" ref="Q679:Q710" si="56">K679</f>
        <v>0</v>
      </c>
    </row>
    <row r="680" spans="12:17" ht="15.75" customHeight="1" x14ac:dyDescent="0.2">
      <c r="L680" s="40"/>
      <c r="Q680" s="84">
        <f t="shared" si="56"/>
        <v>0</v>
      </c>
    </row>
    <row r="681" spans="12:17" ht="15.75" customHeight="1" x14ac:dyDescent="0.2">
      <c r="L681" s="40"/>
      <c r="Q681" s="84">
        <f t="shared" si="56"/>
        <v>0</v>
      </c>
    </row>
    <row r="682" spans="12:17" ht="15.75" customHeight="1" x14ac:dyDescent="0.2">
      <c r="L682" s="40"/>
      <c r="Q682" s="84">
        <f t="shared" si="56"/>
        <v>0</v>
      </c>
    </row>
    <row r="683" spans="12:17" ht="15.75" customHeight="1" x14ac:dyDescent="0.2">
      <c r="L683" s="40"/>
      <c r="Q683" s="84">
        <f t="shared" si="56"/>
        <v>0</v>
      </c>
    </row>
    <row r="684" spans="12:17" ht="15.75" customHeight="1" x14ac:dyDescent="0.2">
      <c r="L684" s="40"/>
      <c r="Q684" s="84">
        <f t="shared" si="56"/>
        <v>0</v>
      </c>
    </row>
    <row r="685" spans="12:17" ht="15.75" customHeight="1" x14ac:dyDescent="0.2">
      <c r="L685" s="40"/>
      <c r="Q685" s="84">
        <f t="shared" si="56"/>
        <v>0</v>
      </c>
    </row>
    <row r="686" spans="12:17" ht="15.75" customHeight="1" x14ac:dyDescent="0.2">
      <c r="L686" s="40"/>
      <c r="Q686" s="84">
        <f t="shared" si="56"/>
        <v>0</v>
      </c>
    </row>
    <row r="687" spans="12:17" ht="15.75" customHeight="1" x14ac:dyDescent="0.2">
      <c r="L687" s="40"/>
      <c r="Q687" s="84">
        <f t="shared" si="56"/>
        <v>0</v>
      </c>
    </row>
    <row r="688" spans="12:17" ht="15.75" customHeight="1" x14ac:dyDescent="0.2">
      <c r="L688" s="40"/>
      <c r="Q688" s="84">
        <f t="shared" si="56"/>
        <v>0</v>
      </c>
    </row>
    <row r="689" spans="12:17" ht="15.75" customHeight="1" x14ac:dyDescent="0.2">
      <c r="L689" s="40"/>
      <c r="Q689" s="84">
        <f t="shared" si="56"/>
        <v>0</v>
      </c>
    </row>
    <row r="690" spans="12:17" ht="15.75" customHeight="1" x14ac:dyDescent="0.2">
      <c r="L690" s="40"/>
      <c r="Q690" s="84">
        <f t="shared" si="56"/>
        <v>0</v>
      </c>
    </row>
    <row r="691" spans="12:17" ht="15.75" customHeight="1" x14ac:dyDescent="0.2">
      <c r="L691" s="40"/>
      <c r="Q691" s="84">
        <f t="shared" si="56"/>
        <v>0</v>
      </c>
    </row>
    <row r="692" spans="12:17" ht="15.75" customHeight="1" x14ac:dyDescent="0.2">
      <c r="L692" s="40"/>
      <c r="Q692" s="84">
        <f t="shared" si="56"/>
        <v>0</v>
      </c>
    </row>
    <row r="693" spans="12:17" ht="15.75" customHeight="1" x14ac:dyDescent="0.2">
      <c r="L693" s="40"/>
      <c r="Q693" s="84">
        <f t="shared" si="56"/>
        <v>0</v>
      </c>
    </row>
    <row r="694" spans="12:17" ht="15.75" customHeight="1" x14ac:dyDescent="0.2">
      <c r="L694" s="40"/>
      <c r="Q694" s="84">
        <f t="shared" si="56"/>
        <v>0</v>
      </c>
    </row>
    <row r="695" spans="12:17" ht="15.75" customHeight="1" x14ac:dyDescent="0.2">
      <c r="L695" s="40"/>
      <c r="Q695" s="84">
        <f t="shared" si="56"/>
        <v>0</v>
      </c>
    </row>
    <row r="696" spans="12:17" ht="15.75" customHeight="1" x14ac:dyDescent="0.2">
      <c r="L696" s="40"/>
      <c r="Q696" s="84">
        <f t="shared" si="56"/>
        <v>0</v>
      </c>
    </row>
    <row r="697" spans="12:17" ht="15.75" customHeight="1" x14ac:dyDescent="0.2">
      <c r="L697" s="40"/>
      <c r="Q697" s="84">
        <f t="shared" si="56"/>
        <v>0</v>
      </c>
    </row>
    <row r="698" spans="12:17" ht="15.75" customHeight="1" x14ac:dyDescent="0.2">
      <c r="L698" s="40"/>
      <c r="Q698" s="84">
        <f t="shared" si="56"/>
        <v>0</v>
      </c>
    </row>
    <row r="699" spans="12:17" ht="15.75" customHeight="1" x14ac:dyDescent="0.2">
      <c r="L699" s="40"/>
      <c r="Q699" s="84">
        <f t="shared" si="56"/>
        <v>0</v>
      </c>
    </row>
    <row r="700" spans="12:17" ht="15.75" customHeight="1" x14ac:dyDescent="0.2">
      <c r="L700" s="40"/>
      <c r="Q700" s="84">
        <f t="shared" si="56"/>
        <v>0</v>
      </c>
    </row>
    <row r="701" spans="12:17" ht="15.75" customHeight="1" x14ac:dyDescent="0.2">
      <c r="L701" s="40"/>
      <c r="Q701" s="84">
        <f t="shared" si="56"/>
        <v>0</v>
      </c>
    </row>
    <row r="702" spans="12:17" ht="15.75" customHeight="1" x14ac:dyDescent="0.2">
      <c r="L702" s="40"/>
      <c r="Q702" s="84">
        <f t="shared" si="56"/>
        <v>0</v>
      </c>
    </row>
    <row r="703" spans="12:17" ht="15.75" customHeight="1" x14ac:dyDescent="0.2">
      <c r="L703" s="40"/>
      <c r="Q703" s="84">
        <f t="shared" si="56"/>
        <v>0</v>
      </c>
    </row>
    <row r="704" spans="12:17" ht="15.75" customHeight="1" x14ac:dyDescent="0.2">
      <c r="L704" s="40"/>
      <c r="Q704" s="84">
        <f t="shared" si="56"/>
        <v>0</v>
      </c>
    </row>
    <row r="705" spans="12:17" ht="15.75" customHeight="1" x14ac:dyDescent="0.2">
      <c r="L705" s="40"/>
      <c r="Q705" s="84">
        <f t="shared" si="56"/>
        <v>0</v>
      </c>
    </row>
    <row r="706" spans="12:17" ht="15.75" customHeight="1" x14ac:dyDescent="0.2">
      <c r="L706" s="40"/>
      <c r="Q706" s="84">
        <f t="shared" si="56"/>
        <v>0</v>
      </c>
    </row>
    <row r="707" spans="12:17" ht="15.75" customHeight="1" x14ac:dyDescent="0.2">
      <c r="L707" s="40"/>
      <c r="Q707" s="84">
        <f t="shared" si="56"/>
        <v>0</v>
      </c>
    </row>
    <row r="708" spans="12:17" ht="15.75" customHeight="1" x14ac:dyDescent="0.2">
      <c r="L708" s="40"/>
      <c r="Q708" s="84">
        <f t="shared" si="56"/>
        <v>0</v>
      </c>
    </row>
    <row r="709" spans="12:17" ht="15.75" customHeight="1" x14ac:dyDescent="0.2">
      <c r="L709" s="40"/>
      <c r="Q709" s="84">
        <f t="shared" si="56"/>
        <v>0</v>
      </c>
    </row>
    <row r="710" spans="12:17" ht="15.75" customHeight="1" x14ac:dyDescent="0.2">
      <c r="L710" s="40"/>
      <c r="Q710" s="84">
        <f t="shared" si="56"/>
        <v>0</v>
      </c>
    </row>
    <row r="711" spans="12:17" ht="15.75" customHeight="1" x14ac:dyDescent="0.2">
      <c r="L711" s="40"/>
      <c r="Q711" s="84">
        <f t="shared" ref="Q711:Q742" si="57">K711</f>
        <v>0</v>
      </c>
    </row>
    <row r="712" spans="12:17" ht="15.75" customHeight="1" x14ac:dyDescent="0.2">
      <c r="L712" s="40"/>
      <c r="Q712" s="84">
        <f t="shared" si="57"/>
        <v>0</v>
      </c>
    </row>
    <row r="713" spans="12:17" ht="15.75" customHeight="1" x14ac:dyDescent="0.2">
      <c r="L713" s="40"/>
      <c r="Q713" s="84">
        <f t="shared" si="57"/>
        <v>0</v>
      </c>
    </row>
    <row r="714" spans="12:17" ht="15.75" customHeight="1" x14ac:dyDescent="0.2">
      <c r="L714" s="40"/>
      <c r="Q714" s="84">
        <f t="shared" si="57"/>
        <v>0</v>
      </c>
    </row>
    <row r="715" spans="12:17" ht="15.75" customHeight="1" x14ac:dyDescent="0.2">
      <c r="L715" s="40"/>
      <c r="Q715" s="84">
        <f t="shared" si="57"/>
        <v>0</v>
      </c>
    </row>
    <row r="716" spans="12:17" ht="15.75" customHeight="1" x14ac:dyDescent="0.2">
      <c r="L716" s="40"/>
      <c r="Q716" s="84">
        <f t="shared" si="57"/>
        <v>0</v>
      </c>
    </row>
    <row r="717" spans="12:17" ht="15.75" customHeight="1" x14ac:dyDescent="0.2">
      <c r="L717" s="40"/>
      <c r="Q717" s="84">
        <f t="shared" si="57"/>
        <v>0</v>
      </c>
    </row>
    <row r="718" spans="12:17" ht="15.75" customHeight="1" x14ac:dyDescent="0.2">
      <c r="L718" s="40"/>
      <c r="Q718" s="84">
        <f t="shared" si="57"/>
        <v>0</v>
      </c>
    </row>
    <row r="719" spans="12:17" ht="15.75" customHeight="1" x14ac:dyDescent="0.2">
      <c r="L719" s="40"/>
      <c r="Q719" s="84">
        <f t="shared" si="57"/>
        <v>0</v>
      </c>
    </row>
    <row r="720" spans="12:17" ht="15.75" customHeight="1" x14ac:dyDescent="0.2">
      <c r="L720" s="40"/>
      <c r="Q720" s="84">
        <f t="shared" si="57"/>
        <v>0</v>
      </c>
    </row>
    <row r="721" spans="12:17" ht="15.75" customHeight="1" x14ac:dyDescent="0.2">
      <c r="L721" s="40"/>
      <c r="Q721" s="84">
        <f t="shared" si="57"/>
        <v>0</v>
      </c>
    </row>
    <row r="722" spans="12:17" ht="15.75" customHeight="1" x14ac:dyDescent="0.2">
      <c r="L722" s="40"/>
      <c r="Q722" s="84">
        <f t="shared" si="57"/>
        <v>0</v>
      </c>
    </row>
    <row r="723" spans="12:17" ht="15.75" customHeight="1" x14ac:dyDescent="0.2">
      <c r="L723" s="40"/>
      <c r="Q723" s="84">
        <f t="shared" si="57"/>
        <v>0</v>
      </c>
    </row>
    <row r="724" spans="12:17" ht="15.75" customHeight="1" x14ac:dyDescent="0.2">
      <c r="L724" s="40"/>
      <c r="Q724" s="84">
        <f t="shared" si="57"/>
        <v>0</v>
      </c>
    </row>
    <row r="725" spans="12:17" ht="15.75" customHeight="1" x14ac:dyDescent="0.2">
      <c r="L725" s="40"/>
      <c r="Q725" s="84">
        <f t="shared" si="57"/>
        <v>0</v>
      </c>
    </row>
    <row r="726" spans="12:17" ht="15.75" customHeight="1" x14ac:dyDescent="0.2">
      <c r="L726" s="40"/>
      <c r="Q726" s="84">
        <f t="shared" si="57"/>
        <v>0</v>
      </c>
    </row>
    <row r="727" spans="12:17" ht="15.75" customHeight="1" x14ac:dyDescent="0.2">
      <c r="L727" s="40"/>
      <c r="Q727" s="84">
        <f t="shared" si="57"/>
        <v>0</v>
      </c>
    </row>
    <row r="728" spans="12:17" ht="15.75" customHeight="1" x14ac:dyDescent="0.2">
      <c r="L728" s="40"/>
      <c r="Q728" s="84">
        <f t="shared" si="57"/>
        <v>0</v>
      </c>
    </row>
    <row r="729" spans="12:17" ht="15.75" customHeight="1" x14ac:dyDescent="0.2">
      <c r="L729" s="40"/>
      <c r="Q729" s="84">
        <f t="shared" si="57"/>
        <v>0</v>
      </c>
    </row>
    <row r="730" spans="12:17" ht="15.75" customHeight="1" x14ac:dyDescent="0.2">
      <c r="L730" s="40"/>
      <c r="Q730" s="84">
        <f t="shared" si="57"/>
        <v>0</v>
      </c>
    </row>
    <row r="731" spans="12:17" ht="15.75" customHeight="1" x14ac:dyDescent="0.2">
      <c r="L731" s="40"/>
      <c r="Q731" s="84">
        <f t="shared" si="57"/>
        <v>0</v>
      </c>
    </row>
    <row r="732" spans="12:17" ht="15.75" customHeight="1" x14ac:dyDescent="0.2">
      <c r="L732" s="40"/>
      <c r="Q732" s="84">
        <f t="shared" si="57"/>
        <v>0</v>
      </c>
    </row>
    <row r="733" spans="12:17" ht="15.75" customHeight="1" x14ac:dyDescent="0.2">
      <c r="L733" s="40"/>
      <c r="Q733" s="84">
        <f t="shared" si="57"/>
        <v>0</v>
      </c>
    </row>
    <row r="734" spans="12:17" ht="15.75" customHeight="1" x14ac:dyDescent="0.2">
      <c r="L734" s="40"/>
      <c r="Q734" s="84">
        <f t="shared" si="57"/>
        <v>0</v>
      </c>
    </row>
    <row r="735" spans="12:17" ht="15.75" customHeight="1" x14ac:dyDescent="0.2">
      <c r="L735" s="40"/>
      <c r="Q735" s="84">
        <f t="shared" si="57"/>
        <v>0</v>
      </c>
    </row>
    <row r="736" spans="12:17" ht="15.75" customHeight="1" x14ac:dyDescent="0.2">
      <c r="L736" s="40"/>
      <c r="Q736" s="84">
        <f t="shared" si="57"/>
        <v>0</v>
      </c>
    </row>
    <row r="737" spans="12:17" ht="15.75" customHeight="1" x14ac:dyDescent="0.2">
      <c r="L737" s="40"/>
      <c r="Q737" s="84">
        <f t="shared" si="57"/>
        <v>0</v>
      </c>
    </row>
    <row r="738" spans="12:17" ht="15.75" customHeight="1" x14ac:dyDescent="0.2">
      <c r="L738" s="40"/>
      <c r="Q738" s="84">
        <f t="shared" si="57"/>
        <v>0</v>
      </c>
    </row>
    <row r="739" spans="12:17" ht="15.75" customHeight="1" x14ac:dyDescent="0.2">
      <c r="L739" s="40"/>
      <c r="Q739" s="84">
        <f t="shared" si="57"/>
        <v>0</v>
      </c>
    </row>
    <row r="740" spans="12:17" ht="15.75" customHeight="1" x14ac:dyDescent="0.2">
      <c r="L740" s="40"/>
      <c r="Q740" s="84">
        <f t="shared" si="57"/>
        <v>0</v>
      </c>
    </row>
    <row r="741" spans="12:17" ht="15.75" customHeight="1" x14ac:dyDescent="0.2">
      <c r="L741" s="40"/>
      <c r="Q741" s="84">
        <f t="shared" si="57"/>
        <v>0</v>
      </c>
    </row>
    <row r="742" spans="12:17" ht="15.75" customHeight="1" x14ac:dyDescent="0.2">
      <c r="L742" s="40"/>
      <c r="Q742" s="84">
        <f t="shared" si="57"/>
        <v>0</v>
      </c>
    </row>
    <row r="743" spans="12:17" ht="15.75" customHeight="1" x14ac:dyDescent="0.2">
      <c r="L743" s="40"/>
      <c r="Q743" s="84">
        <f t="shared" ref="Q743:Q771" si="58">K743</f>
        <v>0</v>
      </c>
    </row>
    <row r="744" spans="12:17" ht="15.75" customHeight="1" x14ac:dyDescent="0.2">
      <c r="L744" s="40"/>
      <c r="Q744" s="84">
        <f t="shared" si="58"/>
        <v>0</v>
      </c>
    </row>
    <row r="745" spans="12:17" ht="15.75" customHeight="1" x14ac:dyDescent="0.2">
      <c r="L745" s="40"/>
      <c r="Q745" s="84">
        <f t="shared" si="58"/>
        <v>0</v>
      </c>
    </row>
    <row r="746" spans="12:17" ht="15.75" customHeight="1" x14ac:dyDescent="0.2">
      <c r="L746" s="40"/>
      <c r="Q746" s="84">
        <f t="shared" si="58"/>
        <v>0</v>
      </c>
    </row>
    <row r="747" spans="12:17" ht="15.75" customHeight="1" x14ac:dyDescent="0.2">
      <c r="L747" s="40"/>
      <c r="Q747" s="84">
        <f t="shared" si="58"/>
        <v>0</v>
      </c>
    </row>
    <row r="748" spans="12:17" ht="15.75" customHeight="1" x14ac:dyDescent="0.2">
      <c r="L748" s="40"/>
      <c r="Q748" s="84">
        <f t="shared" si="58"/>
        <v>0</v>
      </c>
    </row>
    <row r="749" spans="12:17" ht="15.75" customHeight="1" x14ac:dyDescent="0.2">
      <c r="L749" s="40"/>
      <c r="Q749" s="84">
        <f t="shared" si="58"/>
        <v>0</v>
      </c>
    </row>
    <row r="750" spans="12:17" ht="15.75" customHeight="1" x14ac:dyDescent="0.2">
      <c r="L750" s="40"/>
      <c r="Q750" s="84">
        <f t="shared" si="58"/>
        <v>0</v>
      </c>
    </row>
    <row r="751" spans="12:17" ht="15.75" customHeight="1" x14ac:dyDescent="0.2">
      <c r="L751" s="40"/>
      <c r="Q751" s="84">
        <f t="shared" si="58"/>
        <v>0</v>
      </c>
    </row>
    <row r="752" spans="12:17" ht="15.75" customHeight="1" x14ac:dyDescent="0.2">
      <c r="L752" s="40"/>
      <c r="Q752" s="84">
        <f t="shared" si="58"/>
        <v>0</v>
      </c>
    </row>
    <row r="753" spans="12:17" ht="15.75" customHeight="1" x14ac:dyDescent="0.2">
      <c r="L753" s="40"/>
      <c r="Q753" s="84">
        <f t="shared" si="58"/>
        <v>0</v>
      </c>
    </row>
    <row r="754" spans="12:17" ht="15.75" customHeight="1" x14ac:dyDescent="0.2">
      <c r="L754" s="40"/>
      <c r="Q754" s="84">
        <f t="shared" si="58"/>
        <v>0</v>
      </c>
    </row>
    <row r="755" spans="12:17" ht="15.75" customHeight="1" x14ac:dyDescent="0.2">
      <c r="L755" s="40"/>
      <c r="Q755" s="84">
        <f t="shared" si="58"/>
        <v>0</v>
      </c>
    </row>
    <row r="756" spans="12:17" ht="15.75" customHeight="1" x14ac:dyDescent="0.2">
      <c r="L756" s="40"/>
      <c r="Q756" s="84">
        <f t="shared" si="58"/>
        <v>0</v>
      </c>
    </row>
    <row r="757" spans="12:17" ht="15.75" customHeight="1" x14ac:dyDescent="0.2">
      <c r="L757" s="40"/>
      <c r="Q757" s="84">
        <f t="shared" si="58"/>
        <v>0</v>
      </c>
    </row>
    <row r="758" spans="12:17" ht="15.75" customHeight="1" x14ac:dyDescent="0.2">
      <c r="L758" s="40"/>
      <c r="Q758" s="84">
        <f t="shared" si="58"/>
        <v>0</v>
      </c>
    </row>
    <row r="759" spans="12:17" ht="15.75" customHeight="1" x14ac:dyDescent="0.2">
      <c r="L759" s="40"/>
      <c r="Q759" s="84">
        <f t="shared" si="58"/>
        <v>0</v>
      </c>
    </row>
    <row r="760" spans="12:17" ht="15.75" customHeight="1" x14ac:dyDescent="0.2">
      <c r="L760" s="40"/>
      <c r="Q760" s="84">
        <f t="shared" si="58"/>
        <v>0</v>
      </c>
    </row>
    <row r="761" spans="12:17" ht="15.75" customHeight="1" x14ac:dyDescent="0.2">
      <c r="L761" s="40"/>
      <c r="Q761" s="84">
        <f t="shared" si="58"/>
        <v>0</v>
      </c>
    </row>
    <row r="762" spans="12:17" ht="15.75" customHeight="1" x14ac:dyDescent="0.2">
      <c r="L762" s="40"/>
      <c r="Q762" s="84">
        <f t="shared" si="58"/>
        <v>0</v>
      </c>
    </row>
    <row r="763" spans="12:17" ht="15.75" customHeight="1" x14ac:dyDescent="0.2">
      <c r="L763" s="40"/>
      <c r="Q763" s="84">
        <f t="shared" si="58"/>
        <v>0</v>
      </c>
    </row>
    <row r="764" spans="12:17" ht="15.75" customHeight="1" x14ac:dyDescent="0.2">
      <c r="L764" s="40"/>
      <c r="Q764" s="84">
        <f t="shared" si="58"/>
        <v>0</v>
      </c>
    </row>
    <row r="765" spans="12:17" ht="15.75" customHeight="1" x14ac:dyDescent="0.2">
      <c r="L765" s="40"/>
      <c r="Q765" s="84">
        <f t="shared" si="58"/>
        <v>0</v>
      </c>
    </row>
    <row r="766" spans="12:17" ht="15.75" customHeight="1" x14ac:dyDescent="0.2">
      <c r="L766" s="40"/>
      <c r="Q766" s="84">
        <f t="shared" si="58"/>
        <v>0</v>
      </c>
    </row>
    <row r="767" spans="12:17" ht="15.75" customHeight="1" x14ac:dyDescent="0.2">
      <c r="L767" s="40"/>
      <c r="Q767" s="84">
        <f t="shared" si="58"/>
        <v>0</v>
      </c>
    </row>
    <row r="768" spans="12:17" ht="15.75" customHeight="1" x14ac:dyDescent="0.2">
      <c r="L768" s="40"/>
      <c r="Q768" s="84">
        <f t="shared" si="58"/>
        <v>0</v>
      </c>
    </row>
    <row r="769" spans="12:17" ht="15.75" customHeight="1" x14ac:dyDescent="0.2">
      <c r="L769" s="40"/>
      <c r="Q769" s="84">
        <f t="shared" si="58"/>
        <v>0</v>
      </c>
    </row>
    <row r="770" spans="12:17" ht="15.75" customHeight="1" x14ac:dyDescent="0.2">
      <c r="L770" s="40"/>
      <c r="Q770" s="84">
        <f t="shared" si="58"/>
        <v>0</v>
      </c>
    </row>
    <row r="771" spans="12:17" ht="15.75" customHeight="1" x14ac:dyDescent="0.2">
      <c r="L771" s="40"/>
      <c r="Q771" s="84">
        <f t="shared" si="58"/>
        <v>0</v>
      </c>
    </row>
    <row r="772" spans="12:17" ht="15.75" customHeight="1" x14ac:dyDescent="0.2">
      <c r="L772" s="40"/>
      <c r="Q772" s="84">
        <f t="shared" ref="Q772:Q1000" si="59">K772</f>
        <v>0</v>
      </c>
    </row>
    <row r="773" spans="12:17" ht="15.75" customHeight="1" x14ac:dyDescent="0.2">
      <c r="L773" s="40"/>
      <c r="Q773" s="84">
        <f t="shared" si="59"/>
        <v>0</v>
      </c>
    </row>
    <row r="774" spans="12:17" ht="15.75" customHeight="1" x14ac:dyDescent="0.2">
      <c r="L774" s="40"/>
      <c r="Q774" s="84">
        <f t="shared" si="59"/>
        <v>0</v>
      </c>
    </row>
    <row r="775" spans="12:17" ht="15.75" customHeight="1" x14ac:dyDescent="0.2">
      <c r="L775" s="40"/>
      <c r="Q775" s="84">
        <f t="shared" si="59"/>
        <v>0</v>
      </c>
    </row>
    <row r="776" spans="12:17" ht="15.75" customHeight="1" x14ac:dyDescent="0.2">
      <c r="L776" s="40"/>
      <c r="Q776" s="84">
        <f t="shared" si="59"/>
        <v>0</v>
      </c>
    </row>
    <row r="777" spans="12:17" ht="15.75" customHeight="1" x14ac:dyDescent="0.2">
      <c r="L777" s="40"/>
      <c r="Q777" s="84">
        <f t="shared" si="59"/>
        <v>0</v>
      </c>
    </row>
    <row r="778" spans="12:17" ht="15.75" customHeight="1" x14ac:dyDescent="0.2">
      <c r="L778" s="40"/>
      <c r="Q778" s="84">
        <f t="shared" si="59"/>
        <v>0</v>
      </c>
    </row>
    <row r="779" spans="12:17" ht="15.75" customHeight="1" x14ac:dyDescent="0.2">
      <c r="L779" s="40"/>
      <c r="Q779" s="84">
        <f t="shared" si="59"/>
        <v>0</v>
      </c>
    </row>
    <row r="780" spans="12:17" ht="15.75" customHeight="1" x14ac:dyDescent="0.2">
      <c r="L780" s="40"/>
      <c r="Q780" s="84">
        <f t="shared" si="59"/>
        <v>0</v>
      </c>
    </row>
    <row r="781" spans="12:17" ht="15.75" customHeight="1" x14ac:dyDescent="0.2">
      <c r="L781" s="40"/>
      <c r="Q781" s="84">
        <f t="shared" si="59"/>
        <v>0</v>
      </c>
    </row>
    <row r="782" spans="12:17" ht="15.75" customHeight="1" x14ac:dyDescent="0.2">
      <c r="L782" s="40"/>
      <c r="Q782" s="84">
        <f t="shared" si="59"/>
        <v>0</v>
      </c>
    </row>
    <row r="783" spans="12:17" ht="15.75" customHeight="1" x14ac:dyDescent="0.2">
      <c r="L783" s="40"/>
      <c r="Q783" s="84">
        <f t="shared" si="59"/>
        <v>0</v>
      </c>
    </row>
    <row r="784" spans="12:17" ht="15.75" customHeight="1" x14ac:dyDescent="0.2">
      <c r="L784" s="40"/>
      <c r="Q784" s="84">
        <f t="shared" si="59"/>
        <v>0</v>
      </c>
    </row>
    <row r="785" spans="12:17" ht="15.75" customHeight="1" x14ac:dyDescent="0.2">
      <c r="L785" s="40"/>
      <c r="Q785" s="84">
        <f t="shared" si="59"/>
        <v>0</v>
      </c>
    </row>
    <row r="786" spans="12:17" ht="15.75" customHeight="1" x14ac:dyDescent="0.2">
      <c r="L786" s="40"/>
      <c r="Q786" s="84">
        <f t="shared" si="59"/>
        <v>0</v>
      </c>
    </row>
    <row r="787" spans="12:17" ht="15.75" customHeight="1" x14ac:dyDescent="0.2">
      <c r="L787" s="40"/>
      <c r="Q787" s="84">
        <f t="shared" si="59"/>
        <v>0</v>
      </c>
    </row>
    <row r="788" spans="12:17" ht="15.75" customHeight="1" x14ac:dyDescent="0.2">
      <c r="L788" s="40"/>
      <c r="Q788" s="84">
        <f t="shared" si="59"/>
        <v>0</v>
      </c>
    </row>
    <row r="789" spans="12:17" ht="15.75" customHeight="1" x14ac:dyDescent="0.2">
      <c r="L789" s="40"/>
      <c r="Q789" s="84">
        <f t="shared" si="59"/>
        <v>0</v>
      </c>
    </row>
    <row r="790" spans="12:17" ht="15.75" customHeight="1" x14ac:dyDescent="0.2">
      <c r="L790" s="40"/>
      <c r="Q790" s="84">
        <f t="shared" si="59"/>
        <v>0</v>
      </c>
    </row>
    <row r="791" spans="12:17" ht="15.75" customHeight="1" x14ac:dyDescent="0.2">
      <c r="L791" s="40"/>
      <c r="Q791" s="84">
        <f t="shared" si="59"/>
        <v>0</v>
      </c>
    </row>
    <row r="792" spans="12:17" ht="15.75" customHeight="1" x14ac:dyDescent="0.2">
      <c r="L792" s="40"/>
      <c r="Q792" s="84">
        <f t="shared" si="59"/>
        <v>0</v>
      </c>
    </row>
    <row r="793" spans="12:17" ht="15.75" customHeight="1" x14ac:dyDescent="0.2">
      <c r="L793" s="40"/>
      <c r="Q793" s="84">
        <f t="shared" si="59"/>
        <v>0</v>
      </c>
    </row>
    <row r="794" spans="12:17" ht="15.75" customHeight="1" x14ac:dyDescent="0.2">
      <c r="L794" s="40"/>
      <c r="Q794" s="84">
        <f t="shared" si="59"/>
        <v>0</v>
      </c>
    </row>
    <row r="795" spans="12:17" ht="15.75" customHeight="1" x14ac:dyDescent="0.2">
      <c r="L795" s="40"/>
      <c r="Q795" s="84">
        <f t="shared" si="59"/>
        <v>0</v>
      </c>
    </row>
    <row r="796" spans="12:17" ht="15.75" customHeight="1" x14ac:dyDescent="0.2">
      <c r="L796" s="40"/>
      <c r="Q796" s="84">
        <f t="shared" si="59"/>
        <v>0</v>
      </c>
    </row>
    <row r="797" spans="12:17" ht="15.75" customHeight="1" x14ac:dyDescent="0.2">
      <c r="L797" s="40"/>
      <c r="Q797" s="84">
        <f t="shared" si="59"/>
        <v>0</v>
      </c>
    </row>
    <row r="798" spans="12:17" ht="15.75" customHeight="1" x14ac:dyDescent="0.2">
      <c r="L798" s="40"/>
      <c r="Q798" s="84">
        <f t="shared" si="59"/>
        <v>0</v>
      </c>
    </row>
    <row r="799" spans="12:17" ht="15.75" customHeight="1" x14ac:dyDescent="0.2">
      <c r="L799" s="40"/>
      <c r="Q799" s="84">
        <f t="shared" si="59"/>
        <v>0</v>
      </c>
    </row>
    <row r="800" spans="12:17" ht="15.75" customHeight="1" x14ac:dyDescent="0.2">
      <c r="L800" s="40"/>
      <c r="Q800" s="84">
        <f t="shared" si="59"/>
        <v>0</v>
      </c>
    </row>
    <row r="801" spans="12:17" ht="15.75" customHeight="1" x14ac:dyDescent="0.2">
      <c r="L801" s="40"/>
      <c r="Q801" s="84">
        <f t="shared" si="59"/>
        <v>0</v>
      </c>
    </row>
    <row r="802" spans="12:17" ht="15.75" customHeight="1" x14ac:dyDescent="0.2">
      <c r="L802" s="40"/>
      <c r="Q802" s="84">
        <f t="shared" si="59"/>
        <v>0</v>
      </c>
    </row>
    <row r="803" spans="12:17" ht="15.75" customHeight="1" x14ac:dyDescent="0.2">
      <c r="L803" s="40"/>
      <c r="Q803" s="84">
        <f t="shared" si="59"/>
        <v>0</v>
      </c>
    </row>
    <row r="804" spans="12:17" ht="15.75" customHeight="1" x14ac:dyDescent="0.2">
      <c r="L804" s="40"/>
      <c r="Q804" s="84">
        <f t="shared" si="59"/>
        <v>0</v>
      </c>
    </row>
    <row r="805" spans="12:17" ht="15.75" customHeight="1" x14ac:dyDescent="0.2">
      <c r="L805" s="40"/>
      <c r="Q805" s="84">
        <f t="shared" si="59"/>
        <v>0</v>
      </c>
    </row>
    <row r="806" spans="12:17" ht="15.75" customHeight="1" x14ac:dyDescent="0.2">
      <c r="L806" s="40"/>
      <c r="Q806" s="84">
        <f t="shared" si="59"/>
        <v>0</v>
      </c>
    </row>
    <row r="807" spans="12:17" ht="15.75" customHeight="1" x14ac:dyDescent="0.2">
      <c r="L807" s="40"/>
      <c r="Q807" s="84">
        <f t="shared" si="59"/>
        <v>0</v>
      </c>
    </row>
    <row r="808" spans="12:17" ht="15.75" customHeight="1" x14ac:dyDescent="0.2">
      <c r="L808" s="40"/>
      <c r="Q808" s="84">
        <f t="shared" si="59"/>
        <v>0</v>
      </c>
    </row>
    <row r="809" spans="12:17" ht="15.75" customHeight="1" x14ac:dyDescent="0.2">
      <c r="L809" s="40"/>
      <c r="Q809" s="84">
        <f t="shared" si="59"/>
        <v>0</v>
      </c>
    </row>
    <row r="810" spans="12:17" ht="15.75" customHeight="1" x14ac:dyDescent="0.2">
      <c r="L810" s="40"/>
      <c r="Q810" s="84">
        <f t="shared" si="59"/>
        <v>0</v>
      </c>
    </row>
    <row r="811" spans="12:17" ht="15.75" customHeight="1" x14ac:dyDescent="0.2">
      <c r="L811" s="40"/>
      <c r="Q811" s="84">
        <f t="shared" si="59"/>
        <v>0</v>
      </c>
    </row>
    <row r="812" spans="12:17" ht="15.75" customHeight="1" x14ac:dyDescent="0.2">
      <c r="L812" s="40"/>
      <c r="Q812" s="84">
        <f t="shared" si="59"/>
        <v>0</v>
      </c>
    </row>
    <row r="813" spans="12:17" ht="15.75" customHeight="1" x14ac:dyDescent="0.2">
      <c r="L813" s="40"/>
      <c r="Q813" s="84">
        <f t="shared" si="59"/>
        <v>0</v>
      </c>
    </row>
    <row r="814" spans="12:17" ht="15.75" customHeight="1" x14ac:dyDescent="0.2">
      <c r="L814" s="40"/>
      <c r="Q814" s="84">
        <f t="shared" si="59"/>
        <v>0</v>
      </c>
    </row>
    <row r="815" spans="12:17" ht="15.75" customHeight="1" x14ac:dyDescent="0.2">
      <c r="L815" s="40"/>
      <c r="Q815" s="84">
        <f t="shared" si="59"/>
        <v>0</v>
      </c>
    </row>
    <row r="816" spans="12:17" ht="15.75" customHeight="1" x14ac:dyDescent="0.2">
      <c r="L816" s="40"/>
      <c r="Q816" s="84">
        <f t="shared" si="59"/>
        <v>0</v>
      </c>
    </row>
    <row r="817" spans="12:17" ht="15.75" customHeight="1" x14ac:dyDescent="0.2">
      <c r="L817" s="40"/>
      <c r="Q817" s="84">
        <f t="shared" si="59"/>
        <v>0</v>
      </c>
    </row>
    <row r="818" spans="12:17" ht="15.75" customHeight="1" x14ac:dyDescent="0.2">
      <c r="L818" s="40"/>
      <c r="Q818" s="84">
        <f t="shared" si="59"/>
        <v>0</v>
      </c>
    </row>
    <row r="819" spans="12:17" ht="15.75" customHeight="1" x14ac:dyDescent="0.2">
      <c r="L819" s="40"/>
      <c r="Q819" s="84">
        <f t="shared" si="59"/>
        <v>0</v>
      </c>
    </row>
    <row r="820" spans="12:17" ht="15.75" customHeight="1" x14ac:dyDescent="0.2">
      <c r="L820" s="40"/>
      <c r="Q820" s="84">
        <f t="shared" si="59"/>
        <v>0</v>
      </c>
    </row>
    <row r="821" spans="12:17" ht="15.75" customHeight="1" x14ac:dyDescent="0.2">
      <c r="L821" s="40"/>
      <c r="Q821" s="84">
        <f t="shared" si="59"/>
        <v>0</v>
      </c>
    </row>
    <row r="822" spans="12:17" ht="15.75" customHeight="1" x14ac:dyDescent="0.2">
      <c r="L822" s="40"/>
      <c r="Q822" s="84">
        <f t="shared" si="59"/>
        <v>0</v>
      </c>
    </row>
    <row r="823" spans="12:17" ht="15.75" customHeight="1" x14ac:dyDescent="0.2">
      <c r="L823" s="40"/>
      <c r="Q823" s="84">
        <f t="shared" si="59"/>
        <v>0</v>
      </c>
    </row>
    <row r="824" spans="12:17" ht="15.75" customHeight="1" x14ac:dyDescent="0.2">
      <c r="L824" s="40"/>
      <c r="Q824" s="84">
        <f t="shared" si="59"/>
        <v>0</v>
      </c>
    </row>
    <row r="825" spans="12:17" ht="15.75" customHeight="1" x14ac:dyDescent="0.2">
      <c r="L825" s="40"/>
      <c r="Q825" s="84">
        <f t="shared" si="59"/>
        <v>0</v>
      </c>
    </row>
    <row r="826" spans="12:17" ht="15.75" customHeight="1" x14ac:dyDescent="0.2">
      <c r="L826" s="40"/>
      <c r="Q826" s="84">
        <f t="shared" si="59"/>
        <v>0</v>
      </c>
    </row>
    <row r="827" spans="12:17" ht="15.75" customHeight="1" x14ac:dyDescent="0.2">
      <c r="L827" s="40"/>
      <c r="Q827" s="84">
        <f t="shared" si="59"/>
        <v>0</v>
      </c>
    </row>
    <row r="828" spans="12:17" ht="15.75" customHeight="1" x14ac:dyDescent="0.2">
      <c r="L828" s="40"/>
      <c r="Q828" s="84">
        <f t="shared" si="59"/>
        <v>0</v>
      </c>
    </row>
    <row r="829" spans="12:17" ht="15.75" customHeight="1" x14ac:dyDescent="0.2">
      <c r="L829" s="40"/>
      <c r="Q829" s="84">
        <f t="shared" si="59"/>
        <v>0</v>
      </c>
    </row>
    <row r="830" spans="12:17" ht="15.75" customHeight="1" x14ac:dyDescent="0.2">
      <c r="L830" s="40"/>
      <c r="Q830" s="84">
        <f t="shared" si="59"/>
        <v>0</v>
      </c>
    </row>
    <row r="831" spans="12:17" ht="15.75" customHeight="1" x14ac:dyDescent="0.2">
      <c r="L831" s="40"/>
      <c r="Q831" s="84">
        <f t="shared" si="59"/>
        <v>0</v>
      </c>
    </row>
    <row r="832" spans="12:17" ht="15.75" customHeight="1" x14ac:dyDescent="0.2">
      <c r="L832" s="40"/>
      <c r="Q832" s="84">
        <f t="shared" si="59"/>
        <v>0</v>
      </c>
    </row>
    <row r="833" spans="12:17" ht="15.75" customHeight="1" x14ac:dyDescent="0.2">
      <c r="L833" s="40"/>
      <c r="Q833" s="84">
        <f t="shared" si="59"/>
        <v>0</v>
      </c>
    </row>
    <row r="834" spans="12:17" ht="15.75" customHeight="1" x14ac:dyDescent="0.2">
      <c r="L834" s="40"/>
      <c r="Q834" s="84">
        <f t="shared" si="59"/>
        <v>0</v>
      </c>
    </row>
    <row r="835" spans="12:17" ht="15.75" customHeight="1" x14ac:dyDescent="0.2">
      <c r="L835" s="40"/>
      <c r="Q835" s="84">
        <f t="shared" si="59"/>
        <v>0</v>
      </c>
    </row>
    <row r="836" spans="12:17" ht="15.75" customHeight="1" x14ac:dyDescent="0.2">
      <c r="L836" s="40"/>
      <c r="Q836" s="84">
        <f t="shared" si="59"/>
        <v>0</v>
      </c>
    </row>
    <row r="837" spans="12:17" ht="15.75" customHeight="1" x14ac:dyDescent="0.2">
      <c r="L837" s="40"/>
      <c r="Q837" s="84">
        <f t="shared" si="59"/>
        <v>0</v>
      </c>
    </row>
    <row r="838" spans="12:17" ht="15.75" customHeight="1" x14ac:dyDescent="0.2">
      <c r="L838" s="40"/>
      <c r="Q838" s="84">
        <f t="shared" si="59"/>
        <v>0</v>
      </c>
    </row>
    <row r="839" spans="12:17" ht="15.75" customHeight="1" x14ac:dyDescent="0.2">
      <c r="L839" s="40"/>
      <c r="Q839" s="84">
        <f t="shared" si="59"/>
        <v>0</v>
      </c>
    </row>
    <row r="840" spans="12:17" ht="15.75" customHeight="1" x14ac:dyDescent="0.2">
      <c r="L840" s="40"/>
      <c r="Q840" s="84">
        <f t="shared" si="59"/>
        <v>0</v>
      </c>
    </row>
    <row r="841" spans="12:17" ht="15.75" customHeight="1" x14ac:dyDescent="0.2">
      <c r="L841" s="40"/>
      <c r="Q841" s="84">
        <f t="shared" si="59"/>
        <v>0</v>
      </c>
    </row>
    <row r="842" spans="12:17" ht="15.75" customHeight="1" x14ac:dyDescent="0.2">
      <c r="L842" s="40"/>
      <c r="Q842" s="84">
        <f t="shared" si="59"/>
        <v>0</v>
      </c>
    </row>
    <row r="843" spans="12:17" ht="15.75" customHeight="1" x14ac:dyDescent="0.2">
      <c r="L843" s="40"/>
      <c r="Q843" s="84">
        <f t="shared" si="59"/>
        <v>0</v>
      </c>
    </row>
    <row r="844" spans="12:17" ht="15.75" customHeight="1" x14ac:dyDescent="0.2">
      <c r="L844" s="40"/>
      <c r="Q844" s="84">
        <f t="shared" si="59"/>
        <v>0</v>
      </c>
    </row>
    <row r="845" spans="12:17" ht="15.75" customHeight="1" x14ac:dyDescent="0.2">
      <c r="L845" s="40"/>
      <c r="Q845" s="84">
        <f t="shared" si="59"/>
        <v>0</v>
      </c>
    </row>
    <row r="846" spans="12:17" ht="15.75" customHeight="1" x14ac:dyDescent="0.2">
      <c r="L846" s="40"/>
      <c r="Q846" s="84">
        <f t="shared" si="59"/>
        <v>0</v>
      </c>
    </row>
    <row r="847" spans="12:17" ht="15.75" customHeight="1" x14ac:dyDescent="0.2">
      <c r="L847" s="40"/>
      <c r="Q847" s="84">
        <f t="shared" si="59"/>
        <v>0</v>
      </c>
    </row>
    <row r="848" spans="12:17" ht="15.75" customHeight="1" x14ac:dyDescent="0.2">
      <c r="L848" s="40"/>
      <c r="Q848" s="84">
        <f t="shared" si="59"/>
        <v>0</v>
      </c>
    </row>
    <row r="849" spans="12:17" ht="15.75" customHeight="1" x14ac:dyDescent="0.2">
      <c r="L849" s="40"/>
      <c r="Q849" s="84">
        <f t="shared" si="59"/>
        <v>0</v>
      </c>
    </row>
    <row r="850" spans="12:17" ht="15.75" customHeight="1" x14ac:dyDescent="0.2">
      <c r="L850" s="40"/>
      <c r="Q850" s="84">
        <f t="shared" si="59"/>
        <v>0</v>
      </c>
    </row>
    <row r="851" spans="12:17" ht="15.75" customHeight="1" x14ac:dyDescent="0.2">
      <c r="L851" s="40"/>
      <c r="Q851" s="84">
        <f t="shared" si="59"/>
        <v>0</v>
      </c>
    </row>
    <row r="852" spans="12:17" ht="15.75" customHeight="1" x14ac:dyDescent="0.2">
      <c r="L852" s="40"/>
      <c r="Q852" s="84">
        <f t="shared" si="59"/>
        <v>0</v>
      </c>
    </row>
    <row r="853" spans="12:17" ht="15.75" customHeight="1" x14ac:dyDescent="0.2">
      <c r="L853" s="40"/>
      <c r="Q853" s="84">
        <f t="shared" si="59"/>
        <v>0</v>
      </c>
    </row>
    <row r="854" spans="12:17" ht="15.75" customHeight="1" x14ac:dyDescent="0.2">
      <c r="L854" s="40"/>
      <c r="Q854" s="84">
        <f t="shared" si="59"/>
        <v>0</v>
      </c>
    </row>
    <row r="855" spans="12:17" ht="15.75" customHeight="1" x14ac:dyDescent="0.2">
      <c r="L855" s="40"/>
      <c r="Q855" s="84">
        <f t="shared" si="59"/>
        <v>0</v>
      </c>
    </row>
    <row r="856" spans="12:17" ht="15.75" customHeight="1" x14ac:dyDescent="0.2">
      <c r="L856" s="40"/>
      <c r="Q856" s="84">
        <f t="shared" si="59"/>
        <v>0</v>
      </c>
    </row>
    <row r="857" spans="12:17" ht="15.75" customHeight="1" x14ac:dyDescent="0.2">
      <c r="L857" s="40"/>
      <c r="Q857" s="84">
        <f t="shared" si="59"/>
        <v>0</v>
      </c>
    </row>
    <row r="858" spans="12:17" ht="15.75" customHeight="1" x14ac:dyDescent="0.2">
      <c r="L858" s="40"/>
      <c r="Q858" s="84">
        <f t="shared" si="59"/>
        <v>0</v>
      </c>
    </row>
    <row r="859" spans="12:17" ht="15.75" customHeight="1" x14ac:dyDescent="0.2">
      <c r="L859" s="40"/>
      <c r="Q859" s="84">
        <f t="shared" si="59"/>
        <v>0</v>
      </c>
    </row>
    <row r="860" spans="12:17" ht="15.75" customHeight="1" x14ac:dyDescent="0.2">
      <c r="L860" s="40"/>
      <c r="Q860" s="84">
        <f t="shared" si="59"/>
        <v>0</v>
      </c>
    </row>
    <row r="861" spans="12:17" ht="15.75" customHeight="1" x14ac:dyDescent="0.2">
      <c r="L861" s="40"/>
      <c r="Q861" s="84">
        <f t="shared" si="59"/>
        <v>0</v>
      </c>
    </row>
    <row r="862" spans="12:17" ht="15.75" customHeight="1" x14ac:dyDescent="0.2">
      <c r="L862" s="40"/>
      <c r="Q862" s="84">
        <f t="shared" si="59"/>
        <v>0</v>
      </c>
    </row>
    <row r="863" spans="12:17" ht="15.75" customHeight="1" x14ac:dyDescent="0.2">
      <c r="L863" s="40"/>
      <c r="Q863" s="84">
        <f t="shared" si="59"/>
        <v>0</v>
      </c>
    </row>
    <row r="864" spans="12:17" ht="15.75" customHeight="1" x14ac:dyDescent="0.2">
      <c r="L864" s="40"/>
      <c r="Q864" s="84">
        <f t="shared" si="59"/>
        <v>0</v>
      </c>
    </row>
    <row r="865" spans="12:17" ht="15.75" customHeight="1" x14ac:dyDescent="0.2">
      <c r="L865" s="40"/>
      <c r="Q865" s="84">
        <f t="shared" si="59"/>
        <v>0</v>
      </c>
    </row>
    <row r="866" spans="12:17" ht="15.75" customHeight="1" x14ac:dyDescent="0.2">
      <c r="L866" s="40"/>
      <c r="Q866" s="84">
        <f t="shared" si="59"/>
        <v>0</v>
      </c>
    </row>
    <row r="867" spans="12:17" ht="15.75" customHeight="1" x14ac:dyDescent="0.2">
      <c r="L867" s="40"/>
      <c r="Q867" s="84">
        <f t="shared" si="59"/>
        <v>0</v>
      </c>
    </row>
    <row r="868" spans="12:17" ht="15.75" customHeight="1" x14ac:dyDescent="0.2">
      <c r="L868" s="40"/>
      <c r="Q868" s="84">
        <f t="shared" si="59"/>
        <v>0</v>
      </c>
    </row>
    <row r="869" spans="12:17" ht="15.75" customHeight="1" x14ac:dyDescent="0.2">
      <c r="L869" s="40"/>
      <c r="Q869" s="84">
        <f t="shared" si="59"/>
        <v>0</v>
      </c>
    </row>
    <row r="870" spans="12:17" ht="15.75" customHeight="1" x14ac:dyDescent="0.2">
      <c r="L870" s="40"/>
      <c r="Q870" s="84">
        <f t="shared" si="59"/>
        <v>0</v>
      </c>
    </row>
    <row r="871" spans="12:17" ht="15.75" customHeight="1" x14ac:dyDescent="0.2">
      <c r="L871" s="40"/>
      <c r="Q871" s="84">
        <f t="shared" si="59"/>
        <v>0</v>
      </c>
    </row>
    <row r="872" spans="12:17" ht="15.75" customHeight="1" x14ac:dyDescent="0.2">
      <c r="L872" s="40"/>
      <c r="Q872" s="84">
        <f t="shared" si="59"/>
        <v>0</v>
      </c>
    </row>
    <row r="873" spans="12:17" ht="15.75" customHeight="1" x14ac:dyDescent="0.2">
      <c r="L873" s="40"/>
      <c r="Q873" s="84">
        <f t="shared" si="59"/>
        <v>0</v>
      </c>
    </row>
    <row r="874" spans="12:17" ht="15.75" customHeight="1" x14ac:dyDescent="0.2">
      <c r="L874" s="40"/>
      <c r="Q874" s="84">
        <f t="shared" si="59"/>
        <v>0</v>
      </c>
    </row>
    <row r="875" spans="12:17" ht="15.75" customHeight="1" x14ac:dyDescent="0.2">
      <c r="L875" s="40"/>
      <c r="Q875" s="84">
        <f t="shared" si="59"/>
        <v>0</v>
      </c>
    </row>
    <row r="876" spans="12:17" ht="15.75" customHeight="1" x14ac:dyDescent="0.2">
      <c r="L876" s="40"/>
      <c r="Q876" s="84">
        <f t="shared" si="59"/>
        <v>0</v>
      </c>
    </row>
    <row r="877" spans="12:17" ht="15.75" customHeight="1" x14ac:dyDescent="0.2">
      <c r="L877" s="40"/>
      <c r="Q877" s="84">
        <f t="shared" si="59"/>
        <v>0</v>
      </c>
    </row>
    <row r="878" spans="12:17" ht="15.75" customHeight="1" x14ac:dyDescent="0.2">
      <c r="L878" s="40"/>
      <c r="Q878" s="84">
        <f t="shared" si="59"/>
        <v>0</v>
      </c>
    </row>
    <row r="879" spans="12:17" ht="15.75" customHeight="1" x14ac:dyDescent="0.2">
      <c r="L879" s="40"/>
      <c r="Q879" s="84">
        <f t="shared" si="59"/>
        <v>0</v>
      </c>
    </row>
    <row r="880" spans="12:17" ht="15.75" customHeight="1" x14ac:dyDescent="0.2">
      <c r="L880" s="40"/>
      <c r="Q880" s="84">
        <f t="shared" si="59"/>
        <v>0</v>
      </c>
    </row>
    <row r="881" spans="12:17" ht="15.75" customHeight="1" x14ac:dyDescent="0.2">
      <c r="L881" s="40"/>
      <c r="Q881" s="84">
        <f t="shared" si="59"/>
        <v>0</v>
      </c>
    </row>
    <row r="882" spans="12:17" ht="15.75" customHeight="1" x14ac:dyDescent="0.2">
      <c r="L882" s="40"/>
      <c r="Q882" s="84">
        <f t="shared" si="59"/>
        <v>0</v>
      </c>
    </row>
    <row r="883" spans="12:17" ht="15.75" customHeight="1" x14ac:dyDescent="0.2">
      <c r="L883" s="40"/>
      <c r="Q883" s="84">
        <f t="shared" si="59"/>
        <v>0</v>
      </c>
    </row>
    <row r="884" spans="12:17" ht="15.75" customHeight="1" x14ac:dyDescent="0.2">
      <c r="L884" s="40"/>
      <c r="Q884" s="84">
        <f t="shared" si="59"/>
        <v>0</v>
      </c>
    </row>
    <row r="885" spans="12:17" ht="15.75" customHeight="1" x14ac:dyDescent="0.2">
      <c r="L885" s="40"/>
      <c r="Q885" s="84">
        <f t="shared" si="59"/>
        <v>0</v>
      </c>
    </row>
    <row r="886" spans="12:17" ht="15.75" customHeight="1" x14ac:dyDescent="0.2">
      <c r="L886" s="40"/>
      <c r="Q886" s="84">
        <f t="shared" si="59"/>
        <v>0</v>
      </c>
    </row>
    <row r="887" spans="12:17" ht="15.75" customHeight="1" x14ac:dyDescent="0.2">
      <c r="L887" s="40"/>
      <c r="Q887" s="84">
        <f t="shared" si="59"/>
        <v>0</v>
      </c>
    </row>
    <row r="888" spans="12:17" ht="15.75" customHeight="1" x14ac:dyDescent="0.2">
      <c r="L888" s="40"/>
      <c r="Q888" s="84">
        <f t="shared" si="59"/>
        <v>0</v>
      </c>
    </row>
    <row r="889" spans="12:17" ht="15.75" customHeight="1" x14ac:dyDescent="0.2">
      <c r="L889" s="40"/>
      <c r="Q889" s="84">
        <f t="shared" si="59"/>
        <v>0</v>
      </c>
    </row>
    <row r="890" spans="12:17" ht="15.75" customHeight="1" x14ac:dyDescent="0.2">
      <c r="L890" s="40"/>
      <c r="Q890" s="84">
        <f t="shared" si="59"/>
        <v>0</v>
      </c>
    </row>
    <row r="891" spans="12:17" ht="15.75" customHeight="1" x14ac:dyDescent="0.2">
      <c r="L891" s="40"/>
      <c r="Q891" s="84">
        <f t="shared" si="59"/>
        <v>0</v>
      </c>
    </row>
    <row r="892" spans="12:17" ht="15.75" customHeight="1" x14ac:dyDescent="0.2">
      <c r="L892" s="40"/>
      <c r="Q892" s="84">
        <f t="shared" si="59"/>
        <v>0</v>
      </c>
    </row>
    <row r="893" spans="12:17" ht="15.75" customHeight="1" x14ac:dyDescent="0.2">
      <c r="L893" s="40"/>
      <c r="Q893" s="84">
        <f t="shared" si="59"/>
        <v>0</v>
      </c>
    </row>
    <row r="894" spans="12:17" ht="15.75" customHeight="1" x14ac:dyDescent="0.2">
      <c r="L894" s="40"/>
      <c r="Q894" s="84">
        <f t="shared" si="59"/>
        <v>0</v>
      </c>
    </row>
    <row r="895" spans="12:17" ht="15.75" customHeight="1" x14ac:dyDescent="0.2">
      <c r="L895" s="40"/>
      <c r="Q895" s="84">
        <f t="shared" si="59"/>
        <v>0</v>
      </c>
    </row>
    <row r="896" spans="12:17" ht="15.75" customHeight="1" x14ac:dyDescent="0.2">
      <c r="L896" s="40"/>
      <c r="Q896" s="84">
        <f t="shared" si="59"/>
        <v>0</v>
      </c>
    </row>
    <row r="897" spans="12:17" ht="15.75" customHeight="1" x14ac:dyDescent="0.2">
      <c r="L897" s="40"/>
      <c r="Q897" s="84">
        <f t="shared" si="59"/>
        <v>0</v>
      </c>
    </row>
    <row r="898" spans="12:17" ht="15.75" customHeight="1" x14ac:dyDescent="0.2">
      <c r="L898" s="40"/>
      <c r="Q898" s="84">
        <f t="shared" si="59"/>
        <v>0</v>
      </c>
    </row>
    <row r="899" spans="12:17" ht="15.75" customHeight="1" x14ac:dyDescent="0.2">
      <c r="L899" s="40"/>
      <c r="Q899" s="84">
        <f t="shared" si="59"/>
        <v>0</v>
      </c>
    </row>
    <row r="900" spans="12:17" ht="15.75" customHeight="1" x14ac:dyDescent="0.2">
      <c r="L900" s="40"/>
      <c r="Q900" s="84">
        <f t="shared" si="59"/>
        <v>0</v>
      </c>
    </row>
    <row r="901" spans="12:17" ht="15.75" customHeight="1" x14ac:dyDescent="0.2">
      <c r="L901" s="40"/>
      <c r="Q901" s="84">
        <f t="shared" si="59"/>
        <v>0</v>
      </c>
    </row>
    <row r="902" spans="12:17" ht="15.75" customHeight="1" x14ac:dyDescent="0.2">
      <c r="L902" s="40"/>
      <c r="Q902" s="84">
        <f t="shared" si="59"/>
        <v>0</v>
      </c>
    </row>
    <row r="903" spans="12:17" ht="15.75" customHeight="1" x14ac:dyDescent="0.2">
      <c r="L903" s="40"/>
      <c r="Q903" s="84">
        <f t="shared" si="59"/>
        <v>0</v>
      </c>
    </row>
    <row r="904" spans="12:17" ht="15.75" customHeight="1" x14ac:dyDescent="0.2">
      <c r="L904" s="40"/>
      <c r="Q904" s="84">
        <f t="shared" si="59"/>
        <v>0</v>
      </c>
    </row>
    <row r="905" spans="12:17" ht="15.75" customHeight="1" x14ac:dyDescent="0.2">
      <c r="L905" s="40"/>
      <c r="Q905" s="84">
        <f t="shared" si="59"/>
        <v>0</v>
      </c>
    </row>
    <row r="906" spans="12:17" ht="15.75" customHeight="1" x14ac:dyDescent="0.2">
      <c r="L906" s="40"/>
      <c r="Q906" s="84">
        <f t="shared" si="59"/>
        <v>0</v>
      </c>
    </row>
    <row r="907" spans="12:17" ht="15.75" customHeight="1" x14ac:dyDescent="0.2">
      <c r="L907" s="40"/>
      <c r="Q907" s="84">
        <f t="shared" si="59"/>
        <v>0</v>
      </c>
    </row>
    <row r="908" spans="12:17" ht="15.75" customHeight="1" x14ac:dyDescent="0.2">
      <c r="L908" s="40"/>
      <c r="Q908" s="84">
        <f t="shared" si="59"/>
        <v>0</v>
      </c>
    </row>
    <row r="909" spans="12:17" ht="15.75" customHeight="1" x14ac:dyDescent="0.2">
      <c r="L909" s="40"/>
      <c r="Q909" s="84">
        <f t="shared" si="59"/>
        <v>0</v>
      </c>
    </row>
    <row r="910" spans="12:17" ht="15.75" customHeight="1" x14ac:dyDescent="0.2">
      <c r="L910" s="40"/>
      <c r="Q910" s="84">
        <f t="shared" si="59"/>
        <v>0</v>
      </c>
    </row>
    <row r="911" spans="12:17" ht="15.75" customHeight="1" x14ac:dyDescent="0.2">
      <c r="L911" s="40"/>
      <c r="Q911" s="84">
        <f t="shared" si="59"/>
        <v>0</v>
      </c>
    </row>
    <row r="912" spans="12:17" ht="15.75" customHeight="1" x14ac:dyDescent="0.2">
      <c r="L912" s="40"/>
      <c r="Q912" s="84">
        <f t="shared" si="59"/>
        <v>0</v>
      </c>
    </row>
    <row r="913" spans="12:17" ht="15.75" customHeight="1" x14ac:dyDescent="0.2">
      <c r="L913" s="40"/>
      <c r="Q913" s="84">
        <f t="shared" si="59"/>
        <v>0</v>
      </c>
    </row>
    <row r="914" spans="12:17" ht="15.75" customHeight="1" x14ac:dyDescent="0.2">
      <c r="L914" s="40"/>
      <c r="Q914" s="84">
        <f t="shared" si="59"/>
        <v>0</v>
      </c>
    </row>
    <row r="915" spans="12:17" ht="15.75" customHeight="1" x14ac:dyDescent="0.2">
      <c r="L915" s="40"/>
      <c r="Q915" s="84">
        <f t="shared" si="59"/>
        <v>0</v>
      </c>
    </row>
    <row r="916" spans="12:17" ht="15.75" customHeight="1" x14ac:dyDescent="0.2">
      <c r="L916" s="40"/>
      <c r="Q916" s="84">
        <f t="shared" si="59"/>
        <v>0</v>
      </c>
    </row>
    <row r="917" spans="12:17" ht="15.75" customHeight="1" x14ac:dyDescent="0.2">
      <c r="L917" s="40"/>
      <c r="Q917" s="84">
        <f t="shared" si="59"/>
        <v>0</v>
      </c>
    </row>
    <row r="918" spans="12:17" ht="15.75" customHeight="1" x14ac:dyDescent="0.2">
      <c r="L918" s="40"/>
      <c r="Q918" s="84">
        <f t="shared" si="59"/>
        <v>0</v>
      </c>
    </row>
    <row r="919" spans="12:17" ht="15.75" customHeight="1" x14ac:dyDescent="0.2">
      <c r="L919" s="40"/>
      <c r="Q919" s="84">
        <f t="shared" si="59"/>
        <v>0</v>
      </c>
    </row>
    <row r="920" spans="12:17" ht="15.75" customHeight="1" x14ac:dyDescent="0.2">
      <c r="L920" s="40"/>
      <c r="Q920" s="84">
        <f t="shared" si="59"/>
        <v>0</v>
      </c>
    </row>
    <row r="921" spans="12:17" ht="15.75" customHeight="1" x14ac:dyDescent="0.2">
      <c r="L921" s="40"/>
      <c r="Q921" s="84">
        <f t="shared" si="59"/>
        <v>0</v>
      </c>
    </row>
    <row r="922" spans="12:17" ht="15.75" customHeight="1" x14ac:dyDescent="0.2">
      <c r="L922" s="40"/>
      <c r="Q922" s="84">
        <f t="shared" si="59"/>
        <v>0</v>
      </c>
    </row>
    <row r="923" spans="12:17" ht="15.75" customHeight="1" x14ac:dyDescent="0.2">
      <c r="L923" s="40"/>
      <c r="Q923" s="84">
        <f t="shared" si="59"/>
        <v>0</v>
      </c>
    </row>
    <row r="924" spans="12:17" ht="15.75" customHeight="1" x14ac:dyDescent="0.2">
      <c r="L924" s="40"/>
      <c r="Q924" s="84">
        <f t="shared" si="59"/>
        <v>0</v>
      </c>
    </row>
    <row r="925" spans="12:17" ht="15.75" customHeight="1" x14ac:dyDescent="0.2">
      <c r="L925" s="40"/>
      <c r="Q925" s="84">
        <f t="shared" si="59"/>
        <v>0</v>
      </c>
    </row>
    <row r="926" spans="12:17" ht="15.75" customHeight="1" x14ac:dyDescent="0.2">
      <c r="L926" s="40"/>
      <c r="Q926" s="84">
        <f t="shared" si="59"/>
        <v>0</v>
      </c>
    </row>
    <row r="927" spans="12:17" ht="15.75" customHeight="1" x14ac:dyDescent="0.2">
      <c r="L927" s="40"/>
      <c r="Q927" s="84">
        <f t="shared" si="59"/>
        <v>0</v>
      </c>
    </row>
    <row r="928" spans="12:17" ht="15.75" customHeight="1" x14ac:dyDescent="0.2">
      <c r="L928" s="40"/>
      <c r="Q928" s="84">
        <f t="shared" si="59"/>
        <v>0</v>
      </c>
    </row>
    <row r="929" spans="12:17" ht="15.75" customHeight="1" x14ac:dyDescent="0.2">
      <c r="L929" s="40"/>
      <c r="Q929" s="84">
        <f t="shared" si="59"/>
        <v>0</v>
      </c>
    </row>
    <row r="930" spans="12:17" ht="15.75" customHeight="1" x14ac:dyDescent="0.2">
      <c r="L930" s="40"/>
      <c r="Q930" s="84">
        <f t="shared" si="59"/>
        <v>0</v>
      </c>
    </row>
    <row r="931" spans="12:17" ht="15.75" customHeight="1" x14ac:dyDescent="0.2">
      <c r="L931" s="40"/>
      <c r="Q931" s="84">
        <f t="shared" si="59"/>
        <v>0</v>
      </c>
    </row>
    <row r="932" spans="12:17" ht="15.75" customHeight="1" x14ac:dyDescent="0.2">
      <c r="L932" s="40"/>
      <c r="Q932" s="84">
        <f t="shared" si="59"/>
        <v>0</v>
      </c>
    </row>
    <row r="933" spans="12:17" ht="15.75" customHeight="1" x14ac:dyDescent="0.2">
      <c r="L933" s="40"/>
      <c r="Q933" s="84">
        <f t="shared" si="59"/>
        <v>0</v>
      </c>
    </row>
    <row r="934" spans="12:17" ht="15.75" customHeight="1" x14ac:dyDescent="0.2">
      <c r="L934" s="40"/>
      <c r="Q934" s="84">
        <f t="shared" si="59"/>
        <v>0</v>
      </c>
    </row>
    <row r="935" spans="12:17" ht="15.75" customHeight="1" x14ac:dyDescent="0.2">
      <c r="L935" s="40"/>
      <c r="Q935" s="84">
        <f t="shared" si="59"/>
        <v>0</v>
      </c>
    </row>
    <row r="936" spans="12:17" ht="15.75" customHeight="1" x14ac:dyDescent="0.2">
      <c r="L936" s="40"/>
      <c r="Q936" s="84">
        <f t="shared" si="59"/>
        <v>0</v>
      </c>
    </row>
    <row r="937" spans="12:17" ht="15.75" customHeight="1" x14ac:dyDescent="0.2">
      <c r="L937" s="40"/>
      <c r="Q937" s="84">
        <f t="shared" si="59"/>
        <v>0</v>
      </c>
    </row>
    <row r="938" spans="12:17" ht="15.75" customHeight="1" x14ac:dyDescent="0.2">
      <c r="L938" s="40"/>
      <c r="Q938" s="84">
        <f t="shared" si="59"/>
        <v>0</v>
      </c>
    </row>
    <row r="939" spans="12:17" ht="15.75" customHeight="1" x14ac:dyDescent="0.2">
      <c r="L939" s="40"/>
      <c r="Q939" s="84">
        <f t="shared" si="59"/>
        <v>0</v>
      </c>
    </row>
    <row r="940" spans="12:17" ht="15.75" customHeight="1" x14ac:dyDescent="0.2">
      <c r="L940" s="40"/>
      <c r="Q940" s="84">
        <f t="shared" si="59"/>
        <v>0</v>
      </c>
    </row>
    <row r="941" spans="12:17" ht="15.75" customHeight="1" x14ac:dyDescent="0.2">
      <c r="L941" s="40"/>
      <c r="Q941" s="84">
        <f t="shared" si="59"/>
        <v>0</v>
      </c>
    </row>
    <row r="942" spans="12:17" ht="15.75" customHeight="1" x14ac:dyDescent="0.2">
      <c r="L942" s="40"/>
      <c r="Q942" s="84">
        <f t="shared" si="59"/>
        <v>0</v>
      </c>
    </row>
    <row r="943" spans="12:17" ht="15.75" customHeight="1" x14ac:dyDescent="0.2">
      <c r="L943" s="40"/>
      <c r="Q943" s="84">
        <f t="shared" si="59"/>
        <v>0</v>
      </c>
    </row>
    <row r="944" spans="12:17" ht="15.75" customHeight="1" x14ac:dyDescent="0.2">
      <c r="L944" s="40"/>
      <c r="Q944" s="84">
        <f t="shared" si="59"/>
        <v>0</v>
      </c>
    </row>
    <row r="945" spans="12:17" ht="15.75" customHeight="1" x14ac:dyDescent="0.2">
      <c r="L945" s="40"/>
      <c r="Q945" s="84">
        <f t="shared" si="59"/>
        <v>0</v>
      </c>
    </row>
    <row r="946" spans="12:17" ht="15.75" customHeight="1" x14ac:dyDescent="0.2">
      <c r="L946" s="40"/>
      <c r="Q946" s="84">
        <f t="shared" si="59"/>
        <v>0</v>
      </c>
    </row>
    <row r="947" spans="12:17" ht="15.75" customHeight="1" x14ac:dyDescent="0.2">
      <c r="L947" s="40"/>
      <c r="Q947" s="84">
        <f t="shared" si="59"/>
        <v>0</v>
      </c>
    </row>
    <row r="948" spans="12:17" ht="15.75" customHeight="1" x14ac:dyDescent="0.2">
      <c r="L948" s="40"/>
      <c r="Q948" s="84">
        <f t="shared" si="59"/>
        <v>0</v>
      </c>
    </row>
    <row r="949" spans="12:17" ht="15.75" customHeight="1" x14ac:dyDescent="0.2">
      <c r="L949" s="40"/>
      <c r="Q949" s="84">
        <f t="shared" si="59"/>
        <v>0</v>
      </c>
    </row>
    <row r="950" spans="12:17" ht="15.75" customHeight="1" x14ac:dyDescent="0.2">
      <c r="L950" s="40"/>
      <c r="Q950" s="84">
        <f t="shared" si="59"/>
        <v>0</v>
      </c>
    </row>
    <row r="951" spans="12:17" ht="15.75" customHeight="1" x14ac:dyDescent="0.2">
      <c r="L951" s="40"/>
      <c r="Q951" s="84">
        <f t="shared" si="59"/>
        <v>0</v>
      </c>
    </row>
    <row r="952" spans="12:17" ht="15.75" customHeight="1" x14ac:dyDescent="0.2">
      <c r="L952" s="40"/>
      <c r="Q952" s="84">
        <f t="shared" si="59"/>
        <v>0</v>
      </c>
    </row>
    <row r="953" spans="12:17" ht="15.75" customHeight="1" x14ac:dyDescent="0.2">
      <c r="L953" s="40"/>
      <c r="Q953" s="84">
        <f t="shared" si="59"/>
        <v>0</v>
      </c>
    </row>
    <row r="954" spans="12:17" ht="15.75" customHeight="1" x14ac:dyDescent="0.2">
      <c r="L954" s="40"/>
      <c r="Q954" s="84">
        <f t="shared" si="59"/>
        <v>0</v>
      </c>
    </row>
    <row r="955" spans="12:17" ht="15.75" customHeight="1" x14ac:dyDescent="0.2">
      <c r="L955" s="40"/>
      <c r="Q955" s="84">
        <f t="shared" si="59"/>
        <v>0</v>
      </c>
    </row>
    <row r="956" spans="12:17" ht="15.75" customHeight="1" x14ac:dyDescent="0.2">
      <c r="L956" s="40"/>
      <c r="Q956" s="84">
        <f t="shared" si="59"/>
        <v>0</v>
      </c>
    </row>
    <row r="957" spans="12:17" ht="15.75" customHeight="1" x14ac:dyDescent="0.2">
      <c r="L957" s="40"/>
      <c r="Q957" s="84">
        <f t="shared" si="59"/>
        <v>0</v>
      </c>
    </row>
    <row r="958" spans="12:17" ht="15.75" customHeight="1" x14ac:dyDescent="0.2">
      <c r="L958" s="40"/>
      <c r="Q958" s="84">
        <f t="shared" si="59"/>
        <v>0</v>
      </c>
    </row>
    <row r="959" spans="12:17" ht="15.75" customHeight="1" x14ac:dyDescent="0.2">
      <c r="L959" s="40"/>
      <c r="Q959" s="84">
        <f t="shared" si="59"/>
        <v>0</v>
      </c>
    </row>
    <row r="960" spans="12:17" ht="15.75" customHeight="1" x14ac:dyDescent="0.2">
      <c r="L960" s="40"/>
      <c r="Q960" s="84">
        <f t="shared" si="59"/>
        <v>0</v>
      </c>
    </row>
    <row r="961" spans="12:17" ht="15.75" customHeight="1" x14ac:dyDescent="0.2">
      <c r="L961" s="40"/>
      <c r="Q961" s="84">
        <f t="shared" si="59"/>
        <v>0</v>
      </c>
    </row>
    <row r="962" spans="12:17" ht="15.75" customHeight="1" x14ac:dyDescent="0.2">
      <c r="L962" s="40"/>
      <c r="Q962" s="84">
        <f t="shared" si="59"/>
        <v>0</v>
      </c>
    </row>
    <row r="963" spans="12:17" ht="15.75" customHeight="1" x14ac:dyDescent="0.2">
      <c r="L963" s="40"/>
      <c r="Q963" s="84">
        <f t="shared" si="59"/>
        <v>0</v>
      </c>
    </row>
    <row r="964" spans="12:17" ht="15.75" customHeight="1" x14ac:dyDescent="0.2">
      <c r="L964" s="40"/>
      <c r="Q964" s="84">
        <f t="shared" si="59"/>
        <v>0</v>
      </c>
    </row>
    <row r="965" spans="12:17" ht="15.75" customHeight="1" x14ac:dyDescent="0.2">
      <c r="L965" s="40"/>
      <c r="Q965" s="84">
        <f t="shared" si="59"/>
        <v>0</v>
      </c>
    </row>
    <row r="966" spans="12:17" ht="15.75" customHeight="1" x14ac:dyDescent="0.2">
      <c r="L966" s="40"/>
      <c r="Q966" s="84">
        <f t="shared" si="59"/>
        <v>0</v>
      </c>
    </row>
    <row r="967" spans="12:17" ht="15.75" customHeight="1" x14ac:dyDescent="0.2">
      <c r="L967" s="40"/>
      <c r="Q967" s="84">
        <f t="shared" si="59"/>
        <v>0</v>
      </c>
    </row>
    <row r="968" spans="12:17" ht="15.75" customHeight="1" x14ac:dyDescent="0.2">
      <c r="L968" s="40"/>
      <c r="Q968" s="84">
        <f t="shared" si="59"/>
        <v>0</v>
      </c>
    </row>
    <row r="969" spans="12:17" ht="15.75" customHeight="1" x14ac:dyDescent="0.2">
      <c r="L969" s="40"/>
      <c r="Q969" s="84">
        <f t="shared" si="59"/>
        <v>0</v>
      </c>
    </row>
    <row r="970" spans="12:17" ht="15.75" customHeight="1" x14ac:dyDescent="0.2">
      <c r="L970" s="40"/>
      <c r="Q970" s="84">
        <f t="shared" si="59"/>
        <v>0</v>
      </c>
    </row>
    <row r="971" spans="12:17" ht="15.75" customHeight="1" x14ac:dyDescent="0.2">
      <c r="L971" s="40"/>
      <c r="Q971" s="84">
        <f t="shared" si="59"/>
        <v>0</v>
      </c>
    </row>
    <row r="972" spans="12:17" ht="15.75" customHeight="1" x14ac:dyDescent="0.2">
      <c r="L972" s="40"/>
      <c r="Q972" s="84">
        <f t="shared" si="59"/>
        <v>0</v>
      </c>
    </row>
    <row r="973" spans="12:17" ht="15.75" customHeight="1" x14ac:dyDescent="0.2">
      <c r="L973" s="40"/>
      <c r="Q973" s="84">
        <f t="shared" si="59"/>
        <v>0</v>
      </c>
    </row>
    <row r="974" spans="12:17" ht="15.75" customHeight="1" x14ac:dyDescent="0.2">
      <c r="L974" s="40"/>
      <c r="Q974" s="84">
        <f t="shared" si="59"/>
        <v>0</v>
      </c>
    </row>
    <row r="975" spans="12:17" ht="15.75" customHeight="1" x14ac:dyDescent="0.2">
      <c r="L975" s="40"/>
      <c r="Q975" s="84">
        <f t="shared" si="59"/>
        <v>0</v>
      </c>
    </row>
    <row r="976" spans="12:17" ht="15.75" customHeight="1" x14ac:dyDescent="0.2">
      <c r="L976" s="40"/>
      <c r="Q976" s="84">
        <f t="shared" si="59"/>
        <v>0</v>
      </c>
    </row>
    <row r="977" spans="12:17" ht="15.75" customHeight="1" x14ac:dyDescent="0.2">
      <c r="L977" s="40"/>
      <c r="Q977" s="84">
        <f t="shared" si="59"/>
        <v>0</v>
      </c>
    </row>
    <row r="978" spans="12:17" ht="15.75" customHeight="1" x14ac:dyDescent="0.2">
      <c r="L978" s="40"/>
      <c r="Q978" s="84">
        <f t="shared" si="59"/>
        <v>0</v>
      </c>
    </row>
    <row r="979" spans="12:17" ht="15.75" customHeight="1" x14ac:dyDescent="0.2">
      <c r="L979" s="40"/>
      <c r="Q979" s="84">
        <f t="shared" si="59"/>
        <v>0</v>
      </c>
    </row>
    <row r="980" spans="12:17" ht="15.75" customHeight="1" x14ac:dyDescent="0.2">
      <c r="L980" s="40"/>
      <c r="Q980" s="84">
        <f t="shared" si="59"/>
        <v>0</v>
      </c>
    </row>
    <row r="981" spans="12:17" ht="15.75" customHeight="1" x14ac:dyDescent="0.2">
      <c r="L981" s="40"/>
      <c r="Q981" s="84">
        <f t="shared" si="59"/>
        <v>0</v>
      </c>
    </row>
    <row r="982" spans="12:17" ht="15.75" customHeight="1" x14ac:dyDescent="0.2">
      <c r="L982" s="40"/>
      <c r="Q982" s="84">
        <f t="shared" si="59"/>
        <v>0</v>
      </c>
    </row>
    <row r="983" spans="12:17" ht="15.75" customHeight="1" x14ac:dyDescent="0.2">
      <c r="L983" s="40"/>
      <c r="Q983" s="84">
        <f t="shared" si="59"/>
        <v>0</v>
      </c>
    </row>
    <row r="984" spans="12:17" ht="15.75" customHeight="1" x14ac:dyDescent="0.2">
      <c r="L984" s="40"/>
      <c r="Q984" s="84">
        <f t="shared" si="59"/>
        <v>0</v>
      </c>
    </row>
    <row r="985" spans="12:17" ht="15.75" customHeight="1" x14ac:dyDescent="0.2">
      <c r="L985" s="40"/>
      <c r="Q985" s="84">
        <f t="shared" si="59"/>
        <v>0</v>
      </c>
    </row>
    <row r="986" spans="12:17" ht="15.75" customHeight="1" x14ac:dyDescent="0.2">
      <c r="L986" s="40"/>
      <c r="Q986" s="84">
        <f t="shared" si="59"/>
        <v>0</v>
      </c>
    </row>
    <row r="987" spans="12:17" ht="15.75" customHeight="1" x14ac:dyDescent="0.2">
      <c r="L987" s="40"/>
      <c r="Q987" s="84">
        <f t="shared" si="59"/>
        <v>0</v>
      </c>
    </row>
    <row r="988" spans="12:17" ht="15.75" customHeight="1" x14ac:dyDescent="0.2">
      <c r="L988" s="40"/>
      <c r="Q988" s="84">
        <f t="shared" si="59"/>
        <v>0</v>
      </c>
    </row>
    <row r="989" spans="12:17" ht="15.75" customHeight="1" x14ac:dyDescent="0.2">
      <c r="L989" s="40"/>
      <c r="Q989" s="84">
        <f t="shared" si="59"/>
        <v>0</v>
      </c>
    </row>
    <row r="990" spans="12:17" ht="15.75" customHeight="1" x14ac:dyDescent="0.2">
      <c r="L990" s="40"/>
      <c r="Q990" s="84">
        <f t="shared" si="59"/>
        <v>0</v>
      </c>
    </row>
    <row r="991" spans="12:17" ht="15.75" customHeight="1" x14ac:dyDescent="0.2">
      <c r="L991" s="40"/>
      <c r="Q991" s="84">
        <f t="shared" si="59"/>
        <v>0</v>
      </c>
    </row>
    <row r="992" spans="12:17" ht="15.75" customHeight="1" x14ac:dyDescent="0.2">
      <c r="L992" s="40"/>
      <c r="Q992" s="84">
        <f t="shared" si="59"/>
        <v>0</v>
      </c>
    </row>
    <row r="993" spans="12:17" ht="15.75" customHeight="1" x14ac:dyDescent="0.2">
      <c r="L993" s="40"/>
      <c r="Q993" s="84">
        <f t="shared" si="59"/>
        <v>0</v>
      </c>
    </row>
    <row r="994" spans="12:17" ht="15.75" customHeight="1" x14ac:dyDescent="0.2">
      <c r="L994" s="40"/>
      <c r="Q994" s="84">
        <f t="shared" si="59"/>
        <v>0</v>
      </c>
    </row>
    <row r="995" spans="12:17" ht="15.75" customHeight="1" x14ac:dyDescent="0.2">
      <c r="L995" s="40"/>
      <c r="Q995" s="84">
        <f t="shared" si="59"/>
        <v>0</v>
      </c>
    </row>
    <row r="996" spans="12:17" ht="15.75" customHeight="1" x14ac:dyDescent="0.2">
      <c r="L996" s="40"/>
      <c r="Q996" s="84">
        <f t="shared" si="59"/>
        <v>0</v>
      </c>
    </row>
    <row r="997" spans="12:17" ht="15.75" customHeight="1" x14ac:dyDescent="0.2">
      <c r="L997" s="40"/>
      <c r="Q997" s="84">
        <f t="shared" si="59"/>
        <v>0</v>
      </c>
    </row>
    <row r="998" spans="12:17" ht="15.75" customHeight="1" x14ac:dyDescent="0.2">
      <c r="L998" s="40"/>
      <c r="Q998" s="84">
        <f t="shared" si="59"/>
        <v>0</v>
      </c>
    </row>
    <row r="999" spans="12:17" ht="15.75" customHeight="1" x14ac:dyDescent="0.2">
      <c r="L999" s="40"/>
      <c r="Q999" s="84">
        <f t="shared" si="59"/>
        <v>0</v>
      </c>
    </row>
    <row r="1000" spans="12:17" ht="15.75" customHeight="1" x14ac:dyDescent="0.2">
      <c r="L1000" s="40"/>
      <c r="Q1000" s="84">
        <f t="shared" si="59"/>
        <v>0</v>
      </c>
    </row>
  </sheetData>
  <sheetProtection sheet="1" objects="1" scenarios="1" formatColumns="0" formatRows="0" sort="0" autoFilter="0"/>
  <mergeCells count="3">
    <mergeCell ref="B2:Q2"/>
    <mergeCell ref="B4:D4"/>
    <mergeCell ref="E4:I4"/>
  </mergeCells>
  <conditionalFormatting sqref="N7:N646">
    <cfRule type="expression" dxfId="0" priority="1">
      <formula>AND(N7="S",T7&gt;1)</formula>
    </cfRule>
  </conditionalFormatting>
  <dataValidations count="4">
    <dataValidation type="list" allowBlank="1" showErrorMessage="1" sqref="L7:L1000" xr:uid="{00000000-0002-0000-0400-000000000000}">
      <formula1>"AT1,AT2.,FI,FJ,0"</formula1>
    </dataValidation>
    <dataValidation type="list" allowBlank="1" showErrorMessage="1" sqref="L5" xr:uid="{00000000-0002-0000-0400-000001000000}">
      <formula1>"Opção 1,Opção 2"</formula1>
    </dataValidation>
    <dataValidation type="list" allowBlank="1" showErrorMessage="1" sqref="N7:N646" xr:uid="{00000000-0002-0000-0400-000002000000}">
      <formula1>"-,N,S"</formula1>
    </dataValidation>
    <dataValidation type="list" errorStyle="information" allowBlank="1" showInputMessage="1" showErrorMessage="1" errorTitle="Lugar da Dupla" error="Valores válidos: 1, 2, 3 ou Outro (vazio = não premiado nesse dia)." promptTitle="Lugar Dupla" prompt="Lugar da dupla no desafio desse dia. Deixar vazio se não aplicável." sqref="O7:O646" xr:uid="{985F8C37-317D-4D46-AB12-6AFE866D4A64}">
      <formula1>"1,2,3,Outro"</formula1>
    </dataValidation>
  </dataValidation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000"/>
  <sheetViews>
    <sheetView showGridLines="0" topLeftCell="A6" workbookViewId="0"/>
  </sheetViews>
  <sheetFormatPr baseColWidth="10" defaultColWidth="14.5" defaultRowHeight="15" customHeight="1" x14ac:dyDescent="0.2"/>
  <cols>
    <col min="1" max="1" width="3" customWidth="1"/>
    <col min="2" max="2" width="24" customWidth="1"/>
    <col min="3" max="7" width="14" customWidth="1"/>
    <col min="8" max="8" width="3" customWidth="1"/>
    <col min="9" max="9" width="24" customWidth="1"/>
    <col min="10" max="14" width="14" customWidth="1"/>
    <col min="15" max="26" width="8.6640625" customWidth="1"/>
  </cols>
  <sheetData>
    <row r="1" spans="2:14" ht="9.75" customHeight="1" x14ac:dyDescent="0.2"/>
    <row r="2" spans="2:14" ht="45" customHeight="1" x14ac:dyDescent="0.2">
      <c r="B2" s="143" t="s">
        <v>232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</row>
    <row r="3" spans="2:14" ht="9.75" customHeight="1" x14ac:dyDescent="0.2"/>
    <row r="4" spans="2:14" ht="24.75" customHeight="1" x14ac:dyDescent="0.2">
      <c r="B4" s="121" t="s">
        <v>233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20"/>
    </row>
    <row r="5" spans="2:14" ht="42.75" customHeight="1" x14ac:dyDescent="0.2">
      <c r="B5" s="153" t="s">
        <v>234</v>
      </c>
      <c r="C5" s="132"/>
      <c r="D5" s="132"/>
      <c r="E5" s="132"/>
      <c r="F5" s="132"/>
      <c r="G5" s="133"/>
      <c r="I5" s="93" t="s">
        <v>235</v>
      </c>
      <c r="J5" s="94">
        <v>1</v>
      </c>
      <c r="K5" s="154" t="s">
        <v>236</v>
      </c>
      <c r="L5" s="119"/>
      <c r="M5" s="119"/>
      <c r="N5" s="155"/>
    </row>
    <row r="6" spans="2:14" ht="39.75" customHeight="1" x14ac:dyDescent="0.2">
      <c r="B6" s="60" t="s">
        <v>237</v>
      </c>
      <c r="C6" s="9" t="s">
        <v>238</v>
      </c>
      <c r="D6" s="1" t="s">
        <v>239</v>
      </c>
      <c r="E6" s="45" t="s">
        <v>240</v>
      </c>
      <c r="F6" s="2" t="s">
        <v>241</v>
      </c>
      <c r="G6" s="95" t="s">
        <v>242</v>
      </c>
      <c r="I6" s="9" t="s">
        <v>237</v>
      </c>
      <c r="J6" s="9" t="s">
        <v>238</v>
      </c>
      <c r="K6" s="1" t="s">
        <v>239</v>
      </c>
      <c r="L6" s="45" t="s">
        <v>240</v>
      </c>
      <c r="M6" s="2" t="s">
        <v>241</v>
      </c>
      <c r="N6" s="95" t="s">
        <v>242</v>
      </c>
    </row>
    <row r="7" spans="2:14" ht="21.75" customHeight="1" x14ac:dyDescent="0.2">
      <c r="B7" s="80" t="str">
        <f>'⚙️ Configuração'!C30</f>
        <v>Carla Cantante</v>
      </c>
      <c r="C7" s="96">
        <f>IF(SUMIF('📋 Registo Diário'!$D$7:$D$646,'⚙️ Configuração'!C30,'📋 Registo Diário'!$F$7:$F$646)=0,"-",ROUND(SUMIF('📋 Registo Diário'!$D$7:$D$646,'⚙️ Configuração'!C30,'📋 Registo Diário'!$E$7:$E$646)/SUMIF('📋 Registo Diário'!$D$7:$D$646,'⚙️ Configuração'!C30,'📋 Registo Diário'!$F$7:$F$646),1))</f>
        <v>6</v>
      </c>
      <c r="D7" s="97">
        <f>IF(SUMIF('📋 Registo Diário'!$D$7:$D$646,'⚙️ Configuração'!C30,'📋 Registo Diário'!$G$7:$G$646)=0,"-",ROUND(SUMIF('📋 Registo Diário'!$D$7:$D$646,'⚙️ Configuração'!C30,'📋 Registo Diário'!$F$7:$F$646)/SUMIF('📋 Registo Diário'!$D$7:$D$646,'⚙️ Configuração'!C30,'📋 Registo Diário'!$G$7:$G$646),1))</f>
        <v>5</v>
      </c>
      <c r="E7" s="98" t="str">
        <f>IF(SUMIF('📋 Registo Diário'!$D$7:$D$646,'⚙️ Configuração'!C30,'📋 Registo Diário'!$H$7:$H$646)=0,"-",ROUND(SUMIF('📋 Registo Diário'!$D$7:$D$646,'⚙️ Configuração'!C30,'📋 Registo Diário'!$F$7:$F$646)/SUMIF('📋 Registo Diário'!$D$7:$D$646,'⚙️ Configuração'!C30,'📋 Registo Diário'!$H$7:$H$646),1))</f>
        <v>-</v>
      </c>
      <c r="F7" s="99" t="str">
        <f>IF(SUMIF('📋 Registo Diário'!$D$7:$D$646,'⚙️ Configuração'!C30,'📋 Registo Diário'!$I$7:$I$646)=0,"-",ROUND(SUMIF('📋 Registo Diário'!$D$7:$D$646,'⚙️ Configuração'!C30,'📋 Registo Diário'!$H$7:$H$646)/SUMIF('📋 Registo Diário'!$D$7:$D$646,'⚙️ Configuração'!C30,'📋 Registo Diário'!$I$7:$I$646),1))</f>
        <v>-</v>
      </c>
      <c r="G7" s="100" t="str">
        <f>IF(SUMIF('📋 Registo Diário'!$D$7:$D$646,'⚙️ Configuração'!C30,'📋 Registo Diário'!$I$7:$I$646)=0,"-",ROUND(SUMIF('📋 Registo Diário'!$D$7:$D$646,'⚙️ Configuração'!C30,'📋 Registo Diário'!$E$7:$E$646)/SUMIF('📋 Registo Diário'!$D$7:$D$646,'⚙️ Configuração'!C30,'📋 Registo Diário'!$I$7:$I$646),1))</f>
        <v>-</v>
      </c>
      <c r="I7" s="80" t="str">
        <f>'⚙️ Configuração'!C30</f>
        <v>Carla Cantante</v>
      </c>
      <c r="J7" s="96">
        <f>IF(SUMIFS('📋 Registo Diário'!$F$7:$F$646,'📋 Registo Diário'!$D$7:$D$646,'⚙️ Configuração'!C30,'📋 Registo Diário'!$B$7:$B$646,"Semana "&amp;$J$5)=0,"-",ROUND(SUMIFS('📋 Registo Diário'!$E$7:$E$646,'📋 Registo Diário'!$D$7:$D$646,'⚙️ Configuração'!C30,'📋 Registo Diário'!$B$7:$B$646,"Semana "&amp;$J$5)/SUMIFS('📋 Registo Diário'!$F$7:$F$646,'📋 Registo Diário'!$D$7:$D$646,'⚙️ Configuração'!C30,'📋 Registo Diário'!$B$7:$B$646,"Semana "&amp;$J$5),1))</f>
        <v>6</v>
      </c>
      <c r="K7" s="97">
        <f>IF(SUMIFS('📋 Registo Diário'!$G$7:$G$646,'📋 Registo Diário'!$D$7:$D$646,'⚙️ Configuração'!C30,'📋 Registo Diário'!$B$7:$B$646,"Semana "&amp;$J$5)=0,"-",ROUND(SUMIFS('📋 Registo Diário'!$F$7:$F$646,'📋 Registo Diário'!$D$7:$D$646,'⚙️ Configuração'!C30,'📋 Registo Diário'!$B$7:$B$646,"Semana "&amp;$J$5)/SUMIFS('📋 Registo Diário'!$G$7:$G$646,'📋 Registo Diário'!$D$7:$D$646,'⚙️ Configuração'!C30,'📋 Registo Diário'!$B$7:$B$646,"Semana "&amp;$J$5),1))</f>
        <v>5</v>
      </c>
      <c r="L7" s="98" t="str">
        <f>IF(SUMIFS('📋 Registo Diário'!$H$7:$H$646,'📋 Registo Diário'!$D$7:$D$646,'⚙️ Configuração'!C30,'📋 Registo Diário'!$B$7:$B$646,"Semana "&amp;$J$5)=0,"-",ROUND(SUMIFS('📋 Registo Diário'!$F$7:$F$646,'📋 Registo Diário'!$D$7:$D$646,'⚙️ Configuração'!C30,'📋 Registo Diário'!$B$7:$B$646,"Semana "&amp;$J$5)/SUMIFS('📋 Registo Diário'!$H$7:$H$646,'📋 Registo Diário'!$D$7:$D$646,'⚙️ Configuração'!C30,'📋 Registo Diário'!$B$7:$B$646,"Semana "&amp;$J$5),1))</f>
        <v>-</v>
      </c>
      <c r="M7" s="99" t="str">
        <f>IF(SUMIFS('📋 Registo Diário'!$I$7:$I$646,'📋 Registo Diário'!$D$7:$D$646,'⚙️ Configuração'!C30,'📋 Registo Diário'!$B$7:$B$646,"Semana "&amp;$J$5)=0,"-",ROUND(SUMIFS('📋 Registo Diário'!$H$7:$H$646,'📋 Registo Diário'!$D$7:$D$646,'⚙️ Configuração'!C30,'📋 Registo Diário'!$B$7:$B$646,"Semana "&amp;$J$5)/SUMIFS('📋 Registo Diário'!$I$7:$I$646,'📋 Registo Diário'!$D$7:$D$646,'⚙️ Configuração'!C30,'📋 Registo Diário'!$B$7:$B$646,"Semana "&amp;$J$5),1))</f>
        <v>-</v>
      </c>
      <c r="N7" s="100" t="str">
        <f>IF(SUMIFS('📋 Registo Diário'!$I$7:$I$646,'📋 Registo Diário'!$D$7:$D$646,'⚙️ Configuração'!C30,'📋 Registo Diário'!$B$7:$B$646,"Semana "&amp;$J$5)=0,"-",ROUND(SUMIFS('📋 Registo Diário'!$E$7:$E$646,'📋 Registo Diário'!$D$7:$D$646,'⚙️ Configuração'!C30,'📋 Registo Diário'!$B$7:$B$646,"Semana "&amp;$J$5)/SUMIFS('📋 Registo Diário'!$I$7:$I$646,'📋 Registo Diário'!$D$7:$D$646,'⚙️ Configuração'!C30,'📋 Registo Diário'!$B$7:$B$646,"Semana "&amp;$J$5),1))</f>
        <v>-</v>
      </c>
    </row>
    <row r="8" spans="2:14" ht="21.75" customHeight="1" x14ac:dyDescent="0.2">
      <c r="B8" s="87" t="str">
        <f>'⚙️ Configuração'!C31</f>
        <v>Elisabete Mendes</v>
      </c>
      <c r="C8" s="96">
        <f>IF(SUMIF('📋 Registo Diário'!$D$7:$D$646,'⚙️ Configuração'!C31,'📋 Registo Diário'!$F$7:$F$646)=0,"-",ROUND(SUMIF('📋 Registo Diário'!$D$7:$D$646,'⚙️ Configuração'!C31,'📋 Registo Diário'!$E$7:$E$646)/SUMIF('📋 Registo Diário'!$D$7:$D$646,'⚙️ Configuração'!C31,'📋 Registo Diário'!$F$7:$F$646),1))</f>
        <v>9.5</v>
      </c>
      <c r="D8" s="97" t="str">
        <f>IF(SUMIF('📋 Registo Diário'!$D$7:$D$646,'⚙️ Configuração'!C31,'📋 Registo Diário'!$G$7:$G$646)=0,"-",ROUND(SUMIF('📋 Registo Diário'!$D$7:$D$646,'⚙️ Configuração'!C31,'📋 Registo Diário'!$F$7:$F$646)/SUMIF('📋 Registo Diário'!$D$7:$D$646,'⚙️ Configuração'!C31,'📋 Registo Diário'!$G$7:$G$646),1))</f>
        <v>-</v>
      </c>
      <c r="E8" s="98" t="str">
        <f>IF(SUMIF('📋 Registo Diário'!$D$7:$D$646,'⚙️ Configuração'!C31,'📋 Registo Diário'!$H$7:$H$646)=0,"-",ROUND(SUMIF('📋 Registo Diário'!$D$7:$D$646,'⚙️ Configuração'!C31,'📋 Registo Diário'!$F$7:$F$646)/SUMIF('📋 Registo Diário'!$D$7:$D$646,'⚙️ Configuração'!C31,'📋 Registo Diário'!$H$7:$H$646),1))</f>
        <v>-</v>
      </c>
      <c r="F8" s="99" t="str">
        <f>IF(SUMIF('📋 Registo Diário'!$D$7:$D$646,'⚙️ Configuração'!C31,'📋 Registo Diário'!$I$7:$I$646)=0,"-",ROUND(SUMIF('📋 Registo Diário'!$D$7:$D$646,'⚙️ Configuração'!C31,'📋 Registo Diário'!$H$7:$H$646)/SUMIF('📋 Registo Diário'!$D$7:$D$646,'⚙️ Configuração'!C31,'📋 Registo Diário'!$I$7:$I$646),1))</f>
        <v>-</v>
      </c>
      <c r="G8" s="100" t="str">
        <f>IF(SUMIF('📋 Registo Diário'!$D$7:$D$646,'⚙️ Configuração'!C31,'📋 Registo Diário'!$I$7:$I$646)=0,"-",ROUND(SUMIF('📋 Registo Diário'!$D$7:$D$646,'⚙️ Configuração'!C31,'📋 Registo Diário'!$E$7:$E$646)/SUMIF('📋 Registo Diário'!$D$7:$D$646,'⚙️ Configuração'!C31,'📋 Registo Diário'!$I$7:$I$646),1))</f>
        <v>-</v>
      </c>
      <c r="I8" s="87" t="str">
        <f>'⚙️ Configuração'!C31</f>
        <v>Elisabete Mendes</v>
      </c>
      <c r="J8" s="96">
        <f>IF(SUMIFS('📋 Registo Diário'!$F$7:$F$646,'📋 Registo Diário'!$D$7:$D$646,'⚙️ Configuração'!C31,'📋 Registo Diário'!$B$7:$B$646,"Semana "&amp;$J$5)=0,"-",ROUND(SUMIFS('📋 Registo Diário'!$E$7:$E$646,'📋 Registo Diário'!$D$7:$D$646,'⚙️ Configuração'!C31,'📋 Registo Diário'!$B$7:$B$646,"Semana "&amp;$J$5)/SUMIFS('📋 Registo Diário'!$F$7:$F$646,'📋 Registo Diário'!$D$7:$D$646,'⚙️ Configuração'!C31,'📋 Registo Diário'!$B$7:$B$646,"Semana "&amp;$J$5),1))</f>
        <v>9.5</v>
      </c>
      <c r="K8" s="97" t="str">
        <f>IF(SUMIFS('📋 Registo Diário'!$G$7:$G$646,'📋 Registo Diário'!$D$7:$D$646,'⚙️ Configuração'!C31,'📋 Registo Diário'!$B$7:$B$646,"Semana "&amp;$J$5)=0,"-",ROUND(SUMIFS('📋 Registo Diário'!$F$7:$F$646,'📋 Registo Diário'!$D$7:$D$646,'⚙️ Configuração'!C31,'📋 Registo Diário'!$B$7:$B$646,"Semana "&amp;$J$5)/SUMIFS('📋 Registo Diário'!$G$7:$G$646,'📋 Registo Diário'!$D$7:$D$646,'⚙️ Configuração'!C31,'📋 Registo Diário'!$B$7:$B$646,"Semana "&amp;$J$5),1))</f>
        <v>-</v>
      </c>
      <c r="L8" s="98" t="str">
        <f>IF(SUMIFS('📋 Registo Diário'!$H$7:$H$646,'📋 Registo Diário'!$D$7:$D$646,'⚙️ Configuração'!C31,'📋 Registo Diário'!$B$7:$B$646,"Semana "&amp;$J$5)=0,"-",ROUND(SUMIFS('📋 Registo Diário'!$F$7:$F$646,'📋 Registo Diário'!$D$7:$D$646,'⚙️ Configuração'!C31,'📋 Registo Diário'!$B$7:$B$646,"Semana "&amp;$J$5)/SUMIFS('📋 Registo Diário'!$H$7:$H$646,'📋 Registo Diário'!$D$7:$D$646,'⚙️ Configuração'!C31,'📋 Registo Diário'!$B$7:$B$646,"Semana "&amp;$J$5),1))</f>
        <v>-</v>
      </c>
      <c r="M8" s="99" t="str">
        <f>IF(SUMIFS('📋 Registo Diário'!$I$7:$I$646,'📋 Registo Diário'!$D$7:$D$646,'⚙️ Configuração'!C31,'📋 Registo Diário'!$B$7:$B$646,"Semana "&amp;$J$5)=0,"-",ROUND(SUMIFS('📋 Registo Diário'!$H$7:$H$646,'📋 Registo Diário'!$D$7:$D$646,'⚙️ Configuração'!C31,'📋 Registo Diário'!$B$7:$B$646,"Semana "&amp;$J$5)/SUMIFS('📋 Registo Diário'!$I$7:$I$646,'📋 Registo Diário'!$D$7:$D$646,'⚙️ Configuração'!C31,'📋 Registo Diário'!$B$7:$B$646,"Semana "&amp;$J$5),1))</f>
        <v>-</v>
      </c>
      <c r="N8" s="100" t="str">
        <f>IF(SUMIFS('📋 Registo Diário'!$I$7:$I$646,'📋 Registo Diário'!$D$7:$D$646,'⚙️ Configuração'!C31,'📋 Registo Diário'!$B$7:$B$646,"Semana "&amp;$J$5)=0,"-",ROUND(SUMIFS('📋 Registo Diário'!$E$7:$E$646,'📋 Registo Diário'!$D$7:$D$646,'⚙️ Configuração'!C31,'📋 Registo Diário'!$B$7:$B$646,"Semana "&amp;$J$5)/SUMIFS('📋 Registo Diário'!$I$7:$I$646,'📋 Registo Diário'!$D$7:$D$646,'⚙️ Configuração'!C31,'📋 Registo Diário'!$B$7:$B$646,"Semana "&amp;$J$5),1))</f>
        <v>-</v>
      </c>
    </row>
    <row r="9" spans="2:14" ht="21.75" customHeight="1" x14ac:dyDescent="0.2">
      <c r="B9" s="80" t="str">
        <f>'⚙️ Configuração'!C32</f>
        <v>Filipa Cunha</v>
      </c>
      <c r="C9" s="96">
        <f>IF(SUMIF('📋 Registo Diário'!$D$7:$D$646,'⚙️ Configuração'!C32,'📋 Registo Diário'!$F$7:$F$646)=0,"-",ROUND(SUMIF('📋 Registo Diário'!$D$7:$D$646,'⚙️ Configuração'!C32,'📋 Registo Diário'!$E$7:$E$646)/SUMIF('📋 Registo Diário'!$D$7:$D$646,'⚙️ Configuração'!C32,'📋 Registo Diário'!$F$7:$F$646),1))</f>
        <v>5.0999999999999996</v>
      </c>
      <c r="D9" s="97">
        <f>IF(SUMIF('📋 Registo Diário'!$D$7:$D$646,'⚙️ Configuração'!C32,'📋 Registo Diário'!$G$7:$G$646)=0,"-",ROUND(SUMIF('📋 Registo Diário'!$D$7:$D$646,'⚙️ Configuração'!C32,'📋 Registo Diário'!$F$7:$F$646)/SUMIF('📋 Registo Diário'!$D$7:$D$646,'⚙️ Configuração'!C32,'📋 Registo Diário'!$G$7:$G$646),1))</f>
        <v>4.5</v>
      </c>
      <c r="E9" s="98" t="str">
        <f>IF(SUMIF('📋 Registo Diário'!$D$7:$D$646,'⚙️ Configuração'!C32,'📋 Registo Diário'!$H$7:$H$646)=0,"-",ROUND(SUMIF('📋 Registo Diário'!$D$7:$D$646,'⚙️ Configuração'!C32,'📋 Registo Diário'!$F$7:$F$646)/SUMIF('📋 Registo Diário'!$D$7:$D$646,'⚙️ Configuração'!C32,'📋 Registo Diário'!$H$7:$H$646),1))</f>
        <v>-</v>
      </c>
      <c r="F9" s="99" t="str">
        <f>IF(SUMIF('📋 Registo Diário'!$D$7:$D$646,'⚙️ Configuração'!C32,'📋 Registo Diário'!$I$7:$I$646)=0,"-",ROUND(SUMIF('📋 Registo Diário'!$D$7:$D$646,'⚙️ Configuração'!C32,'📋 Registo Diário'!$H$7:$H$646)/SUMIF('📋 Registo Diário'!$D$7:$D$646,'⚙️ Configuração'!C32,'📋 Registo Diário'!$I$7:$I$646),1))</f>
        <v>-</v>
      </c>
      <c r="G9" s="100" t="str">
        <f>IF(SUMIF('📋 Registo Diário'!$D$7:$D$646,'⚙️ Configuração'!C32,'📋 Registo Diário'!$I$7:$I$646)=0,"-",ROUND(SUMIF('📋 Registo Diário'!$D$7:$D$646,'⚙️ Configuração'!C32,'📋 Registo Diário'!$E$7:$E$646)/SUMIF('📋 Registo Diário'!$D$7:$D$646,'⚙️ Configuração'!C32,'📋 Registo Diário'!$I$7:$I$646),1))</f>
        <v>-</v>
      </c>
      <c r="I9" s="80" t="str">
        <f>'⚙️ Configuração'!C32</f>
        <v>Filipa Cunha</v>
      </c>
      <c r="J9" s="96">
        <f>IF(SUMIFS('📋 Registo Diário'!$F$7:$F$646,'📋 Registo Diário'!$D$7:$D$646,'⚙️ Configuração'!C32,'📋 Registo Diário'!$B$7:$B$646,"Semana "&amp;$J$5)=0,"-",ROUND(SUMIFS('📋 Registo Diário'!$E$7:$E$646,'📋 Registo Diário'!$D$7:$D$646,'⚙️ Configuração'!C32,'📋 Registo Diário'!$B$7:$B$646,"Semana "&amp;$J$5)/SUMIFS('📋 Registo Diário'!$F$7:$F$646,'📋 Registo Diário'!$D$7:$D$646,'⚙️ Configuração'!C32,'📋 Registo Diário'!$B$7:$B$646,"Semana "&amp;$J$5),1))</f>
        <v>5.0999999999999996</v>
      </c>
      <c r="K9" s="97">
        <f>IF(SUMIFS('📋 Registo Diário'!$G$7:$G$646,'📋 Registo Diário'!$D$7:$D$646,'⚙️ Configuração'!C32,'📋 Registo Diário'!$B$7:$B$646,"Semana "&amp;$J$5)=0,"-",ROUND(SUMIFS('📋 Registo Diário'!$F$7:$F$646,'📋 Registo Diário'!$D$7:$D$646,'⚙️ Configuração'!C32,'📋 Registo Diário'!$B$7:$B$646,"Semana "&amp;$J$5)/SUMIFS('📋 Registo Diário'!$G$7:$G$646,'📋 Registo Diário'!$D$7:$D$646,'⚙️ Configuração'!C32,'📋 Registo Diário'!$B$7:$B$646,"Semana "&amp;$J$5),1))</f>
        <v>4.5</v>
      </c>
      <c r="L9" s="98" t="str">
        <f>IF(SUMIFS('📋 Registo Diário'!$H$7:$H$646,'📋 Registo Diário'!$D$7:$D$646,'⚙️ Configuração'!C32,'📋 Registo Diário'!$B$7:$B$646,"Semana "&amp;$J$5)=0,"-",ROUND(SUMIFS('📋 Registo Diário'!$F$7:$F$646,'📋 Registo Diário'!$D$7:$D$646,'⚙️ Configuração'!C32,'📋 Registo Diário'!$B$7:$B$646,"Semana "&amp;$J$5)/SUMIFS('📋 Registo Diário'!$H$7:$H$646,'📋 Registo Diário'!$D$7:$D$646,'⚙️ Configuração'!C32,'📋 Registo Diário'!$B$7:$B$646,"Semana "&amp;$J$5),1))</f>
        <v>-</v>
      </c>
      <c r="M9" s="99" t="str">
        <f>IF(SUMIFS('📋 Registo Diário'!$I$7:$I$646,'📋 Registo Diário'!$D$7:$D$646,'⚙️ Configuração'!C32,'📋 Registo Diário'!$B$7:$B$646,"Semana "&amp;$J$5)=0,"-",ROUND(SUMIFS('📋 Registo Diário'!$H$7:$H$646,'📋 Registo Diário'!$D$7:$D$646,'⚙️ Configuração'!C32,'📋 Registo Diário'!$B$7:$B$646,"Semana "&amp;$J$5)/SUMIFS('📋 Registo Diário'!$I$7:$I$646,'📋 Registo Diário'!$D$7:$D$646,'⚙️ Configuração'!C32,'📋 Registo Diário'!$B$7:$B$646,"Semana "&amp;$J$5),1))</f>
        <v>-</v>
      </c>
      <c r="N9" s="100" t="str">
        <f>IF(SUMIFS('📋 Registo Diário'!$I$7:$I$646,'📋 Registo Diário'!$D$7:$D$646,'⚙️ Configuração'!C32,'📋 Registo Diário'!$B$7:$B$646,"Semana "&amp;$J$5)=0,"-",ROUND(SUMIFS('📋 Registo Diário'!$E$7:$E$646,'📋 Registo Diário'!$D$7:$D$646,'⚙️ Configuração'!C32,'📋 Registo Diário'!$B$7:$B$646,"Semana "&amp;$J$5)/SUMIFS('📋 Registo Diário'!$I$7:$I$646,'📋 Registo Diário'!$D$7:$D$646,'⚙️ Configuração'!C32,'📋 Registo Diário'!$B$7:$B$646,"Semana "&amp;$J$5),1))</f>
        <v>-</v>
      </c>
    </row>
    <row r="10" spans="2:14" ht="21.75" customHeight="1" x14ac:dyDescent="0.2">
      <c r="B10" s="87" t="str">
        <f>'⚙️ Configuração'!C33</f>
        <v>Helena Rocha</v>
      </c>
      <c r="C10" s="96">
        <f>IF(SUMIF('📋 Registo Diário'!$D$7:$D$646,'⚙️ Configuração'!C33,'📋 Registo Diário'!$F$7:$F$646)=0,"-",ROUND(SUMIF('📋 Registo Diário'!$D$7:$D$646,'⚙️ Configuração'!C33,'📋 Registo Diário'!$E$7:$E$646)/SUMIF('📋 Registo Diário'!$D$7:$D$646,'⚙️ Configuração'!C33,'📋 Registo Diário'!$F$7:$F$646),1))</f>
        <v>6</v>
      </c>
      <c r="D10" s="97" t="str">
        <f>IF(SUMIF('📋 Registo Diário'!$D$7:$D$646,'⚙️ Configuração'!C33,'📋 Registo Diário'!$G$7:$G$646)=0,"-",ROUND(SUMIF('📋 Registo Diário'!$D$7:$D$646,'⚙️ Configuração'!C33,'📋 Registo Diário'!$F$7:$F$646)/SUMIF('📋 Registo Diário'!$D$7:$D$646,'⚙️ Configuração'!C33,'📋 Registo Diário'!$G$7:$G$646),1))</f>
        <v>-</v>
      </c>
      <c r="E10" s="98" t="str">
        <f>IF(SUMIF('📋 Registo Diário'!$D$7:$D$646,'⚙️ Configuração'!C33,'📋 Registo Diário'!$H$7:$H$646)=0,"-",ROUND(SUMIF('📋 Registo Diário'!$D$7:$D$646,'⚙️ Configuração'!C33,'📋 Registo Diário'!$F$7:$F$646)/SUMIF('📋 Registo Diário'!$D$7:$D$646,'⚙️ Configuração'!C33,'📋 Registo Diário'!$H$7:$H$646),1))</f>
        <v>-</v>
      </c>
      <c r="F10" s="99" t="str">
        <f>IF(SUMIF('📋 Registo Diário'!$D$7:$D$646,'⚙️ Configuração'!C33,'📋 Registo Diário'!$I$7:$I$646)=0,"-",ROUND(SUMIF('📋 Registo Diário'!$D$7:$D$646,'⚙️ Configuração'!C33,'📋 Registo Diário'!$H$7:$H$646)/SUMIF('📋 Registo Diário'!$D$7:$D$646,'⚙️ Configuração'!C33,'📋 Registo Diário'!$I$7:$I$646),1))</f>
        <v>-</v>
      </c>
      <c r="G10" s="100" t="str">
        <f>IF(SUMIF('📋 Registo Diário'!$D$7:$D$646,'⚙️ Configuração'!C33,'📋 Registo Diário'!$I$7:$I$646)=0,"-",ROUND(SUMIF('📋 Registo Diário'!$D$7:$D$646,'⚙️ Configuração'!C33,'📋 Registo Diário'!$E$7:$E$646)/SUMIF('📋 Registo Diário'!$D$7:$D$646,'⚙️ Configuração'!C33,'📋 Registo Diário'!$I$7:$I$646),1))</f>
        <v>-</v>
      </c>
      <c r="I10" s="87" t="str">
        <f>'⚙️ Configuração'!C33</f>
        <v>Helena Rocha</v>
      </c>
      <c r="J10" s="96">
        <f>IF(SUMIFS('📋 Registo Diário'!$F$7:$F$646,'📋 Registo Diário'!$D$7:$D$646,'⚙️ Configuração'!C33,'📋 Registo Diário'!$B$7:$B$646,"Semana "&amp;$J$5)=0,"-",ROUND(SUMIFS('📋 Registo Diário'!$E$7:$E$646,'📋 Registo Diário'!$D$7:$D$646,'⚙️ Configuração'!C33,'📋 Registo Diário'!$B$7:$B$646,"Semana "&amp;$J$5)/SUMIFS('📋 Registo Diário'!$F$7:$F$646,'📋 Registo Diário'!$D$7:$D$646,'⚙️ Configuração'!C33,'📋 Registo Diário'!$B$7:$B$646,"Semana "&amp;$J$5),1))</f>
        <v>6</v>
      </c>
      <c r="K10" s="97" t="str">
        <f>IF(SUMIFS('📋 Registo Diário'!$G$7:$G$646,'📋 Registo Diário'!$D$7:$D$646,'⚙️ Configuração'!C33,'📋 Registo Diário'!$B$7:$B$646,"Semana "&amp;$J$5)=0,"-",ROUND(SUMIFS('📋 Registo Diário'!$F$7:$F$646,'📋 Registo Diário'!$D$7:$D$646,'⚙️ Configuração'!C33,'📋 Registo Diário'!$B$7:$B$646,"Semana "&amp;$J$5)/SUMIFS('📋 Registo Diário'!$G$7:$G$646,'📋 Registo Diário'!$D$7:$D$646,'⚙️ Configuração'!C33,'📋 Registo Diário'!$B$7:$B$646,"Semana "&amp;$J$5),1))</f>
        <v>-</v>
      </c>
      <c r="L10" s="98" t="str">
        <f>IF(SUMIFS('📋 Registo Diário'!$H$7:$H$646,'📋 Registo Diário'!$D$7:$D$646,'⚙️ Configuração'!C33,'📋 Registo Diário'!$B$7:$B$646,"Semana "&amp;$J$5)=0,"-",ROUND(SUMIFS('📋 Registo Diário'!$F$7:$F$646,'📋 Registo Diário'!$D$7:$D$646,'⚙️ Configuração'!C33,'📋 Registo Diário'!$B$7:$B$646,"Semana "&amp;$J$5)/SUMIFS('📋 Registo Diário'!$H$7:$H$646,'📋 Registo Diário'!$D$7:$D$646,'⚙️ Configuração'!C33,'📋 Registo Diário'!$B$7:$B$646,"Semana "&amp;$J$5),1))</f>
        <v>-</v>
      </c>
      <c r="M10" s="99" t="str">
        <f>IF(SUMIFS('📋 Registo Diário'!$I$7:$I$646,'📋 Registo Diário'!$D$7:$D$646,'⚙️ Configuração'!C33,'📋 Registo Diário'!$B$7:$B$646,"Semana "&amp;$J$5)=0,"-",ROUND(SUMIFS('📋 Registo Diário'!$H$7:$H$646,'📋 Registo Diário'!$D$7:$D$646,'⚙️ Configuração'!C33,'📋 Registo Diário'!$B$7:$B$646,"Semana "&amp;$J$5)/SUMIFS('📋 Registo Diário'!$I$7:$I$646,'📋 Registo Diário'!$D$7:$D$646,'⚙️ Configuração'!C33,'📋 Registo Diário'!$B$7:$B$646,"Semana "&amp;$J$5),1))</f>
        <v>-</v>
      </c>
      <c r="N10" s="100" t="str">
        <f>IF(SUMIFS('📋 Registo Diário'!$I$7:$I$646,'📋 Registo Diário'!$D$7:$D$646,'⚙️ Configuração'!C33,'📋 Registo Diário'!$B$7:$B$646,"Semana "&amp;$J$5)=0,"-",ROUND(SUMIFS('📋 Registo Diário'!$E$7:$E$646,'📋 Registo Diário'!$D$7:$D$646,'⚙️ Configuração'!C33,'📋 Registo Diário'!$B$7:$B$646,"Semana "&amp;$J$5)/SUMIFS('📋 Registo Diário'!$I$7:$I$646,'📋 Registo Diário'!$D$7:$D$646,'⚙️ Configuração'!C33,'📋 Registo Diário'!$B$7:$B$646,"Semana "&amp;$J$5),1))</f>
        <v>-</v>
      </c>
    </row>
    <row r="11" spans="2:14" ht="21.75" customHeight="1" x14ac:dyDescent="0.2">
      <c r="B11" s="80" t="str">
        <f>'⚙️ Configuração'!C34</f>
        <v>João Xavier</v>
      </c>
      <c r="C11" s="96">
        <f>IF(SUMIF('📋 Registo Diário'!$D$7:$D$646,'⚙️ Configuração'!C34,'📋 Registo Diário'!$F$7:$F$646)=0,"-",ROUND(SUMIF('📋 Registo Diário'!$D$7:$D$646,'⚙️ Configuração'!C34,'📋 Registo Diário'!$E$7:$E$646)/SUMIF('📋 Registo Diário'!$D$7:$D$646,'⚙️ Configuração'!C34,'📋 Registo Diário'!$F$7:$F$646),1))</f>
        <v>2.1</v>
      </c>
      <c r="D11" s="97">
        <f>IF(SUMIF('📋 Registo Diário'!$D$7:$D$646,'⚙️ Configuração'!C34,'📋 Registo Diário'!$G$7:$G$646)=0,"-",ROUND(SUMIF('📋 Registo Diário'!$D$7:$D$646,'⚙️ Configuração'!C34,'📋 Registo Diário'!$F$7:$F$646)/SUMIF('📋 Registo Diário'!$D$7:$D$646,'⚙️ Configuração'!C34,'📋 Registo Diário'!$G$7:$G$646),1))</f>
        <v>2.2000000000000002</v>
      </c>
      <c r="E11" s="98" t="str">
        <f>IF(SUMIF('📋 Registo Diário'!$D$7:$D$646,'⚙️ Configuração'!C34,'📋 Registo Diário'!$H$7:$H$646)=0,"-",ROUND(SUMIF('📋 Registo Diário'!$D$7:$D$646,'⚙️ Configuração'!C34,'📋 Registo Diário'!$F$7:$F$646)/SUMIF('📋 Registo Diário'!$D$7:$D$646,'⚙️ Configuração'!C34,'📋 Registo Diário'!$H$7:$H$646),1))</f>
        <v>-</v>
      </c>
      <c r="F11" s="99" t="str">
        <f>IF(SUMIF('📋 Registo Diário'!$D$7:$D$646,'⚙️ Configuração'!C34,'📋 Registo Diário'!$I$7:$I$646)=0,"-",ROUND(SUMIF('📋 Registo Diário'!$D$7:$D$646,'⚙️ Configuração'!C34,'📋 Registo Diário'!$H$7:$H$646)/SUMIF('📋 Registo Diário'!$D$7:$D$646,'⚙️ Configuração'!C34,'📋 Registo Diário'!$I$7:$I$646),1))</f>
        <v>-</v>
      </c>
      <c r="G11" s="100" t="str">
        <f>IF(SUMIF('📋 Registo Diário'!$D$7:$D$646,'⚙️ Configuração'!C34,'📋 Registo Diário'!$I$7:$I$646)=0,"-",ROUND(SUMIF('📋 Registo Diário'!$D$7:$D$646,'⚙️ Configuração'!C34,'📋 Registo Diário'!$E$7:$E$646)/SUMIF('📋 Registo Diário'!$D$7:$D$646,'⚙️ Configuração'!C34,'📋 Registo Diário'!$I$7:$I$646),1))</f>
        <v>-</v>
      </c>
      <c r="I11" s="80" t="str">
        <f>'⚙️ Configuração'!C34</f>
        <v>João Xavier</v>
      </c>
      <c r="J11" s="96">
        <f>IF(SUMIFS('📋 Registo Diário'!$F$7:$F$646,'📋 Registo Diário'!$D$7:$D$646,'⚙️ Configuração'!C34,'📋 Registo Diário'!$B$7:$B$646,"Semana "&amp;$J$5)=0,"-",ROUND(SUMIFS('📋 Registo Diário'!$E$7:$E$646,'📋 Registo Diário'!$D$7:$D$646,'⚙️ Configuração'!C34,'📋 Registo Diário'!$B$7:$B$646,"Semana "&amp;$J$5)/SUMIFS('📋 Registo Diário'!$F$7:$F$646,'📋 Registo Diário'!$D$7:$D$646,'⚙️ Configuração'!C34,'📋 Registo Diário'!$B$7:$B$646,"Semana "&amp;$J$5),1))</f>
        <v>2.1</v>
      </c>
      <c r="K11" s="97">
        <f>IF(SUMIFS('📋 Registo Diário'!$G$7:$G$646,'📋 Registo Diário'!$D$7:$D$646,'⚙️ Configuração'!C34,'📋 Registo Diário'!$B$7:$B$646,"Semana "&amp;$J$5)=0,"-",ROUND(SUMIFS('📋 Registo Diário'!$F$7:$F$646,'📋 Registo Diário'!$D$7:$D$646,'⚙️ Configuração'!C34,'📋 Registo Diário'!$B$7:$B$646,"Semana "&amp;$J$5)/SUMIFS('📋 Registo Diário'!$G$7:$G$646,'📋 Registo Diário'!$D$7:$D$646,'⚙️ Configuração'!C34,'📋 Registo Diário'!$B$7:$B$646,"Semana "&amp;$J$5),1))</f>
        <v>2.2000000000000002</v>
      </c>
      <c r="L11" s="98" t="str">
        <f>IF(SUMIFS('📋 Registo Diário'!$H$7:$H$646,'📋 Registo Diário'!$D$7:$D$646,'⚙️ Configuração'!C34,'📋 Registo Diário'!$B$7:$B$646,"Semana "&amp;$J$5)=0,"-",ROUND(SUMIFS('📋 Registo Diário'!$F$7:$F$646,'📋 Registo Diário'!$D$7:$D$646,'⚙️ Configuração'!C34,'📋 Registo Diário'!$B$7:$B$646,"Semana "&amp;$J$5)/SUMIFS('📋 Registo Diário'!$H$7:$H$646,'📋 Registo Diário'!$D$7:$D$646,'⚙️ Configuração'!C34,'📋 Registo Diário'!$B$7:$B$646,"Semana "&amp;$J$5),1))</f>
        <v>-</v>
      </c>
      <c r="M11" s="99" t="str">
        <f>IF(SUMIFS('📋 Registo Diário'!$I$7:$I$646,'📋 Registo Diário'!$D$7:$D$646,'⚙️ Configuração'!C34,'📋 Registo Diário'!$B$7:$B$646,"Semana "&amp;$J$5)=0,"-",ROUND(SUMIFS('📋 Registo Diário'!$H$7:$H$646,'📋 Registo Diário'!$D$7:$D$646,'⚙️ Configuração'!C34,'📋 Registo Diário'!$B$7:$B$646,"Semana "&amp;$J$5)/SUMIFS('📋 Registo Diário'!$I$7:$I$646,'📋 Registo Diário'!$D$7:$D$646,'⚙️ Configuração'!C34,'📋 Registo Diário'!$B$7:$B$646,"Semana "&amp;$J$5),1))</f>
        <v>-</v>
      </c>
      <c r="N11" s="100" t="str">
        <f>IF(SUMIFS('📋 Registo Diário'!$I$7:$I$646,'📋 Registo Diário'!$D$7:$D$646,'⚙️ Configuração'!C34,'📋 Registo Diário'!$B$7:$B$646,"Semana "&amp;$J$5)=0,"-",ROUND(SUMIFS('📋 Registo Diário'!$E$7:$E$646,'📋 Registo Diário'!$D$7:$D$646,'⚙️ Configuração'!C34,'📋 Registo Diário'!$B$7:$B$646,"Semana "&amp;$J$5)/SUMIFS('📋 Registo Diário'!$I$7:$I$646,'📋 Registo Diário'!$D$7:$D$646,'⚙️ Configuração'!C34,'📋 Registo Diário'!$B$7:$B$646,"Semana "&amp;$J$5),1))</f>
        <v>-</v>
      </c>
    </row>
    <row r="12" spans="2:14" ht="21.75" customHeight="1" x14ac:dyDescent="0.2">
      <c r="B12" s="87" t="str">
        <f>'⚙️ Configuração'!C35</f>
        <v>Tomás Carlos</v>
      </c>
      <c r="C12" s="96">
        <f>IF(SUMIF('📋 Registo Diário'!$D$7:$D$646,'⚙️ Configuração'!C35,'📋 Registo Diário'!$F$7:$F$646)=0,"-",ROUND(SUMIF('📋 Registo Diário'!$D$7:$D$646,'⚙️ Configuração'!C35,'📋 Registo Diário'!$E$7:$E$646)/SUMIF('📋 Registo Diário'!$D$7:$D$646,'⚙️ Configuração'!C35,'📋 Registo Diário'!$F$7:$F$646),1))</f>
        <v>3</v>
      </c>
      <c r="D12" s="97">
        <f>IF(SUMIF('📋 Registo Diário'!$D$7:$D$646,'⚙️ Configuração'!C35,'📋 Registo Diário'!$G$7:$G$646)=0,"-",ROUND(SUMIF('📋 Registo Diário'!$D$7:$D$646,'⚙️ Configuração'!C35,'📋 Registo Diário'!$F$7:$F$646)/SUMIF('📋 Registo Diário'!$D$7:$D$646,'⚙️ Configuração'!C35,'📋 Registo Diário'!$G$7:$G$646),1))</f>
        <v>9</v>
      </c>
      <c r="E12" s="98" t="str">
        <f>IF(SUMIF('📋 Registo Diário'!$D$7:$D$646,'⚙️ Configuração'!C35,'📋 Registo Diário'!$H$7:$H$646)=0,"-",ROUND(SUMIF('📋 Registo Diário'!$D$7:$D$646,'⚙️ Configuração'!C35,'📋 Registo Diário'!$F$7:$F$646)/SUMIF('📋 Registo Diário'!$D$7:$D$646,'⚙️ Configuração'!C35,'📋 Registo Diário'!$H$7:$H$646),1))</f>
        <v>-</v>
      </c>
      <c r="F12" s="99" t="str">
        <f>IF(SUMIF('📋 Registo Diário'!$D$7:$D$646,'⚙️ Configuração'!C35,'📋 Registo Diário'!$I$7:$I$646)=0,"-",ROUND(SUMIF('📋 Registo Diário'!$D$7:$D$646,'⚙️ Configuração'!C35,'📋 Registo Diário'!$H$7:$H$646)/SUMIF('📋 Registo Diário'!$D$7:$D$646,'⚙️ Configuração'!C35,'📋 Registo Diário'!$I$7:$I$646),1))</f>
        <v>-</v>
      </c>
      <c r="G12" s="100" t="str">
        <f>IF(SUMIF('📋 Registo Diário'!$D$7:$D$646,'⚙️ Configuração'!C35,'📋 Registo Diário'!$I$7:$I$646)=0,"-",ROUND(SUMIF('📋 Registo Diário'!$D$7:$D$646,'⚙️ Configuração'!C35,'📋 Registo Diário'!$E$7:$E$646)/SUMIF('📋 Registo Diário'!$D$7:$D$646,'⚙️ Configuração'!C35,'📋 Registo Diário'!$I$7:$I$646),1))</f>
        <v>-</v>
      </c>
      <c r="I12" s="87" t="str">
        <f>'⚙️ Configuração'!C35</f>
        <v>Tomás Carlos</v>
      </c>
      <c r="J12" s="96">
        <f>IF(SUMIFS('📋 Registo Diário'!$F$7:$F$646,'📋 Registo Diário'!$D$7:$D$646,'⚙️ Configuração'!C35,'📋 Registo Diário'!$B$7:$B$646,"Semana "&amp;$J$5)=0,"-",ROUND(SUMIFS('📋 Registo Diário'!$E$7:$E$646,'📋 Registo Diário'!$D$7:$D$646,'⚙️ Configuração'!C35,'📋 Registo Diário'!$B$7:$B$646,"Semana "&amp;$J$5)/SUMIFS('📋 Registo Diário'!$F$7:$F$646,'📋 Registo Diário'!$D$7:$D$646,'⚙️ Configuração'!C35,'📋 Registo Diário'!$B$7:$B$646,"Semana "&amp;$J$5),1))</f>
        <v>3</v>
      </c>
      <c r="K12" s="97">
        <f>IF(SUMIFS('📋 Registo Diário'!$G$7:$G$646,'📋 Registo Diário'!$D$7:$D$646,'⚙️ Configuração'!C35,'📋 Registo Diário'!$B$7:$B$646,"Semana "&amp;$J$5)=0,"-",ROUND(SUMIFS('📋 Registo Diário'!$F$7:$F$646,'📋 Registo Diário'!$D$7:$D$646,'⚙️ Configuração'!C35,'📋 Registo Diário'!$B$7:$B$646,"Semana "&amp;$J$5)/SUMIFS('📋 Registo Diário'!$G$7:$G$646,'📋 Registo Diário'!$D$7:$D$646,'⚙️ Configuração'!C35,'📋 Registo Diário'!$B$7:$B$646,"Semana "&amp;$J$5),1))</f>
        <v>9</v>
      </c>
      <c r="L12" s="98" t="str">
        <f>IF(SUMIFS('📋 Registo Diário'!$H$7:$H$646,'📋 Registo Diário'!$D$7:$D$646,'⚙️ Configuração'!C35,'📋 Registo Diário'!$B$7:$B$646,"Semana "&amp;$J$5)=0,"-",ROUND(SUMIFS('📋 Registo Diário'!$F$7:$F$646,'📋 Registo Diário'!$D$7:$D$646,'⚙️ Configuração'!C35,'📋 Registo Diário'!$B$7:$B$646,"Semana "&amp;$J$5)/SUMIFS('📋 Registo Diário'!$H$7:$H$646,'📋 Registo Diário'!$D$7:$D$646,'⚙️ Configuração'!C35,'📋 Registo Diário'!$B$7:$B$646,"Semana "&amp;$J$5),1))</f>
        <v>-</v>
      </c>
      <c r="M12" s="99" t="str">
        <f>IF(SUMIFS('📋 Registo Diário'!$I$7:$I$646,'📋 Registo Diário'!$D$7:$D$646,'⚙️ Configuração'!C35,'📋 Registo Diário'!$B$7:$B$646,"Semana "&amp;$J$5)=0,"-",ROUND(SUMIFS('📋 Registo Diário'!$H$7:$H$646,'📋 Registo Diário'!$D$7:$D$646,'⚙️ Configuração'!C35,'📋 Registo Diário'!$B$7:$B$646,"Semana "&amp;$J$5)/SUMIFS('📋 Registo Diário'!$I$7:$I$646,'📋 Registo Diário'!$D$7:$D$646,'⚙️ Configuração'!C35,'📋 Registo Diário'!$B$7:$B$646,"Semana "&amp;$J$5),1))</f>
        <v>-</v>
      </c>
      <c r="N12" s="100" t="str">
        <f>IF(SUMIFS('📋 Registo Diário'!$I$7:$I$646,'📋 Registo Diário'!$D$7:$D$646,'⚙️ Configuração'!C35,'📋 Registo Diário'!$B$7:$B$646,"Semana "&amp;$J$5)=0,"-",ROUND(SUMIFS('📋 Registo Diário'!$E$7:$E$646,'📋 Registo Diário'!$D$7:$D$646,'⚙️ Configuração'!C35,'📋 Registo Diário'!$B$7:$B$646,"Semana "&amp;$J$5)/SUMIFS('📋 Registo Diário'!$I$7:$I$646,'📋 Registo Diário'!$D$7:$D$646,'⚙️ Configuração'!C35,'📋 Registo Diário'!$B$7:$B$646,"Semana "&amp;$J$5),1))</f>
        <v>-</v>
      </c>
    </row>
    <row r="13" spans="2:14" ht="21.75" customHeight="1" x14ac:dyDescent="0.2">
      <c r="B13" s="80" t="str">
        <f>'⚙️ Configuração'!C36</f>
        <v>Alexandra Correia</v>
      </c>
      <c r="C13" s="96">
        <f>IF(SUMIF('📋 Registo Diário'!$D$7:$D$646,'⚙️ Configuração'!C36,'📋 Registo Diário'!$F$7:$F$646)=0,"-",ROUND(SUMIF('📋 Registo Diário'!$D$7:$D$646,'⚙️ Configuração'!C36,'📋 Registo Diário'!$E$7:$E$646)/SUMIF('📋 Registo Diário'!$D$7:$D$646,'⚙️ Configuração'!C36,'📋 Registo Diário'!$F$7:$F$646),1))</f>
        <v>7.3</v>
      </c>
      <c r="D13" s="97">
        <f>IF(SUMIF('📋 Registo Diário'!$D$7:$D$646,'⚙️ Configuração'!C36,'📋 Registo Diário'!$G$7:$G$646)=0,"-",ROUND(SUMIF('📋 Registo Diário'!$D$7:$D$646,'⚙️ Configuração'!C36,'📋 Registo Diário'!$F$7:$F$646)/SUMIF('📋 Registo Diário'!$D$7:$D$646,'⚙️ Configuração'!C36,'📋 Registo Diário'!$G$7:$G$646),1))</f>
        <v>2</v>
      </c>
      <c r="E13" s="98" t="str">
        <f>IF(SUMIF('📋 Registo Diário'!$D$7:$D$646,'⚙️ Configuração'!C36,'📋 Registo Diário'!$H$7:$H$646)=0,"-",ROUND(SUMIF('📋 Registo Diário'!$D$7:$D$646,'⚙️ Configuração'!C36,'📋 Registo Diário'!$F$7:$F$646)/SUMIF('📋 Registo Diário'!$D$7:$D$646,'⚙️ Configuração'!C36,'📋 Registo Diário'!$H$7:$H$646),1))</f>
        <v>-</v>
      </c>
      <c r="F13" s="99" t="str">
        <f>IF(SUMIF('📋 Registo Diário'!$D$7:$D$646,'⚙️ Configuração'!C36,'📋 Registo Diário'!$I$7:$I$646)=0,"-",ROUND(SUMIF('📋 Registo Diário'!$D$7:$D$646,'⚙️ Configuração'!C36,'📋 Registo Diário'!$H$7:$H$646)/SUMIF('📋 Registo Diário'!$D$7:$D$646,'⚙️ Configuração'!C36,'📋 Registo Diário'!$I$7:$I$646),1))</f>
        <v>-</v>
      </c>
      <c r="G13" s="100" t="str">
        <f>IF(SUMIF('📋 Registo Diário'!$D$7:$D$646,'⚙️ Configuração'!C36,'📋 Registo Diário'!$I$7:$I$646)=0,"-",ROUND(SUMIF('📋 Registo Diário'!$D$7:$D$646,'⚙️ Configuração'!C36,'📋 Registo Diário'!$E$7:$E$646)/SUMIF('📋 Registo Diário'!$D$7:$D$646,'⚙️ Configuração'!C36,'📋 Registo Diário'!$I$7:$I$646),1))</f>
        <v>-</v>
      </c>
      <c r="I13" s="80" t="str">
        <f>'⚙️ Configuração'!C36</f>
        <v>Alexandra Correia</v>
      </c>
      <c r="J13" s="96">
        <f>IF(SUMIFS('📋 Registo Diário'!$F$7:$F$646,'📋 Registo Diário'!$D$7:$D$646,'⚙️ Configuração'!C36,'📋 Registo Diário'!$B$7:$B$646,"Semana "&amp;$J$5)=0,"-",ROUND(SUMIFS('📋 Registo Diário'!$E$7:$E$646,'📋 Registo Diário'!$D$7:$D$646,'⚙️ Configuração'!C36,'📋 Registo Diário'!$B$7:$B$646,"Semana "&amp;$J$5)/SUMIFS('📋 Registo Diário'!$F$7:$F$646,'📋 Registo Diário'!$D$7:$D$646,'⚙️ Configuração'!C36,'📋 Registo Diário'!$B$7:$B$646,"Semana "&amp;$J$5),1))</f>
        <v>7.3</v>
      </c>
      <c r="K13" s="97">
        <f>IF(SUMIFS('📋 Registo Diário'!$G$7:$G$646,'📋 Registo Diário'!$D$7:$D$646,'⚙️ Configuração'!C36,'📋 Registo Diário'!$B$7:$B$646,"Semana "&amp;$J$5)=0,"-",ROUND(SUMIFS('📋 Registo Diário'!$F$7:$F$646,'📋 Registo Diário'!$D$7:$D$646,'⚙️ Configuração'!C36,'📋 Registo Diário'!$B$7:$B$646,"Semana "&amp;$J$5)/SUMIFS('📋 Registo Diário'!$G$7:$G$646,'📋 Registo Diário'!$D$7:$D$646,'⚙️ Configuração'!C36,'📋 Registo Diário'!$B$7:$B$646,"Semana "&amp;$J$5),1))</f>
        <v>2</v>
      </c>
      <c r="L13" s="98" t="str">
        <f>IF(SUMIFS('📋 Registo Diário'!$H$7:$H$646,'📋 Registo Diário'!$D$7:$D$646,'⚙️ Configuração'!C36,'📋 Registo Diário'!$B$7:$B$646,"Semana "&amp;$J$5)=0,"-",ROUND(SUMIFS('📋 Registo Diário'!$F$7:$F$646,'📋 Registo Diário'!$D$7:$D$646,'⚙️ Configuração'!C36,'📋 Registo Diário'!$B$7:$B$646,"Semana "&amp;$J$5)/SUMIFS('📋 Registo Diário'!$H$7:$H$646,'📋 Registo Diário'!$D$7:$D$646,'⚙️ Configuração'!C36,'📋 Registo Diário'!$B$7:$B$646,"Semana "&amp;$J$5),1))</f>
        <v>-</v>
      </c>
      <c r="M13" s="99" t="str">
        <f>IF(SUMIFS('📋 Registo Diário'!$I$7:$I$646,'📋 Registo Diário'!$D$7:$D$646,'⚙️ Configuração'!C36,'📋 Registo Diário'!$B$7:$B$646,"Semana "&amp;$J$5)=0,"-",ROUND(SUMIFS('📋 Registo Diário'!$H$7:$H$646,'📋 Registo Diário'!$D$7:$D$646,'⚙️ Configuração'!C36,'📋 Registo Diário'!$B$7:$B$646,"Semana "&amp;$J$5)/SUMIFS('📋 Registo Diário'!$I$7:$I$646,'📋 Registo Diário'!$D$7:$D$646,'⚙️ Configuração'!C36,'📋 Registo Diário'!$B$7:$B$646,"Semana "&amp;$J$5),1))</f>
        <v>-</v>
      </c>
      <c r="N13" s="100" t="str">
        <f>IF(SUMIFS('📋 Registo Diário'!$I$7:$I$646,'📋 Registo Diário'!$D$7:$D$646,'⚙️ Configuração'!C36,'📋 Registo Diário'!$B$7:$B$646,"Semana "&amp;$J$5)=0,"-",ROUND(SUMIFS('📋 Registo Diário'!$E$7:$E$646,'📋 Registo Diário'!$D$7:$D$646,'⚙️ Configuração'!C36,'📋 Registo Diário'!$B$7:$B$646,"Semana "&amp;$J$5)/SUMIFS('📋 Registo Diário'!$I$7:$I$646,'📋 Registo Diário'!$D$7:$D$646,'⚙️ Configuração'!C36,'📋 Registo Diário'!$B$7:$B$646,"Semana "&amp;$J$5),1))</f>
        <v>-</v>
      </c>
    </row>
    <row r="14" spans="2:14" ht="21.75" customHeight="1" x14ac:dyDescent="0.2">
      <c r="B14" s="87" t="str">
        <f>'⚙️ Configuração'!C37</f>
        <v>Carla Barata</v>
      </c>
      <c r="C14" s="96">
        <f>IF(SUMIF('📋 Registo Diário'!$D$7:$D$646,'⚙️ Configuração'!C37,'📋 Registo Diário'!$F$7:$F$646)=0,"-",ROUND(SUMIF('📋 Registo Diário'!$D$7:$D$646,'⚙️ Configuração'!C37,'📋 Registo Diário'!$E$7:$E$646)/SUMIF('📋 Registo Diário'!$D$7:$D$646,'⚙️ Configuração'!C37,'📋 Registo Diário'!$F$7:$F$646),1))</f>
        <v>7</v>
      </c>
      <c r="D14" s="97">
        <f>IF(SUMIF('📋 Registo Diário'!$D$7:$D$646,'⚙️ Configuração'!C37,'📋 Registo Diário'!$G$7:$G$646)=0,"-",ROUND(SUMIF('📋 Registo Diário'!$D$7:$D$646,'⚙️ Configuração'!C37,'📋 Registo Diário'!$F$7:$F$646)/SUMIF('📋 Registo Diário'!$D$7:$D$646,'⚙️ Configuração'!C37,'📋 Registo Diário'!$G$7:$G$646),1))</f>
        <v>2</v>
      </c>
      <c r="E14" s="98" t="str">
        <f>IF(SUMIF('📋 Registo Diário'!$D$7:$D$646,'⚙️ Configuração'!C37,'📋 Registo Diário'!$H$7:$H$646)=0,"-",ROUND(SUMIF('📋 Registo Diário'!$D$7:$D$646,'⚙️ Configuração'!C37,'📋 Registo Diário'!$F$7:$F$646)/SUMIF('📋 Registo Diário'!$D$7:$D$646,'⚙️ Configuração'!C37,'📋 Registo Diário'!$H$7:$H$646),1))</f>
        <v>-</v>
      </c>
      <c r="F14" s="99" t="str">
        <f>IF(SUMIF('📋 Registo Diário'!$D$7:$D$646,'⚙️ Configuração'!C37,'📋 Registo Diário'!$I$7:$I$646)=0,"-",ROUND(SUMIF('📋 Registo Diário'!$D$7:$D$646,'⚙️ Configuração'!C37,'📋 Registo Diário'!$H$7:$H$646)/SUMIF('📋 Registo Diário'!$D$7:$D$646,'⚙️ Configuração'!C37,'📋 Registo Diário'!$I$7:$I$646),1))</f>
        <v>-</v>
      </c>
      <c r="G14" s="100" t="str">
        <f>IF(SUMIF('📋 Registo Diário'!$D$7:$D$646,'⚙️ Configuração'!C37,'📋 Registo Diário'!$I$7:$I$646)=0,"-",ROUND(SUMIF('📋 Registo Diário'!$D$7:$D$646,'⚙️ Configuração'!C37,'📋 Registo Diário'!$E$7:$E$646)/SUMIF('📋 Registo Diário'!$D$7:$D$646,'⚙️ Configuração'!C37,'📋 Registo Diário'!$I$7:$I$646),1))</f>
        <v>-</v>
      </c>
      <c r="I14" s="87" t="str">
        <f>'⚙️ Configuração'!C37</f>
        <v>Carla Barata</v>
      </c>
      <c r="J14" s="96">
        <f>IF(SUMIFS('📋 Registo Diário'!$F$7:$F$646,'📋 Registo Diário'!$D$7:$D$646,'⚙️ Configuração'!C37,'📋 Registo Diário'!$B$7:$B$646,"Semana "&amp;$J$5)=0,"-",ROUND(SUMIFS('📋 Registo Diário'!$E$7:$E$646,'📋 Registo Diário'!$D$7:$D$646,'⚙️ Configuração'!C37,'📋 Registo Diário'!$B$7:$B$646,"Semana "&amp;$J$5)/SUMIFS('📋 Registo Diário'!$F$7:$F$646,'📋 Registo Diário'!$D$7:$D$646,'⚙️ Configuração'!C37,'📋 Registo Diário'!$B$7:$B$646,"Semana "&amp;$J$5),1))</f>
        <v>7</v>
      </c>
      <c r="K14" s="97">
        <f>IF(SUMIFS('📋 Registo Diário'!$G$7:$G$646,'📋 Registo Diário'!$D$7:$D$646,'⚙️ Configuração'!C37,'📋 Registo Diário'!$B$7:$B$646,"Semana "&amp;$J$5)=0,"-",ROUND(SUMIFS('📋 Registo Diário'!$F$7:$F$646,'📋 Registo Diário'!$D$7:$D$646,'⚙️ Configuração'!C37,'📋 Registo Diário'!$B$7:$B$646,"Semana "&amp;$J$5)/SUMIFS('📋 Registo Diário'!$G$7:$G$646,'📋 Registo Diário'!$D$7:$D$646,'⚙️ Configuração'!C37,'📋 Registo Diário'!$B$7:$B$646,"Semana "&amp;$J$5),1))</f>
        <v>2</v>
      </c>
      <c r="L14" s="98" t="str">
        <f>IF(SUMIFS('📋 Registo Diário'!$H$7:$H$646,'📋 Registo Diário'!$D$7:$D$646,'⚙️ Configuração'!C37,'📋 Registo Diário'!$B$7:$B$646,"Semana "&amp;$J$5)=0,"-",ROUND(SUMIFS('📋 Registo Diário'!$F$7:$F$646,'📋 Registo Diário'!$D$7:$D$646,'⚙️ Configuração'!C37,'📋 Registo Diário'!$B$7:$B$646,"Semana "&amp;$J$5)/SUMIFS('📋 Registo Diário'!$H$7:$H$646,'📋 Registo Diário'!$D$7:$D$646,'⚙️ Configuração'!C37,'📋 Registo Diário'!$B$7:$B$646,"Semana "&amp;$J$5),1))</f>
        <v>-</v>
      </c>
      <c r="M14" s="99" t="str">
        <f>IF(SUMIFS('📋 Registo Diário'!$I$7:$I$646,'📋 Registo Diário'!$D$7:$D$646,'⚙️ Configuração'!C37,'📋 Registo Diário'!$B$7:$B$646,"Semana "&amp;$J$5)=0,"-",ROUND(SUMIFS('📋 Registo Diário'!$H$7:$H$646,'📋 Registo Diário'!$D$7:$D$646,'⚙️ Configuração'!C37,'📋 Registo Diário'!$B$7:$B$646,"Semana "&amp;$J$5)/SUMIFS('📋 Registo Diário'!$I$7:$I$646,'📋 Registo Diário'!$D$7:$D$646,'⚙️ Configuração'!C37,'📋 Registo Diário'!$B$7:$B$646,"Semana "&amp;$J$5),1))</f>
        <v>-</v>
      </c>
      <c r="N14" s="100" t="str">
        <f>IF(SUMIFS('📋 Registo Diário'!$I$7:$I$646,'📋 Registo Diário'!$D$7:$D$646,'⚙️ Configuração'!C37,'📋 Registo Diário'!$B$7:$B$646,"Semana "&amp;$J$5)=0,"-",ROUND(SUMIFS('📋 Registo Diário'!$E$7:$E$646,'📋 Registo Diário'!$D$7:$D$646,'⚙️ Configuração'!C37,'📋 Registo Diário'!$B$7:$B$646,"Semana "&amp;$J$5)/SUMIFS('📋 Registo Diário'!$I$7:$I$646,'📋 Registo Diário'!$D$7:$D$646,'⚙️ Configuração'!C37,'📋 Registo Diário'!$B$7:$B$646,"Semana "&amp;$J$5),1))</f>
        <v>-</v>
      </c>
    </row>
    <row r="15" spans="2:14" ht="21.75" customHeight="1" x14ac:dyDescent="0.2">
      <c r="B15" s="80" t="str">
        <f>'⚙️ Configuração'!C38</f>
        <v>Denise Filipe</v>
      </c>
      <c r="C15" s="96">
        <f>IF(SUMIF('📋 Registo Diário'!$D$7:$D$646,'⚙️ Configuração'!C38,'📋 Registo Diário'!$F$7:$F$646)=0,"-",ROUND(SUMIF('📋 Registo Diário'!$D$7:$D$646,'⚙️ Configuração'!C38,'📋 Registo Diário'!$E$7:$E$646)/SUMIF('📋 Registo Diário'!$D$7:$D$646,'⚙️ Configuração'!C38,'📋 Registo Diário'!$F$7:$F$646),1))</f>
        <v>3.3</v>
      </c>
      <c r="D15" s="97">
        <f>IF(SUMIF('📋 Registo Diário'!$D$7:$D$646,'⚙️ Configuração'!C38,'📋 Registo Diário'!$G$7:$G$646)=0,"-",ROUND(SUMIF('📋 Registo Diário'!$D$7:$D$646,'⚙️ Configuração'!C38,'📋 Registo Diário'!$F$7:$F$646)/SUMIF('📋 Registo Diário'!$D$7:$D$646,'⚙️ Configuração'!C38,'📋 Registo Diário'!$G$7:$G$646),1))</f>
        <v>7</v>
      </c>
      <c r="E15" s="98" t="str">
        <f>IF(SUMIF('📋 Registo Diário'!$D$7:$D$646,'⚙️ Configuração'!C38,'📋 Registo Diário'!$H$7:$H$646)=0,"-",ROUND(SUMIF('📋 Registo Diário'!$D$7:$D$646,'⚙️ Configuração'!C38,'📋 Registo Diário'!$F$7:$F$646)/SUMIF('📋 Registo Diário'!$D$7:$D$646,'⚙️ Configuração'!C38,'📋 Registo Diário'!$H$7:$H$646),1))</f>
        <v>-</v>
      </c>
      <c r="F15" s="99" t="str">
        <f>IF(SUMIF('📋 Registo Diário'!$D$7:$D$646,'⚙️ Configuração'!C38,'📋 Registo Diário'!$I$7:$I$646)=0,"-",ROUND(SUMIF('📋 Registo Diário'!$D$7:$D$646,'⚙️ Configuração'!C38,'📋 Registo Diário'!$H$7:$H$646)/SUMIF('📋 Registo Diário'!$D$7:$D$646,'⚙️ Configuração'!C38,'📋 Registo Diário'!$I$7:$I$646),1))</f>
        <v>-</v>
      </c>
      <c r="G15" s="100" t="str">
        <f>IF(SUMIF('📋 Registo Diário'!$D$7:$D$646,'⚙️ Configuração'!C38,'📋 Registo Diário'!$I$7:$I$646)=0,"-",ROUND(SUMIF('📋 Registo Diário'!$D$7:$D$646,'⚙️ Configuração'!C38,'📋 Registo Diário'!$E$7:$E$646)/SUMIF('📋 Registo Diário'!$D$7:$D$646,'⚙️ Configuração'!C38,'📋 Registo Diário'!$I$7:$I$646),1))</f>
        <v>-</v>
      </c>
      <c r="I15" s="80" t="str">
        <f>'⚙️ Configuração'!C38</f>
        <v>Denise Filipe</v>
      </c>
      <c r="J15" s="96">
        <f>IF(SUMIFS('📋 Registo Diário'!$F$7:$F$646,'📋 Registo Diário'!$D$7:$D$646,'⚙️ Configuração'!C38,'📋 Registo Diário'!$B$7:$B$646,"Semana "&amp;$J$5)=0,"-",ROUND(SUMIFS('📋 Registo Diário'!$E$7:$E$646,'📋 Registo Diário'!$D$7:$D$646,'⚙️ Configuração'!C38,'📋 Registo Diário'!$B$7:$B$646,"Semana "&amp;$J$5)/SUMIFS('📋 Registo Diário'!$F$7:$F$646,'📋 Registo Diário'!$D$7:$D$646,'⚙️ Configuração'!C38,'📋 Registo Diário'!$B$7:$B$646,"Semana "&amp;$J$5),1))</f>
        <v>3.3</v>
      </c>
      <c r="K15" s="97">
        <f>IF(SUMIFS('📋 Registo Diário'!$G$7:$G$646,'📋 Registo Diário'!$D$7:$D$646,'⚙️ Configuração'!C38,'📋 Registo Diário'!$B$7:$B$646,"Semana "&amp;$J$5)=0,"-",ROUND(SUMIFS('📋 Registo Diário'!$F$7:$F$646,'📋 Registo Diário'!$D$7:$D$646,'⚙️ Configuração'!C38,'📋 Registo Diário'!$B$7:$B$646,"Semana "&amp;$J$5)/SUMIFS('📋 Registo Diário'!$G$7:$G$646,'📋 Registo Diário'!$D$7:$D$646,'⚙️ Configuração'!C38,'📋 Registo Diário'!$B$7:$B$646,"Semana "&amp;$J$5),1))</f>
        <v>7</v>
      </c>
      <c r="L15" s="98" t="str">
        <f>IF(SUMIFS('📋 Registo Diário'!$H$7:$H$646,'📋 Registo Diário'!$D$7:$D$646,'⚙️ Configuração'!C38,'📋 Registo Diário'!$B$7:$B$646,"Semana "&amp;$J$5)=0,"-",ROUND(SUMIFS('📋 Registo Diário'!$F$7:$F$646,'📋 Registo Diário'!$D$7:$D$646,'⚙️ Configuração'!C38,'📋 Registo Diário'!$B$7:$B$646,"Semana "&amp;$J$5)/SUMIFS('📋 Registo Diário'!$H$7:$H$646,'📋 Registo Diário'!$D$7:$D$646,'⚙️ Configuração'!C38,'📋 Registo Diário'!$B$7:$B$646,"Semana "&amp;$J$5),1))</f>
        <v>-</v>
      </c>
      <c r="M15" s="99" t="str">
        <f>IF(SUMIFS('📋 Registo Diário'!$I$7:$I$646,'📋 Registo Diário'!$D$7:$D$646,'⚙️ Configuração'!C38,'📋 Registo Diário'!$B$7:$B$646,"Semana "&amp;$J$5)=0,"-",ROUND(SUMIFS('📋 Registo Diário'!$H$7:$H$646,'📋 Registo Diário'!$D$7:$D$646,'⚙️ Configuração'!C38,'📋 Registo Diário'!$B$7:$B$646,"Semana "&amp;$J$5)/SUMIFS('📋 Registo Diário'!$I$7:$I$646,'📋 Registo Diário'!$D$7:$D$646,'⚙️ Configuração'!C38,'📋 Registo Diário'!$B$7:$B$646,"Semana "&amp;$J$5),1))</f>
        <v>-</v>
      </c>
      <c r="N15" s="100" t="str">
        <f>IF(SUMIFS('📋 Registo Diário'!$I$7:$I$646,'📋 Registo Diário'!$D$7:$D$646,'⚙️ Configuração'!C38,'📋 Registo Diário'!$B$7:$B$646,"Semana "&amp;$J$5)=0,"-",ROUND(SUMIFS('📋 Registo Diário'!$E$7:$E$646,'📋 Registo Diário'!$D$7:$D$646,'⚙️ Configuração'!C38,'📋 Registo Diário'!$B$7:$B$646,"Semana "&amp;$J$5)/SUMIFS('📋 Registo Diário'!$I$7:$I$646,'📋 Registo Diário'!$D$7:$D$646,'⚙️ Configuração'!C38,'📋 Registo Diário'!$B$7:$B$646,"Semana "&amp;$J$5),1))</f>
        <v>-</v>
      </c>
    </row>
    <row r="16" spans="2:14" ht="21.75" customHeight="1" x14ac:dyDescent="0.2">
      <c r="B16" s="87" t="str">
        <f>'⚙️ Configuração'!C39</f>
        <v>Fátima Rodriguez</v>
      </c>
      <c r="C16" s="96">
        <f>IF(SUMIF('📋 Registo Diário'!$D$7:$D$646,'⚙️ Configuração'!C39,'📋 Registo Diário'!$F$7:$F$646)=0,"-",ROUND(SUMIF('📋 Registo Diário'!$D$7:$D$646,'⚙️ Configuração'!C39,'📋 Registo Diário'!$E$7:$E$646)/SUMIF('📋 Registo Diário'!$D$7:$D$646,'⚙️ Configuração'!C39,'📋 Registo Diário'!$F$7:$F$646),1))</f>
        <v>4.0999999999999996</v>
      </c>
      <c r="D16" s="97">
        <f>IF(SUMIF('📋 Registo Diário'!$D$7:$D$646,'⚙️ Configuração'!C39,'📋 Registo Diário'!$G$7:$G$646)=0,"-",ROUND(SUMIF('📋 Registo Diário'!$D$7:$D$646,'⚙️ Configuração'!C39,'📋 Registo Diário'!$F$7:$F$646)/SUMIF('📋 Registo Diário'!$D$7:$D$646,'⚙️ Configuração'!C39,'📋 Registo Diário'!$G$7:$G$646),1))</f>
        <v>2</v>
      </c>
      <c r="E16" s="98" t="str">
        <f>IF(SUMIF('📋 Registo Diário'!$D$7:$D$646,'⚙️ Configuração'!C39,'📋 Registo Diário'!$H$7:$H$646)=0,"-",ROUND(SUMIF('📋 Registo Diário'!$D$7:$D$646,'⚙️ Configuração'!C39,'📋 Registo Diário'!$F$7:$F$646)/SUMIF('📋 Registo Diário'!$D$7:$D$646,'⚙️ Configuração'!C39,'📋 Registo Diário'!$H$7:$H$646),1))</f>
        <v>-</v>
      </c>
      <c r="F16" s="99" t="str">
        <f>IF(SUMIF('📋 Registo Diário'!$D$7:$D$646,'⚙️ Configuração'!C39,'📋 Registo Diário'!$I$7:$I$646)=0,"-",ROUND(SUMIF('📋 Registo Diário'!$D$7:$D$646,'⚙️ Configuração'!C39,'📋 Registo Diário'!$H$7:$H$646)/SUMIF('📋 Registo Diário'!$D$7:$D$646,'⚙️ Configuração'!C39,'📋 Registo Diário'!$I$7:$I$646),1))</f>
        <v>-</v>
      </c>
      <c r="G16" s="100" t="str">
        <f>IF(SUMIF('📋 Registo Diário'!$D$7:$D$646,'⚙️ Configuração'!C39,'📋 Registo Diário'!$I$7:$I$646)=0,"-",ROUND(SUMIF('📋 Registo Diário'!$D$7:$D$646,'⚙️ Configuração'!C39,'📋 Registo Diário'!$E$7:$E$646)/SUMIF('📋 Registo Diário'!$D$7:$D$646,'⚙️ Configuração'!C39,'📋 Registo Diário'!$I$7:$I$646),1))</f>
        <v>-</v>
      </c>
      <c r="I16" s="87" t="str">
        <f>'⚙️ Configuração'!C39</f>
        <v>Fátima Rodriguez</v>
      </c>
      <c r="J16" s="96">
        <f>IF(SUMIFS('📋 Registo Diário'!$F$7:$F$646,'📋 Registo Diário'!$D$7:$D$646,'⚙️ Configuração'!C39,'📋 Registo Diário'!$B$7:$B$646,"Semana "&amp;$J$5)=0,"-",ROUND(SUMIFS('📋 Registo Diário'!$E$7:$E$646,'📋 Registo Diário'!$D$7:$D$646,'⚙️ Configuração'!C39,'📋 Registo Diário'!$B$7:$B$646,"Semana "&amp;$J$5)/SUMIFS('📋 Registo Diário'!$F$7:$F$646,'📋 Registo Diário'!$D$7:$D$646,'⚙️ Configuração'!C39,'📋 Registo Diário'!$B$7:$B$646,"Semana "&amp;$J$5),1))</f>
        <v>4.0999999999999996</v>
      </c>
      <c r="K16" s="97">
        <f>IF(SUMIFS('📋 Registo Diário'!$G$7:$G$646,'📋 Registo Diário'!$D$7:$D$646,'⚙️ Configuração'!C39,'📋 Registo Diário'!$B$7:$B$646,"Semana "&amp;$J$5)=0,"-",ROUND(SUMIFS('📋 Registo Diário'!$F$7:$F$646,'📋 Registo Diário'!$D$7:$D$646,'⚙️ Configuração'!C39,'📋 Registo Diário'!$B$7:$B$646,"Semana "&amp;$J$5)/SUMIFS('📋 Registo Diário'!$G$7:$G$646,'📋 Registo Diário'!$D$7:$D$646,'⚙️ Configuração'!C39,'📋 Registo Diário'!$B$7:$B$646,"Semana "&amp;$J$5),1))</f>
        <v>2</v>
      </c>
      <c r="L16" s="98" t="str">
        <f>IF(SUMIFS('📋 Registo Diário'!$H$7:$H$646,'📋 Registo Diário'!$D$7:$D$646,'⚙️ Configuração'!C39,'📋 Registo Diário'!$B$7:$B$646,"Semana "&amp;$J$5)=0,"-",ROUND(SUMIFS('📋 Registo Diário'!$F$7:$F$646,'📋 Registo Diário'!$D$7:$D$646,'⚙️ Configuração'!C39,'📋 Registo Diário'!$B$7:$B$646,"Semana "&amp;$J$5)/SUMIFS('📋 Registo Diário'!$H$7:$H$646,'📋 Registo Diário'!$D$7:$D$646,'⚙️ Configuração'!C39,'📋 Registo Diário'!$B$7:$B$646,"Semana "&amp;$J$5),1))</f>
        <v>-</v>
      </c>
      <c r="M16" s="99" t="str">
        <f>IF(SUMIFS('📋 Registo Diário'!$I$7:$I$646,'📋 Registo Diário'!$D$7:$D$646,'⚙️ Configuração'!C39,'📋 Registo Diário'!$B$7:$B$646,"Semana "&amp;$J$5)=0,"-",ROUND(SUMIFS('📋 Registo Diário'!$H$7:$H$646,'📋 Registo Diário'!$D$7:$D$646,'⚙️ Configuração'!C39,'📋 Registo Diário'!$B$7:$B$646,"Semana "&amp;$J$5)/SUMIFS('📋 Registo Diário'!$I$7:$I$646,'📋 Registo Diário'!$D$7:$D$646,'⚙️ Configuração'!C39,'📋 Registo Diário'!$B$7:$B$646,"Semana "&amp;$J$5),1))</f>
        <v>-</v>
      </c>
      <c r="N16" s="100" t="str">
        <f>IF(SUMIFS('📋 Registo Diário'!$I$7:$I$646,'📋 Registo Diário'!$D$7:$D$646,'⚙️ Configuração'!C39,'📋 Registo Diário'!$B$7:$B$646,"Semana "&amp;$J$5)=0,"-",ROUND(SUMIFS('📋 Registo Diário'!$E$7:$E$646,'📋 Registo Diário'!$D$7:$D$646,'⚙️ Configuração'!C39,'📋 Registo Diário'!$B$7:$B$646,"Semana "&amp;$J$5)/SUMIFS('📋 Registo Diário'!$I$7:$I$646,'📋 Registo Diário'!$D$7:$D$646,'⚙️ Configuração'!C39,'📋 Registo Diário'!$B$7:$B$646,"Semana "&amp;$J$5),1))</f>
        <v>-</v>
      </c>
    </row>
    <row r="17" spans="2:14" ht="21.75" customHeight="1" x14ac:dyDescent="0.2">
      <c r="B17" s="80" t="str">
        <f>'⚙️ Configuração'!C40</f>
        <v>Maria João Travassos</v>
      </c>
      <c r="C17" s="96">
        <f>IF(SUMIF('📋 Registo Diário'!$D$7:$D$646,'⚙️ Configuração'!C40,'📋 Registo Diário'!$F$7:$F$646)=0,"-",ROUND(SUMIF('📋 Registo Diário'!$D$7:$D$646,'⚙️ Configuração'!C40,'📋 Registo Diário'!$E$7:$E$646)/SUMIF('📋 Registo Diário'!$D$7:$D$646,'⚙️ Configuração'!C40,'📋 Registo Diário'!$F$7:$F$646),1))</f>
        <v>7.5</v>
      </c>
      <c r="D17" s="97" t="str">
        <f>IF(SUMIF('📋 Registo Diário'!$D$7:$D$646,'⚙️ Configuração'!C40,'📋 Registo Diário'!$G$7:$G$646)=0,"-",ROUND(SUMIF('📋 Registo Diário'!$D$7:$D$646,'⚙️ Configuração'!C40,'📋 Registo Diário'!$F$7:$F$646)/SUMIF('📋 Registo Diário'!$D$7:$D$646,'⚙️ Configuração'!C40,'📋 Registo Diário'!$G$7:$G$646),1))</f>
        <v>-</v>
      </c>
      <c r="E17" s="98" t="str">
        <f>IF(SUMIF('📋 Registo Diário'!$D$7:$D$646,'⚙️ Configuração'!C40,'📋 Registo Diário'!$H$7:$H$646)=0,"-",ROUND(SUMIF('📋 Registo Diário'!$D$7:$D$646,'⚙️ Configuração'!C40,'📋 Registo Diário'!$F$7:$F$646)/SUMIF('📋 Registo Diário'!$D$7:$D$646,'⚙️ Configuração'!C40,'📋 Registo Diário'!$H$7:$H$646),1))</f>
        <v>-</v>
      </c>
      <c r="F17" s="99" t="str">
        <f>IF(SUMIF('📋 Registo Diário'!$D$7:$D$646,'⚙️ Configuração'!C40,'📋 Registo Diário'!$I$7:$I$646)=0,"-",ROUND(SUMIF('📋 Registo Diário'!$D$7:$D$646,'⚙️ Configuração'!C40,'📋 Registo Diário'!$H$7:$H$646)/SUMIF('📋 Registo Diário'!$D$7:$D$646,'⚙️ Configuração'!C40,'📋 Registo Diário'!$I$7:$I$646),1))</f>
        <v>-</v>
      </c>
      <c r="G17" s="100" t="str">
        <f>IF(SUMIF('📋 Registo Diário'!$D$7:$D$646,'⚙️ Configuração'!C40,'📋 Registo Diário'!$I$7:$I$646)=0,"-",ROUND(SUMIF('📋 Registo Diário'!$D$7:$D$646,'⚙️ Configuração'!C40,'📋 Registo Diário'!$E$7:$E$646)/SUMIF('📋 Registo Diário'!$D$7:$D$646,'⚙️ Configuração'!C40,'📋 Registo Diário'!$I$7:$I$646),1))</f>
        <v>-</v>
      </c>
      <c r="I17" s="80" t="str">
        <f>'⚙️ Configuração'!C40</f>
        <v>Maria João Travassos</v>
      </c>
      <c r="J17" s="96">
        <f>IF(SUMIFS('📋 Registo Diário'!$F$7:$F$646,'📋 Registo Diário'!$D$7:$D$646,'⚙️ Configuração'!C40,'📋 Registo Diário'!$B$7:$B$646,"Semana "&amp;$J$5)=0,"-",ROUND(SUMIFS('📋 Registo Diário'!$E$7:$E$646,'📋 Registo Diário'!$D$7:$D$646,'⚙️ Configuração'!C40,'📋 Registo Diário'!$B$7:$B$646,"Semana "&amp;$J$5)/SUMIFS('📋 Registo Diário'!$F$7:$F$646,'📋 Registo Diário'!$D$7:$D$646,'⚙️ Configuração'!C40,'📋 Registo Diário'!$B$7:$B$646,"Semana "&amp;$J$5),1))</f>
        <v>7.5</v>
      </c>
      <c r="K17" s="97" t="str">
        <f>IF(SUMIFS('📋 Registo Diário'!$G$7:$G$646,'📋 Registo Diário'!$D$7:$D$646,'⚙️ Configuração'!C40,'📋 Registo Diário'!$B$7:$B$646,"Semana "&amp;$J$5)=0,"-",ROUND(SUMIFS('📋 Registo Diário'!$F$7:$F$646,'📋 Registo Diário'!$D$7:$D$646,'⚙️ Configuração'!C40,'📋 Registo Diário'!$B$7:$B$646,"Semana "&amp;$J$5)/SUMIFS('📋 Registo Diário'!$G$7:$G$646,'📋 Registo Diário'!$D$7:$D$646,'⚙️ Configuração'!C40,'📋 Registo Diário'!$B$7:$B$646,"Semana "&amp;$J$5),1))</f>
        <v>-</v>
      </c>
      <c r="L17" s="98" t="str">
        <f>IF(SUMIFS('📋 Registo Diário'!$H$7:$H$646,'📋 Registo Diário'!$D$7:$D$646,'⚙️ Configuração'!C40,'📋 Registo Diário'!$B$7:$B$646,"Semana "&amp;$J$5)=0,"-",ROUND(SUMIFS('📋 Registo Diário'!$F$7:$F$646,'📋 Registo Diário'!$D$7:$D$646,'⚙️ Configuração'!C40,'📋 Registo Diário'!$B$7:$B$646,"Semana "&amp;$J$5)/SUMIFS('📋 Registo Diário'!$H$7:$H$646,'📋 Registo Diário'!$D$7:$D$646,'⚙️ Configuração'!C40,'📋 Registo Diário'!$B$7:$B$646,"Semana "&amp;$J$5),1))</f>
        <v>-</v>
      </c>
      <c r="M17" s="99" t="str">
        <f>IF(SUMIFS('📋 Registo Diário'!$I$7:$I$646,'📋 Registo Diário'!$D$7:$D$646,'⚙️ Configuração'!C40,'📋 Registo Diário'!$B$7:$B$646,"Semana "&amp;$J$5)=0,"-",ROUND(SUMIFS('📋 Registo Diário'!$H$7:$H$646,'📋 Registo Diário'!$D$7:$D$646,'⚙️ Configuração'!C40,'📋 Registo Diário'!$B$7:$B$646,"Semana "&amp;$J$5)/SUMIFS('📋 Registo Diário'!$I$7:$I$646,'📋 Registo Diário'!$D$7:$D$646,'⚙️ Configuração'!C40,'📋 Registo Diário'!$B$7:$B$646,"Semana "&amp;$J$5),1))</f>
        <v>-</v>
      </c>
      <c r="N17" s="100" t="str">
        <f>IF(SUMIFS('📋 Registo Diário'!$I$7:$I$646,'📋 Registo Diário'!$D$7:$D$646,'⚙️ Configuração'!C40,'📋 Registo Diário'!$B$7:$B$646,"Semana "&amp;$J$5)=0,"-",ROUND(SUMIFS('📋 Registo Diário'!$E$7:$E$646,'📋 Registo Diário'!$D$7:$D$646,'⚙️ Configuração'!C40,'📋 Registo Diário'!$B$7:$B$646,"Semana "&amp;$J$5)/SUMIFS('📋 Registo Diário'!$I$7:$I$646,'📋 Registo Diário'!$D$7:$D$646,'⚙️ Configuração'!C40,'📋 Registo Diário'!$B$7:$B$646,"Semana "&amp;$J$5),1))</f>
        <v>-</v>
      </c>
    </row>
    <row r="18" spans="2:14" ht="21.75" customHeight="1" x14ac:dyDescent="0.2">
      <c r="B18" s="87" t="str">
        <f>'⚙️ Configuração'!C41</f>
        <v>Marta Torres</v>
      </c>
      <c r="C18" s="96">
        <f>IF(SUMIF('📋 Registo Diário'!$D$7:$D$646,'⚙️ Configuração'!C41,'📋 Registo Diário'!$F$7:$F$646)=0,"-",ROUND(SUMIF('📋 Registo Diário'!$D$7:$D$646,'⚙️ Configuração'!C41,'📋 Registo Diário'!$E$7:$E$646)/SUMIF('📋 Registo Diário'!$D$7:$D$646,'⚙️ Configuração'!C41,'📋 Registo Diário'!$F$7:$F$646),1))</f>
        <v>2.9</v>
      </c>
      <c r="D18" s="97">
        <f>IF(SUMIF('📋 Registo Diário'!$D$7:$D$646,'⚙️ Configuração'!C41,'📋 Registo Diário'!$G$7:$G$646)=0,"-",ROUND(SUMIF('📋 Registo Diário'!$D$7:$D$646,'⚙️ Configuração'!C41,'📋 Registo Diário'!$F$7:$F$646)/SUMIF('📋 Registo Diário'!$D$7:$D$646,'⚙️ Configuração'!C41,'📋 Registo Diário'!$G$7:$G$646),1))</f>
        <v>2.7</v>
      </c>
      <c r="E18" s="98" t="str">
        <f>IF(SUMIF('📋 Registo Diário'!$D$7:$D$646,'⚙️ Configuração'!C41,'📋 Registo Diário'!$H$7:$H$646)=0,"-",ROUND(SUMIF('📋 Registo Diário'!$D$7:$D$646,'⚙️ Configuração'!C41,'📋 Registo Diário'!$F$7:$F$646)/SUMIF('📋 Registo Diário'!$D$7:$D$646,'⚙️ Configuração'!C41,'📋 Registo Diário'!$H$7:$H$646),1))</f>
        <v>-</v>
      </c>
      <c r="F18" s="99" t="str">
        <f>IF(SUMIF('📋 Registo Diário'!$D$7:$D$646,'⚙️ Configuração'!C41,'📋 Registo Diário'!$I$7:$I$646)=0,"-",ROUND(SUMIF('📋 Registo Diário'!$D$7:$D$646,'⚙️ Configuração'!C41,'📋 Registo Diário'!$H$7:$H$646)/SUMIF('📋 Registo Diário'!$D$7:$D$646,'⚙️ Configuração'!C41,'📋 Registo Diário'!$I$7:$I$646),1))</f>
        <v>-</v>
      </c>
      <c r="G18" s="100" t="str">
        <f>IF(SUMIF('📋 Registo Diário'!$D$7:$D$646,'⚙️ Configuração'!C41,'📋 Registo Diário'!$I$7:$I$646)=0,"-",ROUND(SUMIF('📋 Registo Diário'!$D$7:$D$646,'⚙️ Configuração'!C41,'📋 Registo Diário'!$E$7:$E$646)/SUMIF('📋 Registo Diário'!$D$7:$D$646,'⚙️ Configuração'!C41,'📋 Registo Diário'!$I$7:$I$646),1))</f>
        <v>-</v>
      </c>
      <c r="I18" s="87" t="str">
        <f>'⚙️ Configuração'!C41</f>
        <v>Marta Torres</v>
      </c>
      <c r="J18" s="96">
        <f>IF(SUMIFS('📋 Registo Diário'!$F$7:$F$646,'📋 Registo Diário'!$D$7:$D$646,'⚙️ Configuração'!C41,'📋 Registo Diário'!$B$7:$B$646,"Semana "&amp;$J$5)=0,"-",ROUND(SUMIFS('📋 Registo Diário'!$E$7:$E$646,'📋 Registo Diário'!$D$7:$D$646,'⚙️ Configuração'!C41,'📋 Registo Diário'!$B$7:$B$646,"Semana "&amp;$J$5)/SUMIFS('📋 Registo Diário'!$F$7:$F$646,'📋 Registo Diário'!$D$7:$D$646,'⚙️ Configuração'!C41,'📋 Registo Diário'!$B$7:$B$646,"Semana "&amp;$J$5),1))</f>
        <v>2.9</v>
      </c>
      <c r="K18" s="97">
        <f>IF(SUMIFS('📋 Registo Diário'!$G$7:$G$646,'📋 Registo Diário'!$D$7:$D$646,'⚙️ Configuração'!C41,'📋 Registo Diário'!$B$7:$B$646,"Semana "&amp;$J$5)=0,"-",ROUND(SUMIFS('📋 Registo Diário'!$F$7:$F$646,'📋 Registo Diário'!$D$7:$D$646,'⚙️ Configuração'!C41,'📋 Registo Diário'!$B$7:$B$646,"Semana "&amp;$J$5)/SUMIFS('📋 Registo Diário'!$G$7:$G$646,'📋 Registo Diário'!$D$7:$D$646,'⚙️ Configuração'!C41,'📋 Registo Diário'!$B$7:$B$646,"Semana "&amp;$J$5),1))</f>
        <v>2.7</v>
      </c>
      <c r="L18" s="98" t="str">
        <f>IF(SUMIFS('📋 Registo Diário'!$H$7:$H$646,'📋 Registo Diário'!$D$7:$D$646,'⚙️ Configuração'!C41,'📋 Registo Diário'!$B$7:$B$646,"Semana "&amp;$J$5)=0,"-",ROUND(SUMIFS('📋 Registo Diário'!$F$7:$F$646,'📋 Registo Diário'!$D$7:$D$646,'⚙️ Configuração'!C41,'📋 Registo Diário'!$B$7:$B$646,"Semana "&amp;$J$5)/SUMIFS('📋 Registo Diário'!$H$7:$H$646,'📋 Registo Diário'!$D$7:$D$646,'⚙️ Configuração'!C41,'📋 Registo Diário'!$B$7:$B$646,"Semana "&amp;$J$5),1))</f>
        <v>-</v>
      </c>
      <c r="M18" s="99" t="str">
        <f>IF(SUMIFS('📋 Registo Diário'!$I$7:$I$646,'📋 Registo Diário'!$D$7:$D$646,'⚙️ Configuração'!C41,'📋 Registo Diário'!$B$7:$B$646,"Semana "&amp;$J$5)=0,"-",ROUND(SUMIFS('📋 Registo Diário'!$H$7:$H$646,'📋 Registo Diário'!$D$7:$D$646,'⚙️ Configuração'!C41,'📋 Registo Diário'!$B$7:$B$646,"Semana "&amp;$J$5)/SUMIFS('📋 Registo Diário'!$I$7:$I$646,'📋 Registo Diário'!$D$7:$D$646,'⚙️ Configuração'!C41,'📋 Registo Diário'!$B$7:$B$646,"Semana "&amp;$J$5),1))</f>
        <v>-</v>
      </c>
      <c r="N18" s="100" t="str">
        <f>IF(SUMIFS('📋 Registo Diário'!$I$7:$I$646,'📋 Registo Diário'!$D$7:$D$646,'⚙️ Configuração'!C41,'📋 Registo Diário'!$B$7:$B$646,"Semana "&amp;$J$5)=0,"-",ROUND(SUMIFS('📋 Registo Diário'!$E$7:$E$646,'📋 Registo Diário'!$D$7:$D$646,'⚙️ Configuração'!C41,'📋 Registo Diário'!$B$7:$B$646,"Semana "&amp;$J$5)/SUMIFS('📋 Registo Diário'!$I$7:$I$646,'📋 Registo Diário'!$D$7:$D$646,'⚙️ Configuração'!C41,'📋 Registo Diário'!$B$7:$B$646,"Semana "&amp;$J$5),1))</f>
        <v>-</v>
      </c>
    </row>
    <row r="19" spans="2:14" ht="21.75" customHeight="1" x14ac:dyDescent="0.2">
      <c r="B19" s="80" t="str">
        <f>'⚙️ Configuração'!C42</f>
        <v>Patricia Isabel Silva</v>
      </c>
      <c r="C19" s="96">
        <f>IF(SUMIF('📋 Registo Diário'!$D$7:$D$646,'⚙️ Configuração'!C42,'📋 Registo Diário'!$F$7:$F$646)=0,"-",ROUND(SUMIF('📋 Registo Diário'!$D$7:$D$646,'⚙️ Configuração'!C42,'📋 Registo Diário'!$E$7:$E$646)/SUMIF('📋 Registo Diário'!$D$7:$D$646,'⚙️ Configuração'!C42,'📋 Registo Diário'!$F$7:$F$646),1))</f>
        <v>5.2</v>
      </c>
      <c r="D19" s="97">
        <f>IF(SUMIF('📋 Registo Diário'!$D$7:$D$646,'⚙️ Configuração'!C42,'📋 Registo Diário'!$G$7:$G$646)=0,"-",ROUND(SUMIF('📋 Registo Diário'!$D$7:$D$646,'⚙️ Configuração'!C42,'📋 Registo Diário'!$F$7:$F$646)/SUMIF('📋 Registo Diário'!$D$7:$D$646,'⚙️ Configuração'!C42,'📋 Registo Diário'!$G$7:$G$646),1))</f>
        <v>5</v>
      </c>
      <c r="E19" s="98" t="str">
        <f>IF(SUMIF('📋 Registo Diário'!$D$7:$D$646,'⚙️ Configuração'!C42,'📋 Registo Diário'!$H$7:$H$646)=0,"-",ROUND(SUMIF('📋 Registo Diário'!$D$7:$D$646,'⚙️ Configuração'!C42,'📋 Registo Diário'!$F$7:$F$646)/SUMIF('📋 Registo Diário'!$D$7:$D$646,'⚙️ Configuração'!C42,'📋 Registo Diário'!$H$7:$H$646),1))</f>
        <v>-</v>
      </c>
      <c r="F19" s="99" t="str">
        <f>IF(SUMIF('📋 Registo Diário'!$D$7:$D$646,'⚙️ Configuração'!C42,'📋 Registo Diário'!$I$7:$I$646)=0,"-",ROUND(SUMIF('📋 Registo Diário'!$D$7:$D$646,'⚙️ Configuração'!C42,'📋 Registo Diário'!$H$7:$H$646)/SUMIF('📋 Registo Diário'!$D$7:$D$646,'⚙️ Configuração'!C42,'📋 Registo Diário'!$I$7:$I$646),1))</f>
        <v>-</v>
      </c>
      <c r="G19" s="100" t="str">
        <f>IF(SUMIF('📋 Registo Diário'!$D$7:$D$646,'⚙️ Configuração'!C42,'📋 Registo Diário'!$I$7:$I$646)=0,"-",ROUND(SUMIF('📋 Registo Diário'!$D$7:$D$646,'⚙️ Configuração'!C42,'📋 Registo Diário'!$E$7:$E$646)/SUMIF('📋 Registo Diário'!$D$7:$D$646,'⚙️ Configuração'!C42,'📋 Registo Diário'!$I$7:$I$646),1))</f>
        <v>-</v>
      </c>
      <c r="I19" s="80" t="str">
        <f>'⚙️ Configuração'!C42</f>
        <v>Patricia Isabel Silva</v>
      </c>
      <c r="J19" s="96">
        <f>IF(SUMIFS('📋 Registo Diário'!$F$7:$F$646,'📋 Registo Diário'!$D$7:$D$646,'⚙️ Configuração'!C42,'📋 Registo Diário'!$B$7:$B$646,"Semana "&amp;$J$5)=0,"-",ROUND(SUMIFS('📋 Registo Diário'!$E$7:$E$646,'📋 Registo Diário'!$D$7:$D$646,'⚙️ Configuração'!C42,'📋 Registo Diário'!$B$7:$B$646,"Semana "&amp;$J$5)/SUMIFS('📋 Registo Diário'!$F$7:$F$646,'📋 Registo Diário'!$D$7:$D$646,'⚙️ Configuração'!C42,'📋 Registo Diário'!$B$7:$B$646,"Semana "&amp;$J$5),1))</f>
        <v>5.2</v>
      </c>
      <c r="K19" s="97">
        <f>IF(SUMIFS('📋 Registo Diário'!$G$7:$G$646,'📋 Registo Diário'!$D$7:$D$646,'⚙️ Configuração'!C42,'📋 Registo Diário'!$B$7:$B$646,"Semana "&amp;$J$5)=0,"-",ROUND(SUMIFS('📋 Registo Diário'!$F$7:$F$646,'📋 Registo Diário'!$D$7:$D$646,'⚙️ Configuração'!C42,'📋 Registo Diário'!$B$7:$B$646,"Semana "&amp;$J$5)/SUMIFS('📋 Registo Diário'!$G$7:$G$646,'📋 Registo Diário'!$D$7:$D$646,'⚙️ Configuração'!C42,'📋 Registo Diário'!$B$7:$B$646,"Semana "&amp;$J$5),1))</f>
        <v>5</v>
      </c>
      <c r="L19" s="98" t="str">
        <f>IF(SUMIFS('📋 Registo Diário'!$H$7:$H$646,'📋 Registo Diário'!$D$7:$D$646,'⚙️ Configuração'!C42,'📋 Registo Diário'!$B$7:$B$646,"Semana "&amp;$J$5)=0,"-",ROUND(SUMIFS('📋 Registo Diário'!$F$7:$F$646,'📋 Registo Diário'!$D$7:$D$646,'⚙️ Configuração'!C42,'📋 Registo Diário'!$B$7:$B$646,"Semana "&amp;$J$5)/SUMIFS('📋 Registo Diário'!$H$7:$H$646,'📋 Registo Diário'!$D$7:$D$646,'⚙️ Configuração'!C42,'📋 Registo Diário'!$B$7:$B$646,"Semana "&amp;$J$5),1))</f>
        <v>-</v>
      </c>
      <c r="M19" s="99" t="str">
        <f>IF(SUMIFS('📋 Registo Diário'!$I$7:$I$646,'📋 Registo Diário'!$D$7:$D$646,'⚙️ Configuração'!C42,'📋 Registo Diário'!$B$7:$B$646,"Semana "&amp;$J$5)=0,"-",ROUND(SUMIFS('📋 Registo Diário'!$H$7:$H$646,'📋 Registo Diário'!$D$7:$D$646,'⚙️ Configuração'!C42,'📋 Registo Diário'!$B$7:$B$646,"Semana "&amp;$J$5)/SUMIFS('📋 Registo Diário'!$I$7:$I$646,'📋 Registo Diário'!$D$7:$D$646,'⚙️ Configuração'!C42,'📋 Registo Diário'!$B$7:$B$646,"Semana "&amp;$J$5),1))</f>
        <v>-</v>
      </c>
      <c r="N19" s="100" t="str">
        <f>IF(SUMIFS('📋 Registo Diário'!$I$7:$I$646,'📋 Registo Diário'!$D$7:$D$646,'⚙️ Configuração'!C42,'📋 Registo Diário'!$B$7:$B$646,"Semana "&amp;$J$5)=0,"-",ROUND(SUMIFS('📋 Registo Diário'!$E$7:$E$646,'📋 Registo Diário'!$D$7:$D$646,'⚙️ Configuração'!C42,'📋 Registo Diário'!$B$7:$B$646,"Semana "&amp;$J$5)/SUMIFS('📋 Registo Diário'!$I$7:$I$646,'📋 Registo Diário'!$D$7:$D$646,'⚙️ Configuração'!C42,'📋 Registo Diário'!$B$7:$B$646,"Semana "&amp;$J$5),1))</f>
        <v>-</v>
      </c>
    </row>
    <row r="20" spans="2:14" ht="21.75" customHeight="1" x14ac:dyDescent="0.2">
      <c r="B20" s="87" t="str">
        <f>'⚙️ Configuração'!C43</f>
        <v>Paula Martins</v>
      </c>
      <c r="C20" s="96" t="str">
        <f>IF(SUMIF('📋 Registo Diário'!$D$7:$D$646,'⚙️ Configuração'!C43,'📋 Registo Diário'!$F$7:$F$646)=0,"-",ROUND(SUMIF('📋 Registo Diário'!$D$7:$D$646,'⚙️ Configuração'!C43,'📋 Registo Diário'!$E$7:$E$646)/SUMIF('📋 Registo Diário'!$D$7:$D$646,'⚙️ Configuração'!C43,'📋 Registo Diário'!$F$7:$F$646),1))</f>
        <v>-</v>
      </c>
      <c r="D20" s="97" t="str">
        <f>IF(SUMIF('📋 Registo Diário'!$D$7:$D$646,'⚙️ Configuração'!C43,'📋 Registo Diário'!$G$7:$G$646)=0,"-",ROUND(SUMIF('📋 Registo Diário'!$D$7:$D$646,'⚙️ Configuração'!C43,'📋 Registo Diário'!$F$7:$F$646)/SUMIF('📋 Registo Diário'!$D$7:$D$646,'⚙️ Configuração'!C43,'📋 Registo Diário'!$G$7:$G$646),1))</f>
        <v>-</v>
      </c>
      <c r="E20" s="98" t="str">
        <f>IF(SUMIF('📋 Registo Diário'!$D$7:$D$646,'⚙️ Configuração'!C43,'📋 Registo Diário'!$H$7:$H$646)=0,"-",ROUND(SUMIF('📋 Registo Diário'!$D$7:$D$646,'⚙️ Configuração'!C43,'📋 Registo Diário'!$F$7:$F$646)/SUMIF('📋 Registo Diário'!$D$7:$D$646,'⚙️ Configuração'!C43,'📋 Registo Diário'!$H$7:$H$646),1))</f>
        <v>-</v>
      </c>
      <c r="F20" s="99" t="str">
        <f>IF(SUMIF('📋 Registo Diário'!$D$7:$D$646,'⚙️ Configuração'!C43,'📋 Registo Diário'!$I$7:$I$646)=0,"-",ROUND(SUMIF('📋 Registo Diário'!$D$7:$D$646,'⚙️ Configuração'!C43,'📋 Registo Diário'!$H$7:$H$646)/SUMIF('📋 Registo Diário'!$D$7:$D$646,'⚙️ Configuração'!C43,'📋 Registo Diário'!$I$7:$I$646),1))</f>
        <v>-</v>
      </c>
      <c r="G20" s="100" t="str">
        <f>IF(SUMIF('📋 Registo Diário'!$D$7:$D$646,'⚙️ Configuração'!C43,'📋 Registo Diário'!$I$7:$I$646)=0,"-",ROUND(SUMIF('📋 Registo Diário'!$D$7:$D$646,'⚙️ Configuração'!C43,'📋 Registo Diário'!$E$7:$E$646)/SUMIF('📋 Registo Diário'!$D$7:$D$646,'⚙️ Configuração'!C43,'📋 Registo Diário'!$I$7:$I$646),1))</f>
        <v>-</v>
      </c>
      <c r="I20" s="87" t="str">
        <f>'⚙️ Configuração'!C43</f>
        <v>Paula Martins</v>
      </c>
      <c r="J20" s="96" t="str">
        <f>IF(SUMIFS('📋 Registo Diário'!$F$7:$F$646,'📋 Registo Diário'!$D$7:$D$646,'⚙️ Configuração'!C43,'📋 Registo Diário'!$B$7:$B$646,"Semana "&amp;$J$5)=0,"-",ROUND(SUMIFS('📋 Registo Diário'!$E$7:$E$646,'📋 Registo Diário'!$D$7:$D$646,'⚙️ Configuração'!C43,'📋 Registo Diário'!$B$7:$B$646,"Semana "&amp;$J$5)/SUMIFS('📋 Registo Diário'!$F$7:$F$646,'📋 Registo Diário'!$D$7:$D$646,'⚙️ Configuração'!C43,'📋 Registo Diário'!$B$7:$B$646,"Semana "&amp;$J$5),1))</f>
        <v>-</v>
      </c>
      <c r="K20" s="97" t="str">
        <f>IF(SUMIFS('📋 Registo Diário'!$G$7:$G$646,'📋 Registo Diário'!$D$7:$D$646,'⚙️ Configuração'!C43,'📋 Registo Diário'!$B$7:$B$646,"Semana "&amp;$J$5)=0,"-",ROUND(SUMIFS('📋 Registo Diário'!$F$7:$F$646,'📋 Registo Diário'!$D$7:$D$646,'⚙️ Configuração'!C43,'📋 Registo Diário'!$B$7:$B$646,"Semana "&amp;$J$5)/SUMIFS('📋 Registo Diário'!$G$7:$G$646,'📋 Registo Diário'!$D$7:$D$646,'⚙️ Configuração'!C43,'📋 Registo Diário'!$B$7:$B$646,"Semana "&amp;$J$5),1))</f>
        <v>-</v>
      </c>
      <c r="L20" s="98" t="str">
        <f>IF(SUMIFS('📋 Registo Diário'!$H$7:$H$646,'📋 Registo Diário'!$D$7:$D$646,'⚙️ Configuração'!C43,'📋 Registo Diário'!$B$7:$B$646,"Semana "&amp;$J$5)=0,"-",ROUND(SUMIFS('📋 Registo Diário'!$F$7:$F$646,'📋 Registo Diário'!$D$7:$D$646,'⚙️ Configuração'!C43,'📋 Registo Diário'!$B$7:$B$646,"Semana "&amp;$J$5)/SUMIFS('📋 Registo Diário'!$H$7:$H$646,'📋 Registo Diário'!$D$7:$D$646,'⚙️ Configuração'!C43,'📋 Registo Diário'!$B$7:$B$646,"Semana "&amp;$J$5),1))</f>
        <v>-</v>
      </c>
      <c r="M20" s="99" t="str">
        <f>IF(SUMIFS('📋 Registo Diário'!$I$7:$I$646,'📋 Registo Diário'!$D$7:$D$646,'⚙️ Configuração'!C43,'📋 Registo Diário'!$B$7:$B$646,"Semana "&amp;$J$5)=0,"-",ROUND(SUMIFS('📋 Registo Diário'!$H$7:$H$646,'📋 Registo Diário'!$D$7:$D$646,'⚙️ Configuração'!C43,'📋 Registo Diário'!$B$7:$B$646,"Semana "&amp;$J$5)/SUMIFS('📋 Registo Diário'!$I$7:$I$646,'📋 Registo Diário'!$D$7:$D$646,'⚙️ Configuração'!C43,'📋 Registo Diário'!$B$7:$B$646,"Semana "&amp;$J$5),1))</f>
        <v>-</v>
      </c>
      <c r="N20" s="100" t="str">
        <f>IF(SUMIFS('📋 Registo Diário'!$I$7:$I$646,'📋 Registo Diário'!$D$7:$D$646,'⚙️ Configuração'!C43,'📋 Registo Diário'!$B$7:$B$646,"Semana "&amp;$J$5)=0,"-",ROUND(SUMIFS('📋 Registo Diário'!$E$7:$E$646,'📋 Registo Diário'!$D$7:$D$646,'⚙️ Configuração'!C43,'📋 Registo Diário'!$B$7:$B$646,"Semana "&amp;$J$5)/SUMIFS('📋 Registo Diário'!$I$7:$I$646,'📋 Registo Diário'!$D$7:$D$646,'⚙️ Configuração'!C43,'📋 Registo Diário'!$B$7:$B$646,"Semana "&amp;$J$5),1))</f>
        <v>-</v>
      </c>
    </row>
    <row r="21" spans="2:14" ht="21.75" customHeight="1" x14ac:dyDescent="0.2">
      <c r="B21" s="80" t="str">
        <f>'⚙️ Configuração'!C44</f>
        <v>Paula Miabara</v>
      </c>
      <c r="C21" s="96">
        <f>IF(SUMIF('📋 Registo Diário'!$D$7:$D$646,'⚙️ Configuração'!C44,'📋 Registo Diário'!$F$7:$F$646)=0,"-",ROUND(SUMIF('📋 Registo Diário'!$D$7:$D$646,'⚙️ Configuração'!C44,'📋 Registo Diário'!$E$7:$E$646)/SUMIF('📋 Registo Diário'!$D$7:$D$646,'⚙️ Configuração'!C44,'📋 Registo Diário'!$F$7:$F$646),1))</f>
        <v>2.7</v>
      </c>
      <c r="D21" s="97" t="str">
        <f>IF(SUMIF('📋 Registo Diário'!$D$7:$D$646,'⚙️ Configuração'!C44,'📋 Registo Diário'!$G$7:$G$646)=0,"-",ROUND(SUMIF('📋 Registo Diário'!$D$7:$D$646,'⚙️ Configuração'!C44,'📋 Registo Diário'!$F$7:$F$646)/SUMIF('📋 Registo Diário'!$D$7:$D$646,'⚙️ Configuração'!C44,'📋 Registo Diário'!$G$7:$G$646),1))</f>
        <v>-</v>
      </c>
      <c r="E21" s="98" t="str">
        <f>IF(SUMIF('📋 Registo Diário'!$D$7:$D$646,'⚙️ Configuração'!C44,'📋 Registo Diário'!$H$7:$H$646)=0,"-",ROUND(SUMIF('📋 Registo Diário'!$D$7:$D$646,'⚙️ Configuração'!C44,'📋 Registo Diário'!$F$7:$F$646)/SUMIF('📋 Registo Diário'!$D$7:$D$646,'⚙️ Configuração'!C44,'📋 Registo Diário'!$H$7:$H$646),1))</f>
        <v>-</v>
      </c>
      <c r="F21" s="99" t="str">
        <f>IF(SUMIF('📋 Registo Diário'!$D$7:$D$646,'⚙️ Configuração'!C44,'📋 Registo Diário'!$I$7:$I$646)=0,"-",ROUND(SUMIF('📋 Registo Diário'!$D$7:$D$646,'⚙️ Configuração'!C44,'📋 Registo Diário'!$H$7:$H$646)/SUMIF('📋 Registo Diário'!$D$7:$D$646,'⚙️ Configuração'!C44,'📋 Registo Diário'!$I$7:$I$646),1))</f>
        <v>-</v>
      </c>
      <c r="G21" s="100" t="str">
        <f>IF(SUMIF('📋 Registo Diário'!$D$7:$D$646,'⚙️ Configuração'!C44,'📋 Registo Diário'!$I$7:$I$646)=0,"-",ROUND(SUMIF('📋 Registo Diário'!$D$7:$D$646,'⚙️ Configuração'!C44,'📋 Registo Diário'!$E$7:$E$646)/SUMIF('📋 Registo Diário'!$D$7:$D$646,'⚙️ Configuração'!C44,'📋 Registo Diário'!$I$7:$I$646),1))</f>
        <v>-</v>
      </c>
      <c r="I21" s="80" t="str">
        <f>'⚙️ Configuração'!C44</f>
        <v>Paula Miabara</v>
      </c>
      <c r="J21" s="96">
        <f>IF(SUMIFS('📋 Registo Diário'!$F$7:$F$646,'📋 Registo Diário'!$D$7:$D$646,'⚙️ Configuração'!C44,'📋 Registo Diário'!$B$7:$B$646,"Semana "&amp;$J$5)=0,"-",ROUND(SUMIFS('📋 Registo Diário'!$E$7:$E$646,'📋 Registo Diário'!$D$7:$D$646,'⚙️ Configuração'!C44,'📋 Registo Diário'!$B$7:$B$646,"Semana "&amp;$J$5)/SUMIFS('📋 Registo Diário'!$F$7:$F$646,'📋 Registo Diário'!$D$7:$D$646,'⚙️ Configuração'!C44,'📋 Registo Diário'!$B$7:$B$646,"Semana "&amp;$J$5),1))</f>
        <v>2.7</v>
      </c>
      <c r="K21" s="97" t="str">
        <f>IF(SUMIFS('📋 Registo Diário'!$G$7:$G$646,'📋 Registo Diário'!$D$7:$D$646,'⚙️ Configuração'!C44,'📋 Registo Diário'!$B$7:$B$646,"Semana "&amp;$J$5)=0,"-",ROUND(SUMIFS('📋 Registo Diário'!$F$7:$F$646,'📋 Registo Diário'!$D$7:$D$646,'⚙️ Configuração'!C44,'📋 Registo Diário'!$B$7:$B$646,"Semana "&amp;$J$5)/SUMIFS('📋 Registo Diário'!$G$7:$G$646,'📋 Registo Diário'!$D$7:$D$646,'⚙️ Configuração'!C44,'📋 Registo Diário'!$B$7:$B$646,"Semana "&amp;$J$5),1))</f>
        <v>-</v>
      </c>
      <c r="L21" s="98" t="str">
        <f>IF(SUMIFS('📋 Registo Diário'!$H$7:$H$646,'📋 Registo Diário'!$D$7:$D$646,'⚙️ Configuração'!C44,'📋 Registo Diário'!$B$7:$B$646,"Semana "&amp;$J$5)=0,"-",ROUND(SUMIFS('📋 Registo Diário'!$F$7:$F$646,'📋 Registo Diário'!$D$7:$D$646,'⚙️ Configuração'!C44,'📋 Registo Diário'!$B$7:$B$646,"Semana "&amp;$J$5)/SUMIFS('📋 Registo Diário'!$H$7:$H$646,'📋 Registo Diário'!$D$7:$D$646,'⚙️ Configuração'!C44,'📋 Registo Diário'!$B$7:$B$646,"Semana "&amp;$J$5),1))</f>
        <v>-</v>
      </c>
      <c r="M21" s="99" t="str">
        <f>IF(SUMIFS('📋 Registo Diário'!$I$7:$I$646,'📋 Registo Diário'!$D$7:$D$646,'⚙️ Configuração'!C44,'📋 Registo Diário'!$B$7:$B$646,"Semana "&amp;$J$5)=0,"-",ROUND(SUMIFS('📋 Registo Diário'!$H$7:$H$646,'📋 Registo Diário'!$D$7:$D$646,'⚙️ Configuração'!C44,'📋 Registo Diário'!$B$7:$B$646,"Semana "&amp;$J$5)/SUMIFS('📋 Registo Diário'!$I$7:$I$646,'📋 Registo Diário'!$D$7:$D$646,'⚙️ Configuração'!C44,'📋 Registo Diário'!$B$7:$B$646,"Semana "&amp;$J$5),1))</f>
        <v>-</v>
      </c>
      <c r="N21" s="100" t="str">
        <f>IF(SUMIFS('📋 Registo Diário'!$I$7:$I$646,'📋 Registo Diário'!$D$7:$D$646,'⚙️ Configuração'!C44,'📋 Registo Diário'!$B$7:$B$646,"Semana "&amp;$J$5)=0,"-",ROUND(SUMIFS('📋 Registo Diário'!$E$7:$E$646,'📋 Registo Diário'!$D$7:$D$646,'⚙️ Configuração'!C44,'📋 Registo Diário'!$B$7:$B$646,"Semana "&amp;$J$5)/SUMIFS('📋 Registo Diário'!$I$7:$I$646,'📋 Registo Diário'!$D$7:$D$646,'⚙️ Configuração'!C44,'📋 Registo Diário'!$B$7:$B$646,"Semana "&amp;$J$5),1))</f>
        <v>-</v>
      </c>
    </row>
    <row r="22" spans="2:14" ht="21.75" customHeight="1" x14ac:dyDescent="0.2">
      <c r="B22" s="87" t="str">
        <f>'⚙️ Configuração'!C45</f>
        <v>Rita Carmo</v>
      </c>
      <c r="C22" s="96">
        <f>IF(SUMIF('📋 Registo Diário'!$D$7:$D$646,'⚙️ Configuração'!C45,'📋 Registo Diário'!$F$7:$F$646)=0,"-",ROUND(SUMIF('📋 Registo Diário'!$D$7:$D$646,'⚙️ Configuração'!C45,'📋 Registo Diário'!$E$7:$E$646)/SUMIF('📋 Registo Diário'!$D$7:$D$646,'⚙️ Configuração'!C45,'📋 Registo Diário'!$F$7:$F$646),1))</f>
        <v>6.6</v>
      </c>
      <c r="D22" s="97">
        <f>IF(SUMIF('📋 Registo Diário'!$D$7:$D$646,'⚙️ Configuração'!C45,'📋 Registo Diário'!$G$7:$G$646)=0,"-",ROUND(SUMIF('📋 Registo Diário'!$D$7:$D$646,'⚙️ Configuração'!C45,'📋 Registo Diário'!$F$7:$F$646)/SUMIF('📋 Registo Diário'!$D$7:$D$646,'⚙️ Configuração'!C45,'📋 Registo Diário'!$G$7:$G$646),1))</f>
        <v>2.5</v>
      </c>
      <c r="E22" s="98" t="str">
        <f>IF(SUMIF('📋 Registo Diário'!$D$7:$D$646,'⚙️ Configuração'!C45,'📋 Registo Diário'!$H$7:$H$646)=0,"-",ROUND(SUMIF('📋 Registo Diário'!$D$7:$D$646,'⚙️ Configuração'!C45,'📋 Registo Diário'!$F$7:$F$646)/SUMIF('📋 Registo Diário'!$D$7:$D$646,'⚙️ Configuração'!C45,'📋 Registo Diário'!$H$7:$H$646),1))</f>
        <v>-</v>
      </c>
      <c r="F22" s="99" t="str">
        <f>IF(SUMIF('📋 Registo Diário'!$D$7:$D$646,'⚙️ Configuração'!C45,'📋 Registo Diário'!$I$7:$I$646)=0,"-",ROUND(SUMIF('📋 Registo Diário'!$D$7:$D$646,'⚙️ Configuração'!C45,'📋 Registo Diário'!$H$7:$H$646)/SUMIF('📋 Registo Diário'!$D$7:$D$646,'⚙️ Configuração'!C45,'📋 Registo Diário'!$I$7:$I$646),1))</f>
        <v>-</v>
      </c>
      <c r="G22" s="100" t="str">
        <f>IF(SUMIF('📋 Registo Diário'!$D$7:$D$646,'⚙️ Configuração'!C45,'📋 Registo Diário'!$I$7:$I$646)=0,"-",ROUND(SUMIF('📋 Registo Diário'!$D$7:$D$646,'⚙️ Configuração'!C45,'📋 Registo Diário'!$E$7:$E$646)/SUMIF('📋 Registo Diário'!$D$7:$D$646,'⚙️ Configuração'!C45,'📋 Registo Diário'!$I$7:$I$646),1))</f>
        <v>-</v>
      </c>
      <c r="I22" s="87" t="str">
        <f>'⚙️ Configuração'!C45</f>
        <v>Rita Carmo</v>
      </c>
      <c r="J22" s="96">
        <f>IF(SUMIFS('📋 Registo Diário'!$F$7:$F$646,'📋 Registo Diário'!$D$7:$D$646,'⚙️ Configuração'!C45,'📋 Registo Diário'!$B$7:$B$646,"Semana "&amp;$J$5)=0,"-",ROUND(SUMIFS('📋 Registo Diário'!$E$7:$E$646,'📋 Registo Diário'!$D$7:$D$646,'⚙️ Configuração'!C45,'📋 Registo Diário'!$B$7:$B$646,"Semana "&amp;$J$5)/SUMIFS('📋 Registo Diário'!$F$7:$F$646,'📋 Registo Diário'!$D$7:$D$646,'⚙️ Configuração'!C45,'📋 Registo Diário'!$B$7:$B$646,"Semana "&amp;$J$5),1))</f>
        <v>6.6</v>
      </c>
      <c r="K22" s="97">
        <f>IF(SUMIFS('📋 Registo Diário'!$G$7:$G$646,'📋 Registo Diário'!$D$7:$D$646,'⚙️ Configuração'!C45,'📋 Registo Diário'!$B$7:$B$646,"Semana "&amp;$J$5)=0,"-",ROUND(SUMIFS('📋 Registo Diário'!$F$7:$F$646,'📋 Registo Diário'!$D$7:$D$646,'⚙️ Configuração'!C45,'📋 Registo Diário'!$B$7:$B$646,"Semana "&amp;$J$5)/SUMIFS('📋 Registo Diário'!$G$7:$G$646,'📋 Registo Diário'!$D$7:$D$646,'⚙️ Configuração'!C45,'📋 Registo Diário'!$B$7:$B$646,"Semana "&amp;$J$5),1))</f>
        <v>2.5</v>
      </c>
      <c r="L22" s="98" t="str">
        <f>IF(SUMIFS('📋 Registo Diário'!$H$7:$H$646,'📋 Registo Diário'!$D$7:$D$646,'⚙️ Configuração'!C45,'📋 Registo Diário'!$B$7:$B$646,"Semana "&amp;$J$5)=0,"-",ROUND(SUMIFS('📋 Registo Diário'!$F$7:$F$646,'📋 Registo Diário'!$D$7:$D$646,'⚙️ Configuração'!C45,'📋 Registo Diário'!$B$7:$B$646,"Semana "&amp;$J$5)/SUMIFS('📋 Registo Diário'!$H$7:$H$646,'📋 Registo Diário'!$D$7:$D$646,'⚙️ Configuração'!C45,'📋 Registo Diário'!$B$7:$B$646,"Semana "&amp;$J$5),1))</f>
        <v>-</v>
      </c>
      <c r="M22" s="99" t="str">
        <f>IF(SUMIFS('📋 Registo Diário'!$I$7:$I$646,'📋 Registo Diário'!$D$7:$D$646,'⚙️ Configuração'!C45,'📋 Registo Diário'!$B$7:$B$646,"Semana "&amp;$J$5)=0,"-",ROUND(SUMIFS('📋 Registo Diário'!$H$7:$H$646,'📋 Registo Diário'!$D$7:$D$646,'⚙️ Configuração'!C45,'📋 Registo Diário'!$B$7:$B$646,"Semana "&amp;$J$5)/SUMIFS('📋 Registo Diário'!$I$7:$I$646,'📋 Registo Diário'!$D$7:$D$646,'⚙️ Configuração'!C45,'📋 Registo Diário'!$B$7:$B$646,"Semana "&amp;$J$5),1))</f>
        <v>-</v>
      </c>
      <c r="N22" s="100" t="str">
        <f>IF(SUMIFS('📋 Registo Diário'!$I$7:$I$646,'📋 Registo Diário'!$D$7:$D$646,'⚙️ Configuração'!C45,'📋 Registo Diário'!$B$7:$B$646,"Semana "&amp;$J$5)=0,"-",ROUND(SUMIFS('📋 Registo Diário'!$E$7:$E$646,'📋 Registo Diário'!$D$7:$D$646,'⚙️ Configuração'!C45,'📋 Registo Diário'!$B$7:$B$646,"Semana "&amp;$J$5)/SUMIFS('📋 Registo Diário'!$I$7:$I$646,'📋 Registo Diário'!$D$7:$D$646,'⚙️ Configuração'!C45,'📋 Registo Diário'!$B$7:$B$646,"Semana "&amp;$J$5),1))</f>
        <v>-</v>
      </c>
    </row>
    <row r="23" spans="2:14" ht="21.75" customHeight="1" x14ac:dyDescent="0.2">
      <c r="B23" s="80" t="str">
        <f>'⚙️ Configuração'!C46</f>
        <v>William Fernandes</v>
      </c>
      <c r="C23" s="96">
        <f>IF(SUMIF('📋 Registo Diário'!$D$7:$D$646,'⚙️ Configuração'!C46,'📋 Registo Diário'!$F$7:$F$646)=0,"-",ROUND(SUMIF('📋 Registo Diário'!$D$7:$D$646,'⚙️ Configuração'!C46,'📋 Registo Diário'!$E$7:$E$646)/SUMIF('📋 Registo Diário'!$D$7:$D$646,'⚙️ Configuração'!C46,'📋 Registo Diário'!$F$7:$F$646),1))</f>
        <v>2.8</v>
      </c>
      <c r="D23" s="97">
        <f>IF(SUMIF('📋 Registo Diário'!$D$7:$D$646,'⚙️ Configuração'!C46,'📋 Registo Diário'!$G$7:$G$646)=0,"-",ROUND(SUMIF('📋 Registo Diário'!$D$7:$D$646,'⚙️ Configuração'!C46,'📋 Registo Diário'!$F$7:$F$646)/SUMIF('📋 Registo Diário'!$D$7:$D$646,'⚙️ Configuração'!C46,'📋 Registo Diário'!$G$7:$G$646),1))</f>
        <v>2.2999999999999998</v>
      </c>
      <c r="E23" s="98" t="str">
        <f>IF(SUMIF('📋 Registo Diário'!$D$7:$D$646,'⚙️ Configuração'!C46,'📋 Registo Diário'!$H$7:$H$646)=0,"-",ROUND(SUMIF('📋 Registo Diário'!$D$7:$D$646,'⚙️ Configuração'!C46,'📋 Registo Diário'!$F$7:$F$646)/SUMIF('📋 Registo Diário'!$D$7:$D$646,'⚙️ Configuração'!C46,'📋 Registo Diário'!$H$7:$H$646),1))</f>
        <v>-</v>
      </c>
      <c r="F23" s="99" t="str">
        <f>IF(SUMIF('📋 Registo Diário'!$D$7:$D$646,'⚙️ Configuração'!C46,'📋 Registo Diário'!$I$7:$I$646)=0,"-",ROUND(SUMIF('📋 Registo Diário'!$D$7:$D$646,'⚙️ Configuração'!C46,'📋 Registo Diário'!$H$7:$H$646)/SUMIF('📋 Registo Diário'!$D$7:$D$646,'⚙️ Configuração'!C46,'📋 Registo Diário'!$I$7:$I$646),1))</f>
        <v>-</v>
      </c>
      <c r="G23" s="100" t="str">
        <f>IF(SUMIF('📋 Registo Diário'!$D$7:$D$646,'⚙️ Configuração'!C46,'📋 Registo Diário'!$I$7:$I$646)=0,"-",ROUND(SUMIF('📋 Registo Diário'!$D$7:$D$646,'⚙️ Configuração'!C46,'📋 Registo Diário'!$E$7:$E$646)/SUMIF('📋 Registo Diário'!$D$7:$D$646,'⚙️ Configuração'!C46,'📋 Registo Diário'!$I$7:$I$646),1))</f>
        <v>-</v>
      </c>
      <c r="I23" s="80" t="str">
        <f>'⚙️ Configuração'!C46</f>
        <v>William Fernandes</v>
      </c>
      <c r="J23" s="96">
        <f>IF(SUMIFS('📋 Registo Diário'!$F$7:$F$646,'📋 Registo Diário'!$D$7:$D$646,'⚙️ Configuração'!C46,'📋 Registo Diário'!$B$7:$B$646,"Semana "&amp;$J$5)=0,"-",ROUND(SUMIFS('📋 Registo Diário'!$E$7:$E$646,'📋 Registo Diário'!$D$7:$D$646,'⚙️ Configuração'!C46,'📋 Registo Diário'!$B$7:$B$646,"Semana "&amp;$J$5)/SUMIFS('📋 Registo Diário'!$F$7:$F$646,'📋 Registo Diário'!$D$7:$D$646,'⚙️ Configuração'!C46,'📋 Registo Diário'!$B$7:$B$646,"Semana "&amp;$J$5),1))</f>
        <v>2.8</v>
      </c>
      <c r="K23" s="97">
        <f>IF(SUMIFS('📋 Registo Diário'!$G$7:$G$646,'📋 Registo Diário'!$D$7:$D$646,'⚙️ Configuração'!C46,'📋 Registo Diário'!$B$7:$B$646,"Semana "&amp;$J$5)=0,"-",ROUND(SUMIFS('📋 Registo Diário'!$F$7:$F$646,'📋 Registo Diário'!$D$7:$D$646,'⚙️ Configuração'!C46,'📋 Registo Diário'!$B$7:$B$646,"Semana "&amp;$J$5)/SUMIFS('📋 Registo Diário'!$G$7:$G$646,'📋 Registo Diário'!$D$7:$D$646,'⚙️ Configuração'!C46,'📋 Registo Diário'!$B$7:$B$646,"Semana "&amp;$J$5),1))</f>
        <v>2.2999999999999998</v>
      </c>
      <c r="L23" s="98" t="str">
        <f>IF(SUMIFS('📋 Registo Diário'!$H$7:$H$646,'📋 Registo Diário'!$D$7:$D$646,'⚙️ Configuração'!C46,'📋 Registo Diário'!$B$7:$B$646,"Semana "&amp;$J$5)=0,"-",ROUND(SUMIFS('📋 Registo Diário'!$F$7:$F$646,'📋 Registo Diário'!$D$7:$D$646,'⚙️ Configuração'!C46,'📋 Registo Diário'!$B$7:$B$646,"Semana "&amp;$J$5)/SUMIFS('📋 Registo Diário'!$H$7:$H$646,'📋 Registo Diário'!$D$7:$D$646,'⚙️ Configuração'!C46,'📋 Registo Diário'!$B$7:$B$646,"Semana "&amp;$J$5),1))</f>
        <v>-</v>
      </c>
      <c r="M23" s="99" t="str">
        <f>IF(SUMIFS('📋 Registo Diário'!$I$7:$I$646,'📋 Registo Diário'!$D$7:$D$646,'⚙️ Configuração'!C46,'📋 Registo Diário'!$B$7:$B$646,"Semana "&amp;$J$5)=0,"-",ROUND(SUMIFS('📋 Registo Diário'!$H$7:$H$646,'📋 Registo Diário'!$D$7:$D$646,'⚙️ Configuração'!C46,'📋 Registo Diário'!$B$7:$B$646,"Semana "&amp;$J$5)/SUMIFS('📋 Registo Diário'!$I$7:$I$646,'📋 Registo Diário'!$D$7:$D$646,'⚙️ Configuração'!C46,'📋 Registo Diário'!$B$7:$B$646,"Semana "&amp;$J$5),1))</f>
        <v>-</v>
      </c>
      <c r="N23" s="100" t="str">
        <f>IF(SUMIFS('📋 Registo Diário'!$I$7:$I$646,'📋 Registo Diário'!$D$7:$D$646,'⚙️ Configuração'!C46,'📋 Registo Diário'!$B$7:$B$646,"Semana "&amp;$J$5)=0,"-",ROUND(SUMIFS('📋 Registo Diário'!$E$7:$E$646,'📋 Registo Diário'!$D$7:$D$646,'⚙️ Configuração'!C46,'📋 Registo Diário'!$B$7:$B$646,"Semana "&amp;$J$5)/SUMIFS('📋 Registo Diário'!$I$7:$I$646,'📋 Registo Diário'!$D$7:$D$646,'⚙️ Configuração'!C46,'📋 Registo Diário'!$B$7:$B$646,"Semana "&amp;$J$5),1))</f>
        <v>-</v>
      </c>
    </row>
    <row r="24" spans="2:14" ht="21.75" customHeight="1" x14ac:dyDescent="0.2">
      <c r="B24" s="87" t="str">
        <f>'⚙️ Configuração'!C47</f>
        <v>-</v>
      </c>
      <c r="C24" s="96" t="str">
        <f>IF(SUMIF('📋 Registo Diário'!$D$7:$D$646,'⚙️ Configuração'!C47,'📋 Registo Diário'!$F$7:$F$646)=0,"-",ROUND(SUMIF('📋 Registo Diário'!$D$7:$D$646,'⚙️ Configuração'!C47,'📋 Registo Diário'!$E$7:$E$646)/SUMIF('📋 Registo Diário'!$D$7:$D$646,'⚙️ Configuração'!C47,'📋 Registo Diário'!$F$7:$F$646),1))</f>
        <v>-</v>
      </c>
      <c r="D24" s="97" t="str">
        <f>IF(SUMIF('📋 Registo Diário'!$D$7:$D$646,'⚙️ Configuração'!C47,'📋 Registo Diário'!$G$7:$G$646)=0,"-",ROUND(SUMIF('📋 Registo Diário'!$D$7:$D$646,'⚙️ Configuração'!C47,'📋 Registo Diário'!$F$7:$F$646)/SUMIF('📋 Registo Diário'!$D$7:$D$646,'⚙️ Configuração'!C47,'📋 Registo Diário'!$G$7:$G$646),1))</f>
        <v>-</v>
      </c>
      <c r="E24" s="98" t="str">
        <f>IF(SUMIF('📋 Registo Diário'!$D$7:$D$646,'⚙️ Configuração'!C47,'📋 Registo Diário'!$H$7:$H$646)=0,"-",ROUND(SUMIF('📋 Registo Diário'!$D$7:$D$646,'⚙️ Configuração'!C47,'📋 Registo Diário'!$F$7:$F$646)/SUMIF('📋 Registo Diário'!$D$7:$D$646,'⚙️ Configuração'!C47,'📋 Registo Diário'!$H$7:$H$646),1))</f>
        <v>-</v>
      </c>
      <c r="F24" s="99" t="str">
        <f>IF(SUMIF('📋 Registo Diário'!$D$7:$D$646,'⚙️ Configuração'!C47,'📋 Registo Diário'!$I$7:$I$646)=0,"-",ROUND(SUMIF('📋 Registo Diário'!$D$7:$D$646,'⚙️ Configuração'!C47,'📋 Registo Diário'!$H$7:$H$646)/SUMIF('📋 Registo Diário'!$D$7:$D$646,'⚙️ Configuração'!C47,'📋 Registo Diário'!$I$7:$I$646),1))</f>
        <v>-</v>
      </c>
      <c r="G24" s="100" t="str">
        <f>IF(SUMIF('📋 Registo Diário'!$D$7:$D$646,'⚙️ Configuração'!C47,'📋 Registo Diário'!$I$7:$I$646)=0,"-",ROUND(SUMIF('📋 Registo Diário'!$D$7:$D$646,'⚙️ Configuração'!C47,'📋 Registo Diário'!$E$7:$E$646)/SUMIF('📋 Registo Diário'!$D$7:$D$646,'⚙️ Configuração'!C47,'📋 Registo Diário'!$I$7:$I$646),1))</f>
        <v>-</v>
      </c>
      <c r="I24" s="87" t="str">
        <f>'⚙️ Configuração'!C47</f>
        <v>-</v>
      </c>
      <c r="J24" s="96" t="str">
        <f>IF(SUMIFS('📋 Registo Diário'!$F$7:$F$646,'📋 Registo Diário'!$D$7:$D$646,'⚙️ Configuração'!C47,'📋 Registo Diário'!$B$7:$B$646,"Semana "&amp;$J$5)=0,"-",ROUND(SUMIFS('📋 Registo Diário'!$E$7:$E$646,'📋 Registo Diário'!$D$7:$D$646,'⚙️ Configuração'!C47,'📋 Registo Diário'!$B$7:$B$646,"Semana "&amp;$J$5)/SUMIFS('📋 Registo Diário'!$F$7:$F$646,'📋 Registo Diário'!$D$7:$D$646,'⚙️ Configuração'!C47,'📋 Registo Diário'!$B$7:$B$646,"Semana "&amp;$J$5),1))</f>
        <v>-</v>
      </c>
      <c r="K24" s="97" t="str">
        <f>IF(SUMIFS('📋 Registo Diário'!$G$7:$G$646,'📋 Registo Diário'!$D$7:$D$646,'⚙️ Configuração'!C47,'📋 Registo Diário'!$B$7:$B$646,"Semana "&amp;$J$5)=0,"-",ROUND(SUMIFS('📋 Registo Diário'!$F$7:$F$646,'📋 Registo Diário'!$D$7:$D$646,'⚙️ Configuração'!C47,'📋 Registo Diário'!$B$7:$B$646,"Semana "&amp;$J$5)/SUMIFS('📋 Registo Diário'!$G$7:$G$646,'📋 Registo Diário'!$D$7:$D$646,'⚙️ Configuração'!C47,'📋 Registo Diário'!$B$7:$B$646,"Semana "&amp;$J$5),1))</f>
        <v>-</v>
      </c>
      <c r="L24" s="98" t="str">
        <f>IF(SUMIFS('📋 Registo Diário'!$H$7:$H$646,'📋 Registo Diário'!$D$7:$D$646,'⚙️ Configuração'!C47,'📋 Registo Diário'!$B$7:$B$646,"Semana "&amp;$J$5)=0,"-",ROUND(SUMIFS('📋 Registo Diário'!$F$7:$F$646,'📋 Registo Diário'!$D$7:$D$646,'⚙️ Configuração'!C47,'📋 Registo Diário'!$B$7:$B$646,"Semana "&amp;$J$5)/SUMIFS('📋 Registo Diário'!$H$7:$H$646,'📋 Registo Diário'!$D$7:$D$646,'⚙️ Configuração'!C47,'📋 Registo Diário'!$B$7:$B$646,"Semana "&amp;$J$5),1))</f>
        <v>-</v>
      </c>
      <c r="M24" s="99" t="str">
        <f>IF(SUMIFS('📋 Registo Diário'!$I$7:$I$646,'📋 Registo Diário'!$D$7:$D$646,'⚙️ Configuração'!C47,'📋 Registo Diário'!$B$7:$B$646,"Semana "&amp;$J$5)=0,"-",ROUND(SUMIFS('📋 Registo Diário'!$H$7:$H$646,'📋 Registo Diário'!$D$7:$D$646,'⚙️ Configuração'!C47,'📋 Registo Diário'!$B$7:$B$646,"Semana "&amp;$J$5)/SUMIFS('📋 Registo Diário'!$I$7:$I$646,'📋 Registo Diário'!$D$7:$D$646,'⚙️ Configuração'!C47,'📋 Registo Diário'!$B$7:$B$646,"Semana "&amp;$J$5),1))</f>
        <v>-</v>
      </c>
      <c r="N24" s="100" t="str">
        <f>IF(SUMIFS('📋 Registo Diário'!$I$7:$I$646,'📋 Registo Diário'!$D$7:$D$646,'⚙️ Configuração'!C47,'📋 Registo Diário'!$B$7:$B$646,"Semana "&amp;$J$5)=0,"-",ROUND(SUMIFS('📋 Registo Diário'!$E$7:$E$646,'📋 Registo Diário'!$D$7:$D$646,'⚙️ Configuração'!C47,'📋 Registo Diário'!$B$7:$B$646,"Semana "&amp;$J$5)/SUMIFS('📋 Registo Diário'!$I$7:$I$646,'📋 Registo Diário'!$D$7:$D$646,'⚙️ Configuração'!C47,'📋 Registo Diário'!$B$7:$B$646,"Semana "&amp;$J$5),1))</f>
        <v>-</v>
      </c>
    </row>
    <row r="25" spans="2:14" ht="21.75" customHeight="1" x14ac:dyDescent="0.2">
      <c r="B25" s="80" t="str">
        <f>'⚙️ Configuração'!C48</f>
        <v>-</v>
      </c>
      <c r="C25" s="96" t="str">
        <f>IF(SUMIF('📋 Registo Diário'!$D$7:$D$646,'⚙️ Configuração'!C48,'📋 Registo Diário'!$F$7:$F$646)=0,"-",ROUND(SUMIF('📋 Registo Diário'!$D$7:$D$646,'⚙️ Configuração'!C48,'📋 Registo Diário'!$E$7:$E$646)/SUMIF('📋 Registo Diário'!$D$7:$D$646,'⚙️ Configuração'!C48,'📋 Registo Diário'!$F$7:$F$646),1))</f>
        <v>-</v>
      </c>
      <c r="D25" s="97" t="str">
        <f>IF(SUMIF('📋 Registo Diário'!$D$7:$D$646,'⚙️ Configuração'!C48,'📋 Registo Diário'!$G$7:$G$646)=0,"-",ROUND(SUMIF('📋 Registo Diário'!$D$7:$D$646,'⚙️ Configuração'!C48,'📋 Registo Diário'!$F$7:$F$646)/SUMIF('📋 Registo Diário'!$D$7:$D$646,'⚙️ Configuração'!C48,'📋 Registo Diário'!$G$7:$G$646),1))</f>
        <v>-</v>
      </c>
      <c r="E25" s="98" t="str">
        <f>IF(SUMIF('📋 Registo Diário'!$D$7:$D$646,'⚙️ Configuração'!C48,'📋 Registo Diário'!$H$7:$H$646)=0,"-",ROUND(SUMIF('📋 Registo Diário'!$D$7:$D$646,'⚙️ Configuração'!C48,'📋 Registo Diário'!$F$7:$F$646)/SUMIF('📋 Registo Diário'!$D$7:$D$646,'⚙️ Configuração'!C48,'📋 Registo Diário'!$H$7:$H$646),1))</f>
        <v>-</v>
      </c>
      <c r="F25" s="99" t="str">
        <f>IF(SUMIF('📋 Registo Diário'!$D$7:$D$646,'⚙️ Configuração'!C48,'📋 Registo Diário'!$I$7:$I$646)=0,"-",ROUND(SUMIF('📋 Registo Diário'!$D$7:$D$646,'⚙️ Configuração'!C48,'📋 Registo Diário'!$H$7:$H$646)/SUMIF('📋 Registo Diário'!$D$7:$D$646,'⚙️ Configuração'!C48,'📋 Registo Diário'!$I$7:$I$646),1))</f>
        <v>-</v>
      </c>
      <c r="G25" s="100" t="str">
        <f>IF(SUMIF('📋 Registo Diário'!$D$7:$D$646,'⚙️ Configuração'!C48,'📋 Registo Diário'!$I$7:$I$646)=0,"-",ROUND(SUMIF('📋 Registo Diário'!$D$7:$D$646,'⚙️ Configuração'!C48,'📋 Registo Diário'!$E$7:$E$646)/SUMIF('📋 Registo Diário'!$D$7:$D$646,'⚙️ Configuração'!C48,'📋 Registo Diário'!$I$7:$I$646),1))</f>
        <v>-</v>
      </c>
      <c r="I25" s="80" t="str">
        <f>'⚙️ Configuração'!C48</f>
        <v>-</v>
      </c>
      <c r="J25" s="96" t="str">
        <f>IF(SUMIFS('📋 Registo Diário'!$F$7:$F$646,'📋 Registo Diário'!$D$7:$D$646,'⚙️ Configuração'!C48,'📋 Registo Diário'!$B$7:$B$646,"Semana "&amp;$J$5)=0,"-",ROUND(SUMIFS('📋 Registo Diário'!$E$7:$E$646,'📋 Registo Diário'!$D$7:$D$646,'⚙️ Configuração'!C48,'📋 Registo Diário'!$B$7:$B$646,"Semana "&amp;$J$5)/SUMIFS('📋 Registo Diário'!$F$7:$F$646,'📋 Registo Diário'!$D$7:$D$646,'⚙️ Configuração'!C48,'📋 Registo Diário'!$B$7:$B$646,"Semana "&amp;$J$5),1))</f>
        <v>-</v>
      </c>
      <c r="K25" s="97" t="str">
        <f>IF(SUMIFS('📋 Registo Diário'!$G$7:$G$646,'📋 Registo Diário'!$D$7:$D$646,'⚙️ Configuração'!C48,'📋 Registo Diário'!$B$7:$B$646,"Semana "&amp;$J$5)=0,"-",ROUND(SUMIFS('📋 Registo Diário'!$F$7:$F$646,'📋 Registo Diário'!$D$7:$D$646,'⚙️ Configuração'!C48,'📋 Registo Diário'!$B$7:$B$646,"Semana "&amp;$J$5)/SUMIFS('📋 Registo Diário'!$G$7:$G$646,'📋 Registo Diário'!$D$7:$D$646,'⚙️ Configuração'!C48,'📋 Registo Diário'!$B$7:$B$646,"Semana "&amp;$J$5),1))</f>
        <v>-</v>
      </c>
      <c r="L25" s="98" t="str">
        <f>IF(SUMIFS('📋 Registo Diário'!$H$7:$H$646,'📋 Registo Diário'!$D$7:$D$646,'⚙️ Configuração'!C48,'📋 Registo Diário'!$B$7:$B$646,"Semana "&amp;$J$5)=0,"-",ROUND(SUMIFS('📋 Registo Diário'!$F$7:$F$646,'📋 Registo Diário'!$D$7:$D$646,'⚙️ Configuração'!C48,'📋 Registo Diário'!$B$7:$B$646,"Semana "&amp;$J$5)/SUMIFS('📋 Registo Diário'!$H$7:$H$646,'📋 Registo Diário'!$D$7:$D$646,'⚙️ Configuração'!C48,'📋 Registo Diário'!$B$7:$B$646,"Semana "&amp;$J$5),1))</f>
        <v>-</v>
      </c>
      <c r="M25" s="99" t="str">
        <f>IF(SUMIFS('📋 Registo Diário'!$I$7:$I$646,'📋 Registo Diário'!$D$7:$D$646,'⚙️ Configuração'!C48,'📋 Registo Diário'!$B$7:$B$646,"Semana "&amp;$J$5)=0,"-",ROUND(SUMIFS('📋 Registo Diário'!$H$7:$H$646,'📋 Registo Diário'!$D$7:$D$646,'⚙️ Configuração'!C48,'📋 Registo Diário'!$B$7:$B$646,"Semana "&amp;$J$5)/SUMIFS('📋 Registo Diário'!$I$7:$I$646,'📋 Registo Diário'!$D$7:$D$646,'⚙️ Configuração'!C48,'📋 Registo Diário'!$B$7:$B$646,"Semana "&amp;$J$5),1))</f>
        <v>-</v>
      </c>
      <c r="N25" s="100" t="str">
        <f>IF(SUMIFS('📋 Registo Diário'!$I$7:$I$646,'📋 Registo Diário'!$D$7:$D$646,'⚙️ Configuração'!C48,'📋 Registo Diário'!$B$7:$B$646,"Semana "&amp;$J$5)=0,"-",ROUND(SUMIFS('📋 Registo Diário'!$E$7:$E$646,'📋 Registo Diário'!$D$7:$D$646,'⚙️ Configuração'!C48,'📋 Registo Diário'!$B$7:$B$646,"Semana "&amp;$J$5)/SUMIFS('📋 Registo Diário'!$I$7:$I$646,'📋 Registo Diário'!$D$7:$D$646,'⚙️ Configuração'!C48,'📋 Registo Diário'!$B$7:$B$646,"Semana "&amp;$J$5),1))</f>
        <v>-</v>
      </c>
    </row>
    <row r="26" spans="2:14" ht="21.75" customHeight="1" x14ac:dyDescent="0.2">
      <c r="B26" s="87" t="str">
        <f>'⚙️ Configuração'!C49</f>
        <v>-</v>
      </c>
      <c r="C26" s="96" t="str">
        <f>IF(SUMIF('📋 Registo Diário'!$D$7:$D$646,'⚙️ Configuração'!C49,'📋 Registo Diário'!$F$7:$F$646)=0,"-",ROUND(SUMIF('📋 Registo Diário'!$D$7:$D$646,'⚙️ Configuração'!C49,'📋 Registo Diário'!$E$7:$E$646)/SUMIF('📋 Registo Diário'!$D$7:$D$646,'⚙️ Configuração'!C49,'📋 Registo Diário'!$F$7:$F$646),1))</f>
        <v>-</v>
      </c>
      <c r="D26" s="97" t="str">
        <f>IF(SUMIF('📋 Registo Diário'!$D$7:$D$646,'⚙️ Configuração'!C49,'📋 Registo Diário'!$G$7:$G$646)=0,"-",ROUND(SUMIF('📋 Registo Diário'!$D$7:$D$646,'⚙️ Configuração'!C49,'📋 Registo Diário'!$F$7:$F$646)/SUMIF('📋 Registo Diário'!$D$7:$D$646,'⚙️ Configuração'!C49,'📋 Registo Diário'!$G$7:$G$646),1))</f>
        <v>-</v>
      </c>
      <c r="E26" s="98" t="str">
        <f>IF(SUMIF('📋 Registo Diário'!$D$7:$D$646,'⚙️ Configuração'!C49,'📋 Registo Diário'!$H$7:$H$646)=0,"-",ROUND(SUMIF('📋 Registo Diário'!$D$7:$D$646,'⚙️ Configuração'!C49,'📋 Registo Diário'!$F$7:$F$646)/SUMIF('📋 Registo Diário'!$D$7:$D$646,'⚙️ Configuração'!C49,'📋 Registo Diário'!$H$7:$H$646),1))</f>
        <v>-</v>
      </c>
      <c r="F26" s="99" t="str">
        <f>IF(SUMIF('📋 Registo Diário'!$D$7:$D$646,'⚙️ Configuração'!C49,'📋 Registo Diário'!$I$7:$I$646)=0,"-",ROUND(SUMIF('📋 Registo Diário'!$D$7:$D$646,'⚙️ Configuração'!C49,'📋 Registo Diário'!$H$7:$H$646)/SUMIF('📋 Registo Diário'!$D$7:$D$646,'⚙️ Configuração'!C49,'📋 Registo Diário'!$I$7:$I$646),1))</f>
        <v>-</v>
      </c>
      <c r="G26" s="100" t="str">
        <f>IF(SUMIF('📋 Registo Diário'!$D$7:$D$646,'⚙️ Configuração'!C49,'📋 Registo Diário'!$I$7:$I$646)=0,"-",ROUND(SUMIF('📋 Registo Diário'!$D$7:$D$646,'⚙️ Configuração'!C49,'📋 Registo Diário'!$E$7:$E$646)/SUMIF('📋 Registo Diário'!$D$7:$D$646,'⚙️ Configuração'!C49,'📋 Registo Diário'!$I$7:$I$646),1))</f>
        <v>-</v>
      </c>
      <c r="I26" s="87" t="str">
        <f>'⚙️ Configuração'!C49</f>
        <v>-</v>
      </c>
      <c r="J26" s="96" t="str">
        <f>IF(SUMIFS('📋 Registo Diário'!$F$7:$F$646,'📋 Registo Diário'!$D$7:$D$646,'⚙️ Configuração'!C49,'📋 Registo Diário'!$B$7:$B$646,"Semana "&amp;$J$5)=0,"-",ROUND(SUMIFS('📋 Registo Diário'!$E$7:$E$646,'📋 Registo Diário'!$D$7:$D$646,'⚙️ Configuração'!C49,'📋 Registo Diário'!$B$7:$B$646,"Semana "&amp;$J$5)/SUMIFS('📋 Registo Diário'!$F$7:$F$646,'📋 Registo Diário'!$D$7:$D$646,'⚙️ Configuração'!C49,'📋 Registo Diário'!$B$7:$B$646,"Semana "&amp;$J$5),1))</f>
        <v>-</v>
      </c>
      <c r="K26" s="97" t="str">
        <f>IF(SUMIFS('📋 Registo Diário'!$G$7:$G$646,'📋 Registo Diário'!$D$7:$D$646,'⚙️ Configuração'!C49,'📋 Registo Diário'!$B$7:$B$646,"Semana "&amp;$J$5)=0,"-",ROUND(SUMIFS('📋 Registo Diário'!$F$7:$F$646,'📋 Registo Diário'!$D$7:$D$646,'⚙️ Configuração'!C49,'📋 Registo Diário'!$B$7:$B$646,"Semana "&amp;$J$5)/SUMIFS('📋 Registo Diário'!$G$7:$G$646,'📋 Registo Diário'!$D$7:$D$646,'⚙️ Configuração'!C49,'📋 Registo Diário'!$B$7:$B$646,"Semana "&amp;$J$5),1))</f>
        <v>-</v>
      </c>
      <c r="L26" s="98" t="str">
        <f>IF(SUMIFS('📋 Registo Diário'!$H$7:$H$646,'📋 Registo Diário'!$D$7:$D$646,'⚙️ Configuração'!C49,'📋 Registo Diário'!$B$7:$B$646,"Semana "&amp;$J$5)=0,"-",ROUND(SUMIFS('📋 Registo Diário'!$F$7:$F$646,'📋 Registo Diário'!$D$7:$D$646,'⚙️ Configuração'!C49,'📋 Registo Diário'!$B$7:$B$646,"Semana "&amp;$J$5)/SUMIFS('📋 Registo Diário'!$H$7:$H$646,'📋 Registo Diário'!$D$7:$D$646,'⚙️ Configuração'!C49,'📋 Registo Diário'!$B$7:$B$646,"Semana "&amp;$J$5),1))</f>
        <v>-</v>
      </c>
      <c r="M26" s="99" t="str">
        <f>IF(SUMIFS('📋 Registo Diário'!$I$7:$I$646,'📋 Registo Diário'!$D$7:$D$646,'⚙️ Configuração'!C49,'📋 Registo Diário'!$B$7:$B$646,"Semana "&amp;$J$5)=0,"-",ROUND(SUMIFS('📋 Registo Diário'!$H$7:$H$646,'📋 Registo Diário'!$D$7:$D$646,'⚙️ Configuração'!C49,'📋 Registo Diário'!$B$7:$B$646,"Semana "&amp;$J$5)/SUMIFS('📋 Registo Diário'!$I$7:$I$646,'📋 Registo Diário'!$D$7:$D$646,'⚙️ Configuração'!C49,'📋 Registo Diário'!$B$7:$B$646,"Semana "&amp;$J$5),1))</f>
        <v>-</v>
      </c>
      <c r="N26" s="100" t="str">
        <f>IF(SUMIFS('📋 Registo Diário'!$I$7:$I$646,'📋 Registo Diário'!$D$7:$D$646,'⚙️ Configuração'!C49,'📋 Registo Diário'!$B$7:$B$646,"Semana "&amp;$J$5)=0,"-",ROUND(SUMIFS('📋 Registo Diário'!$E$7:$E$646,'📋 Registo Diário'!$D$7:$D$646,'⚙️ Configuração'!C49,'📋 Registo Diário'!$B$7:$B$646,"Semana "&amp;$J$5)/SUMIFS('📋 Registo Diário'!$I$7:$I$646,'📋 Registo Diário'!$D$7:$D$646,'⚙️ Configuração'!C49,'📋 Registo Diário'!$B$7:$B$646,"Semana "&amp;$J$5),1))</f>
        <v>-</v>
      </c>
    </row>
    <row r="27" spans="2:14" ht="24.75" customHeight="1" x14ac:dyDescent="0.2">
      <c r="B27" s="101" t="s">
        <v>243</v>
      </c>
      <c r="C27" s="83">
        <f>IFERROR(AVERAGEIF(C7:C26,"&lt;&gt;-"),"-")</f>
        <v>5.0687499999999996</v>
      </c>
      <c r="D27" s="83">
        <f>IFERROR(AVERAGEIF(D7:D26,"&lt;&gt;-"),"-")</f>
        <v>3.85</v>
      </c>
      <c r="E27" s="83" t="str">
        <f>IFERROR(AVERAGEIF(E7:E26,"&lt;&gt;-"),"-")</f>
        <v>-</v>
      </c>
      <c r="F27" s="83" t="str">
        <f>IFERROR(AVERAGEIF(F7:F26,"&lt;&gt;-"),"-")</f>
        <v>-</v>
      </c>
      <c r="G27" s="83" t="str">
        <f>IFERROR(AVERAGEIF(G7:G26,"&lt;&gt;-"),"-")</f>
        <v>-</v>
      </c>
      <c r="I27" s="102" t="s">
        <v>243</v>
      </c>
      <c r="J27" s="103">
        <f>IFERROR(AVERAGEIF(J7:J26,"&lt;&gt;-"),"-")</f>
        <v>5.0687499999999996</v>
      </c>
      <c r="K27" s="103">
        <f>IFERROR(AVERAGEIF(K7:K26,"&lt;&gt;-"),"-")</f>
        <v>3.85</v>
      </c>
      <c r="L27" s="103" t="str">
        <f>IFERROR(AVERAGEIF(L7:L26,"&lt;&gt;-"),"-")</f>
        <v>-</v>
      </c>
      <c r="M27" s="103" t="str">
        <f>IFERROR(AVERAGEIF(M7:M26,"&lt;&gt;-"),"-")</f>
        <v>-</v>
      </c>
      <c r="N27" s="103" t="str">
        <f>IFERROR(AVERAGEIF(N7:N26,"&lt;&gt;-"),"-")</f>
        <v>-</v>
      </c>
    </row>
    <row r="28" spans="2:14" ht="7.5" customHeight="1" x14ac:dyDescent="0.2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2:14" ht="19.5" customHeight="1" x14ac:dyDescent="0.2">
      <c r="B29" s="121" t="s">
        <v>244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20"/>
    </row>
    <row r="30" spans="2:14" ht="15.75" customHeight="1" x14ac:dyDescent="0.2"/>
    <row r="31" spans="2:14" ht="15.75" customHeight="1" x14ac:dyDescent="0.2"/>
    <row r="32" spans="2:14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5">
    <mergeCell ref="B2:N2"/>
    <mergeCell ref="B4:N4"/>
    <mergeCell ref="B5:G5"/>
    <mergeCell ref="K5:N5"/>
    <mergeCell ref="B29:N29"/>
  </mergeCells>
  <dataValidations count="1">
    <dataValidation type="decimal" allowBlank="1" sqref="J5" xr:uid="{00000000-0002-0000-0500-000000000000}">
      <formula1>1</formula1>
      <formula2>8</formula2>
    </dataValidation>
  </dataValidations>
  <pageMargins left="0.75" right="0.75" top="1" bottom="1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22" customWidth="1"/>
    <col min="3" max="13" width="13" customWidth="1"/>
    <col min="14" max="26" width="8.6640625" customWidth="1"/>
  </cols>
  <sheetData>
    <row r="1" spans="2:13" ht="9.75" customHeight="1" x14ac:dyDescent="0.2"/>
    <row r="2" spans="2:13" ht="45" customHeight="1" x14ac:dyDescent="0.2">
      <c r="B2" s="143" t="s">
        <v>245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</row>
    <row r="3" spans="2:13" ht="9.75" customHeight="1" x14ac:dyDescent="0.2"/>
    <row r="4" spans="2:13" ht="19.5" customHeight="1" x14ac:dyDescent="0.2">
      <c r="B4" s="121" t="s">
        <v>246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20"/>
    </row>
    <row r="5" spans="2:13" ht="34.5" customHeight="1" x14ac:dyDescent="0.2">
      <c r="B5" s="9" t="s">
        <v>4</v>
      </c>
      <c r="C5" s="9" t="s">
        <v>47</v>
      </c>
      <c r="D5" s="9" t="s">
        <v>60</v>
      </c>
      <c r="E5" s="9" t="s">
        <v>73</v>
      </c>
      <c r="F5" s="9" t="s">
        <v>87</v>
      </c>
      <c r="G5" s="9" t="s">
        <v>99</v>
      </c>
      <c r="H5" s="9" t="s">
        <v>109</v>
      </c>
      <c r="I5" s="9" t="s">
        <v>119</v>
      </c>
      <c r="J5" s="9" t="s">
        <v>132</v>
      </c>
      <c r="K5" s="1" t="s">
        <v>247</v>
      </c>
      <c r="L5" s="41" t="s">
        <v>248</v>
      </c>
      <c r="M5" s="2" t="s">
        <v>249</v>
      </c>
    </row>
    <row r="6" spans="2:13" ht="21.75" customHeight="1" x14ac:dyDescent="0.2">
      <c r="B6" s="80" t="str">
        <f>'⚙️ Configuração'!C30</f>
        <v>Carla Cantante</v>
      </c>
      <c r="C6" s="79">
        <f>SUMIFS('📋 Registo Diário'!$Q$7:$Q$646,'📋 Registo Diário'!$D$7:$D$646,'⚙️ Configuração'!C30,'📋 Registo Diário'!$B$7:$B$646,"Semana 1")</f>
        <v>45</v>
      </c>
      <c r="D6" s="79">
        <f>SUMIFS('📋 Registo Diário'!$Q$7:$Q$646,'📋 Registo Diário'!$D$7:$D$646,'⚙️ Configuração'!C30,'📋 Registo Diário'!$B$7:$B$646,"Semana 2")</f>
        <v>0</v>
      </c>
      <c r="E6" s="79">
        <f>SUMIFS('📋 Registo Diário'!$Q$7:$Q$646,'📋 Registo Diário'!$D$7:$D$646,'⚙️ Configuração'!C30,'📋 Registo Diário'!$B$7:$B$646,"Semana 3")</f>
        <v>0</v>
      </c>
      <c r="F6" s="79">
        <f>SUMIFS('📋 Registo Diário'!$Q$7:$Q$646,'📋 Registo Diário'!$D$7:$D$646,'⚙️ Configuração'!C30,'📋 Registo Diário'!$B$7:$B$646,"Semana 4")</f>
        <v>0</v>
      </c>
      <c r="G6" s="79">
        <f>SUMIFS('📋 Registo Diário'!$Q$7:$Q$646,'📋 Registo Diário'!$D$7:$D$646,'⚙️ Configuração'!C30,'📋 Registo Diário'!$B$7:$B$646,"Semana 5")</f>
        <v>0</v>
      </c>
      <c r="H6" s="79">
        <f>SUMIFS('📋 Registo Diário'!$Q$7:$Q$646,'📋 Registo Diário'!$D$7:$D$646,'⚙️ Configuração'!C30,'📋 Registo Diário'!$B$7:$B$646,"Semana 6")</f>
        <v>0</v>
      </c>
      <c r="I6" s="79">
        <f>SUMIFS('📋 Registo Diário'!$Q$7:$Q$646,'📋 Registo Diário'!$D$7:$D$646,'⚙️ Configuração'!C30,'📋 Registo Diário'!$B$7:$B$646,"Semana 7")</f>
        <v>0</v>
      </c>
      <c r="J6" s="79">
        <f>SUMIFS('📋 Registo Diário'!$Q$7:$Q$646,'📋 Registo Diário'!$D$7:$D$646,'⚙️ Configuração'!C30,'📋 Registo Diário'!$B$7:$B$646,"Semana 8")</f>
        <v>0</v>
      </c>
      <c r="K6" s="104">
        <f t="shared" ref="K6:K25" si="0">SUM(C6:J6)</f>
        <v>45</v>
      </c>
      <c r="M6" s="88">
        <f>K6+'💱 Pontos Transitados'!K6</f>
        <v>88</v>
      </c>
    </row>
    <row r="7" spans="2:13" ht="21.75" customHeight="1" x14ac:dyDescent="0.2">
      <c r="B7" s="87" t="str">
        <f>'⚙️ Configuração'!C31</f>
        <v>Elisabete Mendes</v>
      </c>
      <c r="C7" s="86">
        <f>SUMIFS('📋 Registo Diário'!$Q$7:$Q$646,'📋 Registo Diário'!$D$7:$D$646,'⚙️ Configuração'!C31,'📋 Registo Diário'!$B$7:$B$646,"Semana 1")</f>
        <v>23</v>
      </c>
      <c r="D7" s="86">
        <f>SUMIFS('📋 Registo Diário'!$Q$7:$Q$646,'📋 Registo Diário'!$D$7:$D$646,'⚙️ Configuração'!C31,'📋 Registo Diário'!$B$7:$B$646,"Semana 2")</f>
        <v>0</v>
      </c>
      <c r="E7" s="86">
        <f>SUMIFS('📋 Registo Diário'!$Q$7:$Q$646,'📋 Registo Diário'!$D$7:$D$646,'⚙️ Configuração'!C31,'📋 Registo Diário'!$B$7:$B$646,"Semana 3")</f>
        <v>0</v>
      </c>
      <c r="F7" s="86">
        <f>SUMIFS('📋 Registo Diário'!$Q$7:$Q$646,'📋 Registo Diário'!$D$7:$D$646,'⚙️ Configuração'!C31,'📋 Registo Diário'!$B$7:$B$646,"Semana 4")</f>
        <v>0</v>
      </c>
      <c r="G7" s="86">
        <f>SUMIFS('📋 Registo Diário'!$Q$7:$Q$646,'📋 Registo Diário'!$D$7:$D$646,'⚙️ Configuração'!C31,'📋 Registo Diário'!$B$7:$B$646,"Semana 5")</f>
        <v>0</v>
      </c>
      <c r="H7" s="86">
        <f>SUMIFS('📋 Registo Diário'!$Q$7:$Q$646,'📋 Registo Diário'!$D$7:$D$646,'⚙️ Configuração'!C31,'📋 Registo Diário'!$B$7:$B$646,"Semana 6")</f>
        <v>0</v>
      </c>
      <c r="I7" s="86">
        <f>SUMIFS('📋 Registo Diário'!$Q$7:$Q$646,'📋 Registo Diário'!$D$7:$D$646,'⚙️ Configuração'!C31,'📋 Registo Diário'!$B$7:$B$646,"Semana 7")</f>
        <v>0</v>
      </c>
      <c r="J7" s="86">
        <f>SUMIFS('📋 Registo Diário'!$Q$7:$Q$646,'📋 Registo Diário'!$D$7:$D$646,'⚙️ Configuração'!C31,'📋 Registo Diário'!$B$7:$B$646,"Semana 8")</f>
        <v>0</v>
      </c>
      <c r="K7" s="104">
        <f t="shared" si="0"/>
        <v>23</v>
      </c>
      <c r="M7" s="88">
        <f>K7+'💱 Pontos Transitados'!K7</f>
        <v>54</v>
      </c>
    </row>
    <row r="8" spans="2:13" ht="21.75" customHeight="1" x14ac:dyDescent="0.2">
      <c r="B8" s="80" t="str">
        <f>'⚙️ Configuração'!C32</f>
        <v>Filipa Cunha</v>
      </c>
      <c r="C8" s="79">
        <f>SUMIFS('📋 Registo Diário'!$Q$7:$Q$646,'📋 Registo Diário'!$D$7:$D$646,'⚙️ Configuração'!C32,'📋 Registo Diário'!$B$7:$B$646,"Semana 1")</f>
        <v>74</v>
      </c>
      <c r="D8" s="79">
        <f>SUMIFS('📋 Registo Diário'!$Q$7:$Q$646,'📋 Registo Diário'!$D$7:$D$646,'⚙️ Configuração'!C32,'📋 Registo Diário'!$B$7:$B$646,"Semana 2")</f>
        <v>0</v>
      </c>
      <c r="E8" s="79">
        <f>SUMIFS('📋 Registo Diário'!$Q$7:$Q$646,'📋 Registo Diário'!$D$7:$D$646,'⚙️ Configuração'!C32,'📋 Registo Diário'!$B$7:$B$646,"Semana 3")</f>
        <v>0</v>
      </c>
      <c r="F8" s="79">
        <f>SUMIFS('📋 Registo Diário'!$Q$7:$Q$646,'📋 Registo Diário'!$D$7:$D$646,'⚙️ Configuração'!C32,'📋 Registo Diário'!$B$7:$B$646,"Semana 4")</f>
        <v>0</v>
      </c>
      <c r="G8" s="79">
        <f>SUMIFS('📋 Registo Diário'!$Q$7:$Q$646,'📋 Registo Diário'!$D$7:$D$646,'⚙️ Configuração'!C32,'📋 Registo Diário'!$B$7:$B$646,"Semana 5")</f>
        <v>0</v>
      </c>
      <c r="H8" s="79">
        <f>SUMIFS('📋 Registo Diário'!$Q$7:$Q$646,'📋 Registo Diário'!$D$7:$D$646,'⚙️ Configuração'!C32,'📋 Registo Diário'!$B$7:$B$646,"Semana 6")</f>
        <v>0</v>
      </c>
      <c r="I8" s="79">
        <f>SUMIFS('📋 Registo Diário'!$Q$7:$Q$646,'📋 Registo Diário'!$D$7:$D$646,'⚙️ Configuração'!C32,'📋 Registo Diário'!$B$7:$B$646,"Semana 7")</f>
        <v>0</v>
      </c>
      <c r="J8" s="79">
        <f>SUMIFS('📋 Registo Diário'!$Q$7:$Q$646,'📋 Registo Diário'!$D$7:$D$646,'⚙️ Configuração'!C32,'📋 Registo Diário'!$B$7:$B$646,"Semana 8")</f>
        <v>0</v>
      </c>
      <c r="K8" s="104">
        <f t="shared" si="0"/>
        <v>74</v>
      </c>
      <c r="M8" s="88">
        <f>K8+'💱 Pontos Transitados'!K8</f>
        <v>130</v>
      </c>
    </row>
    <row r="9" spans="2:13" ht="21.75" customHeight="1" x14ac:dyDescent="0.2">
      <c r="B9" s="87" t="str">
        <f>'⚙️ Configuração'!C33</f>
        <v>Helena Rocha</v>
      </c>
      <c r="C9" s="86">
        <f>SUMIFS('📋 Registo Diário'!$Q$7:$Q$646,'📋 Registo Diário'!$D$7:$D$646,'⚙️ Configuração'!C33,'📋 Registo Diário'!$B$7:$B$646,"Semana 1")</f>
        <v>40</v>
      </c>
      <c r="D9" s="86">
        <f>SUMIFS('📋 Registo Diário'!$Q$7:$Q$646,'📋 Registo Diário'!$D$7:$D$646,'⚙️ Configuração'!C33,'📋 Registo Diário'!$B$7:$B$646,"Semana 2")</f>
        <v>0</v>
      </c>
      <c r="E9" s="86">
        <f>SUMIFS('📋 Registo Diário'!$Q$7:$Q$646,'📋 Registo Diário'!$D$7:$D$646,'⚙️ Configuração'!C33,'📋 Registo Diário'!$B$7:$B$646,"Semana 3")</f>
        <v>0</v>
      </c>
      <c r="F9" s="86">
        <f>SUMIFS('📋 Registo Diário'!$Q$7:$Q$646,'📋 Registo Diário'!$D$7:$D$646,'⚙️ Configuração'!C33,'📋 Registo Diário'!$B$7:$B$646,"Semana 4")</f>
        <v>0</v>
      </c>
      <c r="G9" s="86">
        <f>SUMIFS('📋 Registo Diário'!$Q$7:$Q$646,'📋 Registo Diário'!$D$7:$D$646,'⚙️ Configuração'!C33,'📋 Registo Diário'!$B$7:$B$646,"Semana 5")</f>
        <v>0</v>
      </c>
      <c r="H9" s="86">
        <f>SUMIFS('📋 Registo Diário'!$Q$7:$Q$646,'📋 Registo Diário'!$D$7:$D$646,'⚙️ Configuração'!C33,'📋 Registo Diário'!$B$7:$B$646,"Semana 6")</f>
        <v>0</v>
      </c>
      <c r="I9" s="86">
        <f>SUMIFS('📋 Registo Diário'!$Q$7:$Q$646,'📋 Registo Diário'!$D$7:$D$646,'⚙️ Configuração'!C33,'📋 Registo Diário'!$B$7:$B$646,"Semana 7")</f>
        <v>0</v>
      </c>
      <c r="J9" s="86">
        <f>SUMIFS('📋 Registo Diário'!$Q$7:$Q$646,'📋 Registo Diário'!$D$7:$D$646,'⚙️ Configuração'!C33,'📋 Registo Diário'!$B$7:$B$646,"Semana 8")</f>
        <v>0</v>
      </c>
      <c r="K9" s="104">
        <f t="shared" si="0"/>
        <v>40</v>
      </c>
      <c r="M9" s="88">
        <f>K9+'💱 Pontos Transitados'!K9</f>
        <v>72</v>
      </c>
    </row>
    <row r="10" spans="2:13" ht="21.75" customHeight="1" x14ac:dyDescent="0.2">
      <c r="B10" s="80" t="str">
        <f>'⚙️ Configuração'!C34</f>
        <v>João Xavier</v>
      </c>
      <c r="C10" s="79">
        <f>SUMIFS('📋 Registo Diário'!$Q$7:$Q$646,'📋 Registo Diário'!$D$7:$D$646,'⚙️ Configuração'!C34,'📋 Registo Diário'!$B$7:$B$646,"Semana 1")</f>
        <v>83</v>
      </c>
      <c r="D10" s="79">
        <f>SUMIFS('📋 Registo Diário'!$Q$7:$Q$646,'📋 Registo Diário'!$D$7:$D$646,'⚙️ Configuração'!C34,'📋 Registo Diário'!$B$7:$B$646,"Semana 2")</f>
        <v>0</v>
      </c>
      <c r="E10" s="79">
        <f>SUMIFS('📋 Registo Diário'!$Q$7:$Q$646,'📋 Registo Diário'!$D$7:$D$646,'⚙️ Configuração'!C34,'📋 Registo Diário'!$B$7:$B$646,"Semana 3")</f>
        <v>0</v>
      </c>
      <c r="F10" s="79">
        <f>SUMIFS('📋 Registo Diário'!$Q$7:$Q$646,'📋 Registo Diário'!$D$7:$D$646,'⚙️ Configuração'!C34,'📋 Registo Diário'!$B$7:$B$646,"Semana 4")</f>
        <v>0</v>
      </c>
      <c r="G10" s="79">
        <f>SUMIFS('📋 Registo Diário'!$Q$7:$Q$646,'📋 Registo Diário'!$D$7:$D$646,'⚙️ Configuração'!C34,'📋 Registo Diário'!$B$7:$B$646,"Semana 5")</f>
        <v>0</v>
      </c>
      <c r="H10" s="79">
        <f>SUMIFS('📋 Registo Diário'!$Q$7:$Q$646,'📋 Registo Diário'!$D$7:$D$646,'⚙️ Configuração'!C34,'📋 Registo Diário'!$B$7:$B$646,"Semana 6")</f>
        <v>0</v>
      </c>
      <c r="I10" s="79">
        <f>SUMIFS('📋 Registo Diário'!$Q$7:$Q$646,'📋 Registo Diário'!$D$7:$D$646,'⚙️ Configuração'!C34,'📋 Registo Diário'!$B$7:$B$646,"Semana 7")</f>
        <v>0</v>
      </c>
      <c r="J10" s="79">
        <f>SUMIFS('📋 Registo Diário'!$Q$7:$Q$646,'📋 Registo Diário'!$D$7:$D$646,'⚙️ Configuração'!C34,'📋 Registo Diário'!$B$7:$B$646,"Semana 8")</f>
        <v>0</v>
      </c>
      <c r="K10" s="104">
        <f t="shared" si="0"/>
        <v>83</v>
      </c>
      <c r="M10" s="88">
        <f>K10+'💱 Pontos Transitados'!K10</f>
        <v>151</v>
      </c>
    </row>
    <row r="11" spans="2:13" ht="21.75" customHeight="1" x14ac:dyDescent="0.2">
      <c r="B11" s="87" t="str">
        <f>'⚙️ Configuração'!C35</f>
        <v>Tomás Carlos</v>
      </c>
      <c r="C11" s="86">
        <f>SUMIFS('📋 Registo Diário'!$Q$7:$Q$646,'📋 Registo Diário'!$D$7:$D$646,'⚙️ Configuração'!C35,'📋 Registo Diário'!$B$7:$B$646,"Semana 1")</f>
        <v>50</v>
      </c>
      <c r="D11" s="86">
        <f>SUMIFS('📋 Registo Diário'!$Q$7:$Q$646,'📋 Registo Diário'!$D$7:$D$646,'⚙️ Configuração'!C35,'📋 Registo Diário'!$B$7:$B$646,"Semana 2")</f>
        <v>0</v>
      </c>
      <c r="E11" s="86">
        <f>SUMIFS('📋 Registo Diário'!$Q$7:$Q$646,'📋 Registo Diário'!$D$7:$D$646,'⚙️ Configuração'!C35,'📋 Registo Diário'!$B$7:$B$646,"Semana 3")</f>
        <v>0</v>
      </c>
      <c r="F11" s="86">
        <f>SUMIFS('📋 Registo Diário'!$Q$7:$Q$646,'📋 Registo Diário'!$D$7:$D$646,'⚙️ Configuração'!C35,'📋 Registo Diário'!$B$7:$B$646,"Semana 4")</f>
        <v>0</v>
      </c>
      <c r="G11" s="86">
        <f>SUMIFS('📋 Registo Diário'!$Q$7:$Q$646,'📋 Registo Diário'!$D$7:$D$646,'⚙️ Configuração'!C35,'📋 Registo Diário'!$B$7:$B$646,"Semana 5")</f>
        <v>0</v>
      </c>
      <c r="H11" s="86">
        <f>SUMIFS('📋 Registo Diário'!$Q$7:$Q$646,'📋 Registo Diário'!$D$7:$D$646,'⚙️ Configuração'!C35,'📋 Registo Diário'!$B$7:$B$646,"Semana 6")</f>
        <v>0</v>
      </c>
      <c r="I11" s="86">
        <f>SUMIFS('📋 Registo Diário'!$Q$7:$Q$646,'📋 Registo Diário'!$D$7:$D$646,'⚙️ Configuração'!C35,'📋 Registo Diário'!$B$7:$B$646,"Semana 7")</f>
        <v>0</v>
      </c>
      <c r="J11" s="86">
        <f>SUMIFS('📋 Registo Diário'!$Q$7:$Q$646,'📋 Registo Diário'!$D$7:$D$646,'⚙️ Configuração'!C35,'📋 Registo Diário'!$B$7:$B$646,"Semana 8")</f>
        <v>0</v>
      </c>
      <c r="K11" s="104">
        <f t="shared" si="0"/>
        <v>50</v>
      </c>
      <c r="M11" s="88">
        <f>K11+'💱 Pontos Transitados'!K11</f>
        <v>96</v>
      </c>
    </row>
    <row r="12" spans="2:13" ht="21.75" customHeight="1" x14ac:dyDescent="0.2">
      <c r="B12" s="80" t="str">
        <f>'⚙️ Configuração'!C36</f>
        <v>Alexandra Correia</v>
      </c>
      <c r="C12" s="79">
        <f>SUMIFS('📋 Registo Diário'!$Q$7:$Q$646,'📋 Registo Diário'!$D$7:$D$646,'⚙️ Configuração'!C36,'📋 Registo Diário'!$B$7:$B$646,"Semana 1")</f>
        <v>47</v>
      </c>
      <c r="D12" s="79">
        <f>SUMIFS('📋 Registo Diário'!$Q$7:$Q$646,'📋 Registo Diário'!$D$7:$D$646,'⚙️ Configuração'!C36,'📋 Registo Diário'!$B$7:$B$646,"Semana 2")</f>
        <v>0</v>
      </c>
      <c r="E12" s="79">
        <f>SUMIFS('📋 Registo Diário'!$Q$7:$Q$646,'📋 Registo Diário'!$D$7:$D$646,'⚙️ Configuração'!C36,'📋 Registo Diário'!$B$7:$B$646,"Semana 3")</f>
        <v>0</v>
      </c>
      <c r="F12" s="79">
        <f>SUMIFS('📋 Registo Diário'!$Q$7:$Q$646,'📋 Registo Diário'!$D$7:$D$646,'⚙️ Configuração'!C36,'📋 Registo Diário'!$B$7:$B$646,"Semana 4")</f>
        <v>0</v>
      </c>
      <c r="G12" s="79">
        <f>SUMIFS('📋 Registo Diário'!$Q$7:$Q$646,'📋 Registo Diário'!$D$7:$D$646,'⚙️ Configuração'!C36,'📋 Registo Diário'!$B$7:$B$646,"Semana 5")</f>
        <v>0</v>
      </c>
      <c r="H12" s="79">
        <f>SUMIFS('📋 Registo Diário'!$Q$7:$Q$646,'📋 Registo Diário'!$D$7:$D$646,'⚙️ Configuração'!C36,'📋 Registo Diário'!$B$7:$B$646,"Semana 6")</f>
        <v>0</v>
      </c>
      <c r="I12" s="79">
        <f>SUMIFS('📋 Registo Diário'!$Q$7:$Q$646,'📋 Registo Diário'!$D$7:$D$646,'⚙️ Configuração'!C36,'📋 Registo Diário'!$B$7:$B$646,"Semana 7")</f>
        <v>0</v>
      </c>
      <c r="J12" s="79">
        <f>SUMIFS('📋 Registo Diário'!$Q$7:$Q$646,'📋 Registo Diário'!$D$7:$D$646,'⚙️ Configuração'!C36,'📋 Registo Diário'!$B$7:$B$646,"Semana 8")</f>
        <v>0</v>
      </c>
      <c r="K12" s="104">
        <f t="shared" si="0"/>
        <v>47</v>
      </c>
      <c r="M12" s="88">
        <f>K12+'💱 Pontos Transitados'!K12</f>
        <v>102</v>
      </c>
    </row>
    <row r="13" spans="2:13" ht="21.75" customHeight="1" x14ac:dyDescent="0.2">
      <c r="B13" s="87" t="str">
        <f>'⚙️ Configuração'!C37</f>
        <v>Carla Barata</v>
      </c>
      <c r="C13" s="86">
        <f>SUMIFS('📋 Registo Diário'!$Q$7:$Q$646,'📋 Registo Diário'!$D$7:$D$646,'⚙️ Configuração'!C37,'📋 Registo Diário'!$B$7:$B$646,"Semana 1")</f>
        <v>23</v>
      </c>
      <c r="D13" s="86">
        <f>SUMIFS('📋 Registo Diário'!$Q$7:$Q$646,'📋 Registo Diário'!$D$7:$D$646,'⚙️ Configuração'!C37,'📋 Registo Diário'!$B$7:$B$646,"Semana 2")</f>
        <v>0</v>
      </c>
      <c r="E13" s="86">
        <f>SUMIFS('📋 Registo Diário'!$Q$7:$Q$646,'📋 Registo Diário'!$D$7:$D$646,'⚙️ Configuração'!C37,'📋 Registo Diário'!$B$7:$B$646,"Semana 3")</f>
        <v>0</v>
      </c>
      <c r="F13" s="86">
        <f>SUMIFS('📋 Registo Diário'!$Q$7:$Q$646,'📋 Registo Diário'!$D$7:$D$646,'⚙️ Configuração'!C37,'📋 Registo Diário'!$B$7:$B$646,"Semana 4")</f>
        <v>0</v>
      </c>
      <c r="G13" s="86">
        <f>SUMIFS('📋 Registo Diário'!$Q$7:$Q$646,'📋 Registo Diário'!$D$7:$D$646,'⚙️ Configuração'!C37,'📋 Registo Diário'!$B$7:$B$646,"Semana 5")</f>
        <v>0</v>
      </c>
      <c r="H13" s="86">
        <f>SUMIFS('📋 Registo Diário'!$Q$7:$Q$646,'📋 Registo Diário'!$D$7:$D$646,'⚙️ Configuração'!C37,'📋 Registo Diário'!$B$7:$B$646,"Semana 6")</f>
        <v>0</v>
      </c>
      <c r="I13" s="86">
        <f>SUMIFS('📋 Registo Diário'!$Q$7:$Q$646,'📋 Registo Diário'!$D$7:$D$646,'⚙️ Configuração'!C37,'📋 Registo Diário'!$B$7:$B$646,"Semana 7")</f>
        <v>0</v>
      </c>
      <c r="J13" s="86">
        <f>SUMIFS('📋 Registo Diário'!$Q$7:$Q$646,'📋 Registo Diário'!$D$7:$D$646,'⚙️ Configuração'!C37,'📋 Registo Diário'!$B$7:$B$646,"Semana 8")</f>
        <v>0</v>
      </c>
      <c r="K13" s="104">
        <f t="shared" si="0"/>
        <v>23</v>
      </c>
      <c r="M13" s="88">
        <f>K13+'💱 Pontos Transitados'!K13</f>
        <v>44</v>
      </c>
    </row>
    <row r="14" spans="2:13" ht="21.75" customHeight="1" x14ac:dyDescent="0.2">
      <c r="B14" s="80" t="str">
        <f>'⚙️ Configuração'!C38</f>
        <v>Denise Filipe</v>
      </c>
      <c r="C14" s="79">
        <f>SUMIFS('📋 Registo Diário'!$Q$7:$Q$646,'📋 Registo Diário'!$D$7:$D$646,'⚙️ Configuração'!C38,'📋 Registo Diário'!$B$7:$B$646,"Semana 1")</f>
        <v>42</v>
      </c>
      <c r="D14" s="79">
        <f>SUMIFS('📋 Registo Diário'!$Q$7:$Q$646,'📋 Registo Diário'!$D$7:$D$646,'⚙️ Configuração'!C38,'📋 Registo Diário'!$B$7:$B$646,"Semana 2")</f>
        <v>0</v>
      </c>
      <c r="E14" s="79">
        <f>SUMIFS('📋 Registo Diário'!$Q$7:$Q$646,'📋 Registo Diário'!$D$7:$D$646,'⚙️ Configuração'!C38,'📋 Registo Diário'!$B$7:$B$646,"Semana 3")</f>
        <v>0</v>
      </c>
      <c r="F14" s="79">
        <f>SUMIFS('📋 Registo Diário'!$Q$7:$Q$646,'📋 Registo Diário'!$D$7:$D$646,'⚙️ Configuração'!C38,'📋 Registo Diário'!$B$7:$B$646,"Semana 4")</f>
        <v>0</v>
      </c>
      <c r="G14" s="79">
        <f>SUMIFS('📋 Registo Diário'!$Q$7:$Q$646,'📋 Registo Diário'!$D$7:$D$646,'⚙️ Configuração'!C38,'📋 Registo Diário'!$B$7:$B$646,"Semana 5")</f>
        <v>0</v>
      </c>
      <c r="H14" s="79">
        <f>SUMIFS('📋 Registo Diário'!$Q$7:$Q$646,'📋 Registo Diário'!$D$7:$D$646,'⚙️ Configuração'!C38,'📋 Registo Diário'!$B$7:$B$646,"Semana 6")</f>
        <v>0</v>
      </c>
      <c r="I14" s="79">
        <f>SUMIFS('📋 Registo Diário'!$Q$7:$Q$646,'📋 Registo Diário'!$D$7:$D$646,'⚙️ Configuração'!C38,'📋 Registo Diário'!$B$7:$B$646,"Semana 7")</f>
        <v>0</v>
      </c>
      <c r="J14" s="79">
        <f>SUMIFS('📋 Registo Diário'!$Q$7:$Q$646,'📋 Registo Diário'!$D$7:$D$646,'⚙️ Configuração'!C38,'📋 Registo Diário'!$B$7:$B$646,"Semana 8")</f>
        <v>0</v>
      </c>
      <c r="K14" s="104">
        <f t="shared" si="0"/>
        <v>42</v>
      </c>
      <c r="M14" s="88">
        <f>K14+'💱 Pontos Transitados'!K14</f>
        <v>86</v>
      </c>
    </row>
    <row r="15" spans="2:13" ht="21.75" customHeight="1" x14ac:dyDescent="0.2">
      <c r="B15" s="87" t="str">
        <f>'⚙️ Configuração'!C39</f>
        <v>Fátima Rodriguez</v>
      </c>
      <c r="C15" s="86">
        <f>SUMIFS('📋 Registo Diário'!$Q$7:$Q$646,'📋 Registo Diário'!$D$7:$D$646,'⚙️ Configuração'!C39,'📋 Registo Diário'!$B$7:$B$646,"Semana 1")</f>
        <v>69</v>
      </c>
      <c r="D15" s="86">
        <f>SUMIFS('📋 Registo Diário'!$Q$7:$Q$646,'📋 Registo Diário'!$D$7:$D$646,'⚙️ Configuração'!C39,'📋 Registo Diário'!$B$7:$B$646,"Semana 2")</f>
        <v>0</v>
      </c>
      <c r="E15" s="86">
        <f>SUMIFS('📋 Registo Diário'!$Q$7:$Q$646,'📋 Registo Diário'!$D$7:$D$646,'⚙️ Configuração'!C39,'📋 Registo Diário'!$B$7:$B$646,"Semana 3")</f>
        <v>0</v>
      </c>
      <c r="F15" s="86">
        <f>SUMIFS('📋 Registo Diário'!$Q$7:$Q$646,'📋 Registo Diário'!$D$7:$D$646,'⚙️ Configuração'!C39,'📋 Registo Diário'!$B$7:$B$646,"Semana 4")</f>
        <v>0</v>
      </c>
      <c r="G15" s="86">
        <f>SUMIFS('📋 Registo Diário'!$Q$7:$Q$646,'📋 Registo Diário'!$D$7:$D$646,'⚙️ Configuração'!C39,'📋 Registo Diário'!$B$7:$B$646,"Semana 5")</f>
        <v>0</v>
      </c>
      <c r="H15" s="86">
        <f>SUMIFS('📋 Registo Diário'!$Q$7:$Q$646,'📋 Registo Diário'!$D$7:$D$646,'⚙️ Configuração'!C39,'📋 Registo Diário'!$B$7:$B$646,"Semana 6")</f>
        <v>0</v>
      </c>
      <c r="I15" s="86">
        <f>SUMIFS('📋 Registo Diário'!$Q$7:$Q$646,'📋 Registo Diário'!$D$7:$D$646,'⚙️ Configuração'!C39,'📋 Registo Diário'!$B$7:$B$646,"Semana 7")</f>
        <v>0</v>
      </c>
      <c r="J15" s="86">
        <f>SUMIFS('📋 Registo Diário'!$Q$7:$Q$646,'📋 Registo Diário'!$D$7:$D$646,'⚙️ Configuração'!C39,'📋 Registo Diário'!$B$7:$B$646,"Semana 8")</f>
        <v>0</v>
      </c>
      <c r="K15" s="104">
        <f t="shared" si="0"/>
        <v>69</v>
      </c>
      <c r="M15" s="88">
        <f>K15+'💱 Pontos Transitados'!K15</f>
        <v>69</v>
      </c>
    </row>
    <row r="16" spans="2:13" ht="21.75" customHeight="1" x14ac:dyDescent="0.2">
      <c r="B16" s="80" t="str">
        <f>'⚙️ Configuração'!C40</f>
        <v>Maria João Travassos</v>
      </c>
      <c r="C16" s="79">
        <f>SUMIFS('📋 Registo Diário'!$Q$7:$Q$646,'📋 Registo Diário'!$D$7:$D$646,'⚙️ Configuração'!C40,'📋 Registo Diário'!$B$7:$B$646,"Semana 1")</f>
        <v>38</v>
      </c>
      <c r="D16" s="79">
        <f>SUMIFS('📋 Registo Diário'!$Q$7:$Q$646,'📋 Registo Diário'!$D$7:$D$646,'⚙️ Configuração'!C40,'📋 Registo Diário'!$B$7:$B$646,"Semana 2")</f>
        <v>0</v>
      </c>
      <c r="E16" s="79">
        <f>SUMIFS('📋 Registo Diário'!$Q$7:$Q$646,'📋 Registo Diário'!$D$7:$D$646,'⚙️ Configuração'!C40,'📋 Registo Diário'!$B$7:$B$646,"Semana 3")</f>
        <v>0</v>
      </c>
      <c r="F16" s="79">
        <f>SUMIFS('📋 Registo Diário'!$Q$7:$Q$646,'📋 Registo Diário'!$D$7:$D$646,'⚙️ Configuração'!C40,'📋 Registo Diário'!$B$7:$B$646,"Semana 4")</f>
        <v>0</v>
      </c>
      <c r="G16" s="79">
        <f>SUMIFS('📋 Registo Diário'!$Q$7:$Q$646,'📋 Registo Diário'!$D$7:$D$646,'⚙️ Configuração'!C40,'📋 Registo Diário'!$B$7:$B$646,"Semana 5")</f>
        <v>0</v>
      </c>
      <c r="H16" s="79">
        <f>SUMIFS('📋 Registo Diário'!$Q$7:$Q$646,'📋 Registo Diário'!$D$7:$D$646,'⚙️ Configuração'!C40,'📋 Registo Diário'!$B$7:$B$646,"Semana 6")</f>
        <v>0</v>
      </c>
      <c r="I16" s="79">
        <f>SUMIFS('📋 Registo Diário'!$Q$7:$Q$646,'📋 Registo Diário'!$D$7:$D$646,'⚙️ Configuração'!C40,'📋 Registo Diário'!$B$7:$B$646,"Semana 7")</f>
        <v>0</v>
      </c>
      <c r="J16" s="79">
        <f>SUMIFS('📋 Registo Diário'!$Q$7:$Q$646,'📋 Registo Diário'!$D$7:$D$646,'⚙️ Configuração'!C40,'📋 Registo Diário'!$B$7:$B$646,"Semana 8")</f>
        <v>0</v>
      </c>
      <c r="K16" s="104">
        <f t="shared" si="0"/>
        <v>38</v>
      </c>
      <c r="M16" s="88">
        <f>K16+'💱 Pontos Transitados'!K16</f>
        <v>94</v>
      </c>
    </row>
    <row r="17" spans="2:13" ht="21.75" customHeight="1" x14ac:dyDescent="0.2">
      <c r="B17" s="87" t="str">
        <f>'⚙️ Configuração'!C41</f>
        <v>Marta Torres</v>
      </c>
      <c r="C17" s="86">
        <f>SUMIFS('📋 Registo Diário'!$Q$7:$Q$646,'📋 Registo Diário'!$D$7:$D$646,'⚙️ Configuração'!C41,'📋 Registo Diário'!$B$7:$B$646,"Semana 1")</f>
        <v>54</v>
      </c>
      <c r="D17" s="86">
        <f>SUMIFS('📋 Registo Diário'!$Q$7:$Q$646,'📋 Registo Diário'!$D$7:$D$646,'⚙️ Configuração'!C41,'📋 Registo Diário'!$B$7:$B$646,"Semana 2")</f>
        <v>0</v>
      </c>
      <c r="E17" s="86">
        <f>SUMIFS('📋 Registo Diário'!$Q$7:$Q$646,'📋 Registo Diário'!$D$7:$D$646,'⚙️ Configuração'!C41,'📋 Registo Diário'!$B$7:$B$646,"Semana 3")</f>
        <v>0</v>
      </c>
      <c r="F17" s="86">
        <f>SUMIFS('📋 Registo Diário'!$Q$7:$Q$646,'📋 Registo Diário'!$D$7:$D$646,'⚙️ Configuração'!C41,'📋 Registo Diário'!$B$7:$B$646,"Semana 4")</f>
        <v>0</v>
      </c>
      <c r="G17" s="86">
        <f>SUMIFS('📋 Registo Diário'!$Q$7:$Q$646,'📋 Registo Diário'!$D$7:$D$646,'⚙️ Configuração'!C41,'📋 Registo Diário'!$B$7:$B$646,"Semana 5")</f>
        <v>0</v>
      </c>
      <c r="H17" s="86">
        <f>SUMIFS('📋 Registo Diário'!$Q$7:$Q$646,'📋 Registo Diário'!$D$7:$D$646,'⚙️ Configuração'!C41,'📋 Registo Diário'!$B$7:$B$646,"Semana 6")</f>
        <v>0</v>
      </c>
      <c r="I17" s="86">
        <f>SUMIFS('📋 Registo Diário'!$Q$7:$Q$646,'📋 Registo Diário'!$D$7:$D$646,'⚙️ Configuração'!C41,'📋 Registo Diário'!$B$7:$B$646,"Semana 7")</f>
        <v>0</v>
      </c>
      <c r="J17" s="86">
        <f>SUMIFS('📋 Registo Diário'!$Q$7:$Q$646,'📋 Registo Diário'!$D$7:$D$646,'⚙️ Configuração'!C41,'📋 Registo Diário'!$B$7:$B$646,"Semana 8")</f>
        <v>0</v>
      </c>
      <c r="K17" s="104">
        <f t="shared" si="0"/>
        <v>54</v>
      </c>
      <c r="M17" s="88">
        <f>K17+'💱 Pontos Transitados'!K17</f>
        <v>95</v>
      </c>
    </row>
    <row r="18" spans="2:13" ht="21.75" customHeight="1" x14ac:dyDescent="0.2">
      <c r="B18" s="80" t="str">
        <f>'⚙️ Configuração'!C42</f>
        <v>Patricia Isabel Silva</v>
      </c>
      <c r="C18" s="79">
        <f>SUMIFS('📋 Registo Diário'!$Q$7:$Q$646,'📋 Registo Diário'!$D$7:$D$646,'⚙️ Configuração'!C42,'📋 Registo Diário'!$B$7:$B$646,"Semana 1")</f>
        <v>41</v>
      </c>
      <c r="D18" s="79">
        <f>SUMIFS('📋 Registo Diário'!$Q$7:$Q$646,'📋 Registo Diário'!$D$7:$D$646,'⚙️ Configuração'!C42,'📋 Registo Diário'!$B$7:$B$646,"Semana 2")</f>
        <v>0</v>
      </c>
      <c r="E18" s="79">
        <f>SUMIFS('📋 Registo Diário'!$Q$7:$Q$646,'📋 Registo Diário'!$D$7:$D$646,'⚙️ Configuração'!C42,'📋 Registo Diário'!$B$7:$B$646,"Semana 3")</f>
        <v>0</v>
      </c>
      <c r="F18" s="79">
        <f>SUMIFS('📋 Registo Diário'!$Q$7:$Q$646,'📋 Registo Diário'!$D$7:$D$646,'⚙️ Configuração'!C42,'📋 Registo Diário'!$B$7:$B$646,"Semana 4")</f>
        <v>0</v>
      </c>
      <c r="G18" s="79">
        <f>SUMIFS('📋 Registo Diário'!$Q$7:$Q$646,'📋 Registo Diário'!$D$7:$D$646,'⚙️ Configuração'!C42,'📋 Registo Diário'!$B$7:$B$646,"Semana 5")</f>
        <v>0</v>
      </c>
      <c r="H18" s="79">
        <f>SUMIFS('📋 Registo Diário'!$Q$7:$Q$646,'📋 Registo Diário'!$D$7:$D$646,'⚙️ Configuração'!C42,'📋 Registo Diário'!$B$7:$B$646,"Semana 6")</f>
        <v>0</v>
      </c>
      <c r="I18" s="79">
        <f>SUMIFS('📋 Registo Diário'!$Q$7:$Q$646,'📋 Registo Diário'!$D$7:$D$646,'⚙️ Configuração'!C42,'📋 Registo Diário'!$B$7:$B$646,"Semana 7")</f>
        <v>0</v>
      </c>
      <c r="J18" s="79">
        <f>SUMIFS('📋 Registo Diário'!$Q$7:$Q$646,'📋 Registo Diário'!$D$7:$D$646,'⚙️ Configuração'!C42,'📋 Registo Diário'!$B$7:$B$646,"Semana 8")</f>
        <v>0</v>
      </c>
      <c r="K18" s="104">
        <f t="shared" si="0"/>
        <v>41</v>
      </c>
      <c r="M18" s="88">
        <f>K18+'💱 Pontos Transitados'!K18</f>
        <v>86</v>
      </c>
    </row>
    <row r="19" spans="2:13" ht="21.75" customHeight="1" x14ac:dyDescent="0.2">
      <c r="B19" s="87" t="str">
        <f>'⚙️ Configuração'!C43</f>
        <v>Paula Martins</v>
      </c>
      <c r="C19" s="86">
        <f>SUMIFS('📋 Registo Diário'!$Q$7:$Q$646,'📋 Registo Diário'!$D$7:$D$646,'⚙️ Configuração'!C43,'📋 Registo Diário'!$B$7:$B$646,"Semana 1")</f>
        <v>20</v>
      </c>
      <c r="D19" s="86">
        <f>SUMIFS('📋 Registo Diário'!$Q$7:$Q$646,'📋 Registo Diário'!$D$7:$D$646,'⚙️ Configuração'!C43,'📋 Registo Diário'!$B$7:$B$646,"Semana 2")</f>
        <v>0</v>
      </c>
      <c r="E19" s="86">
        <f>SUMIFS('📋 Registo Diário'!$Q$7:$Q$646,'📋 Registo Diário'!$D$7:$D$646,'⚙️ Configuração'!C43,'📋 Registo Diário'!$B$7:$B$646,"Semana 3")</f>
        <v>0</v>
      </c>
      <c r="F19" s="86">
        <f>SUMIFS('📋 Registo Diário'!$Q$7:$Q$646,'📋 Registo Diário'!$D$7:$D$646,'⚙️ Configuração'!C43,'📋 Registo Diário'!$B$7:$B$646,"Semana 4")</f>
        <v>0</v>
      </c>
      <c r="G19" s="86">
        <f>SUMIFS('📋 Registo Diário'!$Q$7:$Q$646,'📋 Registo Diário'!$D$7:$D$646,'⚙️ Configuração'!C43,'📋 Registo Diário'!$B$7:$B$646,"Semana 5")</f>
        <v>0</v>
      </c>
      <c r="H19" s="86">
        <f>SUMIFS('📋 Registo Diário'!$Q$7:$Q$646,'📋 Registo Diário'!$D$7:$D$646,'⚙️ Configuração'!C43,'📋 Registo Diário'!$B$7:$B$646,"Semana 6")</f>
        <v>0</v>
      </c>
      <c r="I19" s="86">
        <f>SUMIFS('📋 Registo Diário'!$Q$7:$Q$646,'📋 Registo Diário'!$D$7:$D$646,'⚙️ Configuração'!C43,'📋 Registo Diário'!$B$7:$B$646,"Semana 7")</f>
        <v>0</v>
      </c>
      <c r="J19" s="86">
        <f>SUMIFS('📋 Registo Diário'!$Q$7:$Q$646,'📋 Registo Diário'!$D$7:$D$646,'⚙️ Configuração'!C43,'📋 Registo Diário'!$B$7:$B$646,"Semana 8")</f>
        <v>0</v>
      </c>
      <c r="K19" s="104">
        <f t="shared" si="0"/>
        <v>20</v>
      </c>
      <c r="M19" s="88">
        <f>K19+'💱 Pontos Transitados'!K19</f>
        <v>42</v>
      </c>
    </row>
    <row r="20" spans="2:13" ht="21.75" customHeight="1" x14ac:dyDescent="0.2">
      <c r="B20" s="80" t="str">
        <f>'⚙️ Configuração'!C44</f>
        <v>Paula Miabara</v>
      </c>
      <c r="C20" s="79">
        <f>SUMIFS('📋 Registo Diário'!$Q$7:$Q$646,'📋 Registo Diário'!$D$7:$D$646,'⚙️ Configuração'!C44,'📋 Registo Diário'!$B$7:$B$646,"Semana 1")</f>
        <v>28</v>
      </c>
      <c r="D20" s="79">
        <f>SUMIFS('📋 Registo Diário'!$Q$7:$Q$646,'📋 Registo Diário'!$D$7:$D$646,'⚙️ Configuração'!C44,'📋 Registo Diário'!$B$7:$B$646,"Semana 2")</f>
        <v>0</v>
      </c>
      <c r="E20" s="79">
        <f>SUMIFS('📋 Registo Diário'!$Q$7:$Q$646,'📋 Registo Diário'!$D$7:$D$646,'⚙️ Configuração'!C44,'📋 Registo Diário'!$B$7:$B$646,"Semana 3")</f>
        <v>0</v>
      </c>
      <c r="F20" s="79">
        <f>SUMIFS('📋 Registo Diário'!$Q$7:$Q$646,'📋 Registo Diário'!$D$7:$D$646,'⚙️ Configuração'!C44,'📋 Registo Diário'!$B$7:$B$646,"Semana 4")</f>
        <v>0</v>
      </c>
      <c r="G20" s="79">
        <f>SUMIFS('📋 Registo Diário'!$Q$7:$Q$646,'📋 Registo Diário'!$D$7:$D$646,'⚙️ Configuração'!C44,'📋 Registo Diário'!$B$7:$B$646,"Semana 5")</f>
        <v>0</v>
      </c>
      <c r="H20" s="79">
        <f>SUMIFS('📋 Registo Diário'!$Q$7:$Q$646,'📋 Registo Diário'!$D$7:$D$646,'⚙️ Configuração'!C44,'📋 Registo Diário'!$B$7:$B$646,"Semana 6")</f>
        <v>0</v>
      </c>
      <c r="I20" s="79">
        <f>SUMIFS('📋 Registo Diário'!$Q$7:$Q$646,'📋 Registo Diário'!$D$7:$D$646,'⚙️ Configuração'!C44,'📋 Registo Diário'!$B$7:$B$646,"Semana 7")</f>
        <v>0</v>
      </c>
      <c r="J20" s="79">
        <f>SUMIFS('📋 Registo Diário'!$Q$7:$Q$646,'📋 Registo Diário'!$D$7:$D$646,'⚙️ Configuração'!C44,'📋 Registo Diário'!$B$7:$B$646,"Semana 8")</f>
        <v>0</v>
      </c>
      <c r="K20" s="104">
        <f t="shared" si="0"/>
        <v>28</v>
      </c>
      <c r="M20" s="88">
        <f>K20+'💱 Pontos Transitados'!K20</f>
        <v>69</v>
      </c>
    </row>
    <row r="21" spans="2:13" ht="21.75" customHeight="1" x14ac:dyDescent="0.2">
      <c r="B21" s="87" t="str">
        <f>'⚙️ Configuração'!C45</f>
        <v>Rita Carmo</v>
      </c>
      <c r="C21" s="86">
        <f>SUMIFS('📋 Registo Diário'!$Q$7:$Q$646,'📋 Registo Diário'!$D$7:$D$646,'⚙️ Configuração'!C45,'📋 Registo Diário'!$B$7:$B$646,"Semana 1")</f>
        <v>53</v>
      </c>
      <c r="D21" s="86">
        <f>SUMIFS('📋 Registo Diário'!$Q$7:$Q$646,'📋 Registo Diário'!$D$7:$D$646,'⚙️ Configuração'!C45,'📋 Registo Diário'!$B$7:$B$646,"Semana 2")</f>
        <v>0</v>
      </c>
      <c r="E21" s="86">
        <f>SUMIFS('📋 Registo Diário'!$Q$7:$Q$646,'📋 Registo Diário'!$D$7:$D$646,'⚙️ Configuração'!C45,'📋 Registo Diário'!$B$7:$B$646,"Semana 3")</f>
        <v>0</v>
      </c>
      <c r="F21" s="86">
        <f>SUMIFS('📋 Registo Diário'!$Q$7:$Q$646,'📋 Registo Diário'!$D$7:$D$646,'⚙️ Configuração'!C45,'📋 Registo Diário'!$B$7:$B$646,"Semana 4")</f>
        <v>0</v>
      </c>
      <c r="G21" s="86">
        <f>SUMIFS('📋 Registo Diário'!$Q$7:$Q$646,'📋 Registo Diário'!$D$7:$D$646,'⚙️ Configuração'!C45,'📋 Registo Diário'!$B$7:$B$646,"Semana 5")</f>
        <v>0</v>
      </c>
      <c r="H21" s="86">
        <f>SUMIFS('📋 Registo Diário'!$Q$7:$Q$646,'📋 Registo Diário'!$D$7:$D$646,'⚙️ Configuração'!C45,'📋 Registo Diário'!$B$7:$B$646,"Semana 6")</f>
        <v>0</v>
      </c>
      <c r="I21" s="86">
        <f>SUMIFS('📋 Registo Diário'!$Q$7:$Q$646,'📋 Registo Diário'!$D$7:$D$646,'⚙️ Configuração'!C45,'📋 Registo Diário'!$B$7:$B$646,"Semana 7")</f>
        <v>0</v>
      </c>
      <c r="J21" s="86">
        <f>SUMIFS('📋 Registo Diário'!$Q$7:$Q$646,'📋 Registo Diário'!$D$7:$D$646,'⚙️ Configuração'!C45,'📋 Registo Diário'!$B$7:$B$646,"Semana 8")</f>
        <v>0</v>
      </c>
      <c r="K21" s="104">
        <f t="shared" si="0"/>
        <v>53</v>
      </c>
      <c r="M21" s="88">
        <f>K21+'💱 Pontos Transitados'!K21</f>
        <v>121</v>
      </c>
    </row>
    <row r="22" spans="2:13" ht="21.75" customHeight="1" x14ac:dyDescent="0.2">
      <c r="B22" s="80" t="str">
        <f>'⚙️ Configuração'!C46</f>
        <v>William Fernandes</v>
      </c>
      <c r="C22" s="79">
        <f>SUMIFS('📋 Registo Diário'!$Q$7:$Q$646,'📋 Registo Diário'!$D$7:$D$646,'⚙️ Configuração'!C46,'📋 Registo Diário'!$B$7:$B$646,"Semana 1")</f>
        <v>63</v>
      </c>
      <c r="D22" s="79">
        <f>SUMIFS('📋 Registo Diário'!$Q$7:$Q$646,'📋 Registo Diário'!$D$7:$D$646,'⚙️ Configuração'!C46,'📋 Registo Diário'!$B$7:$B$646,"Semana 2")</f>
        <v>0</v>
      </c>
      <c r="E22" s="79">
        <f>SUMIFS('📋 Registo Diário'!$Q$7:$Q$646,'📋 Registo Diário'!$D$7:$D$646,'⚙️ Configuração'!C46,'📋 Registo Diário'!$B$7:$B$646,"Semana 3")</f>
        <v>0</v>
      </c>
      <c r="F22" s="79">
        <f>SUMIFS('📋 Registo Diário'!$Q$7:$Q$646,'📋 Registo Diário'!$D$7:$D$646,'⚙️ Configuração'!C46,'📋 Registo Diário'!$B$7:$B$646,"Semana 4")</f>
        <v>0</v>
      </c>
      <c r="G22" s="79">
        <f>SUMIFS('📋 Registo Diário'!$Q$7:$Q$646,'📋 Registo Diário'!$D$7:$D$646,'⚙️ Configuração'!C46,'📋 Registo Diário'!$B$7:$B$646,"Semana 5")</f>
        <v>0</v>
      </c>
      <c r="H22" s="79">
        <f>SUMIFS('📋 Registo Diário'!$Q$7:$Q$646,'📋 Registo Diário'!$D$7:$D$646,'⚙️ Configuração'!C46,'📋 Registo Diário'!$B$7:$B$646,"Semana 6")</f>
        <v>0</v>
      </c>
      <c r="I22" s="79">
        <f>SUMIFS('📋 Registo Diário'!$Q$7:$Q$646,'📋 Registo Diário'!$D$7:$D$646,'⚙️ Configuração'!C46,'📋 Registo Diário'!$B$7:$B$646,"Semana 7")</f>
        <v>0</v>
      </c>
      <c r="J22" s="79">
        <f>SUMIFS('📋 Registo Diário'!$Q$7:$Q$646,'📋 Registo Diário'!$D$7:$D$646,'⚙️ Configuração'!C46,'📋 Registo Diário'!$B$7:$B$646,"Semana 8")</f>
        <v>0</v>
      </c>
      <c r="K22" s="104">
        <f t="shared" si="0"/>
        <v>63</v>
      </c>
      <c r="M22" s="88">
        <f>K22+'💱 Pontos Transitados'!K22</f>
        <v>118</v>
      </c>
    </row>
    <row r="23" spans="2:13" ht="21.75" customHeight="1" x14ac:dyDescent="0.2">
      <c r="B23" s="87" t="str">
        <f>'⚙️ Configuração'!C47</f>
        <v>-</v>
      </c>
      <c r="C23" s="86">
        <f>SUMIFS('📋 Registo Diário'!$Q$7:$Q$646,'📋 Registo Diário'!$D$7:$D$646,'⚙️ Configuração'!C47,'📋 Registo Diário'!$B$7:$B$646,"Semana 1")</f>
        <v>0</v>
      </c>
      <c r="D23" s="86">
        <f>SUMIFS('📋 Registo Diário'!$Q$7:$Q$646,'📋 Registo Diário'!$D$7:$D$646,'⚙️ Configuração'!C47,'📋 Registo Diário'!$B$7:$B$646,"Semana 2")</f>
        <v>0</v>
      </c>
      <c r="E23" s="86">
        <f>SUMIFS('📋 Registo Diário'!$Q$7:$Q$646,'📋 Registo Diário'!$D$7:$D$646,'⚙️ Configuração'!C47,'📋 Registo Diário'!$B$7:$B$646,"Semana 3")</f>
        <v>0</v>
      </c>
      <c r="F23" s="86">
        <f>SUMIFS('📋 Registo Diário'!$Q$7:$Q$646,'📋 Registo Diário'!$D$7:$D$646,'⚙️ Configuração'!C47,'📋 Registo Diário'!$B$7:$B$646,"Semana 4")</f>
        <v>0</v>
      </c>
      <c r="G23" s="86">
        <f>SUMIFS('📋 Registo Diário'!$Q$7:$Q$646,'📋 Registo Diário'!$D$7:$D$646,'⚙️ Configuração'!C47,'📋 Registo Diário'!$B$7:$B$646,"Semana 5")</f>
        <v>0</v>
      </c>
      <c r="H23" s="86">
        <f>SUMIFS('📋 Registo Diário'!$Q$7:$Q$646,'📋 Registo Diário'!$D$7:$D$646,'⚙️ Configuração'!C47,'📋 Registo Diário'!$B$7:$B$646,"Semana 6")</f>
        <v>0</v>
      </c>
      <c r="I23" s="86">
        <f>SUMIFS('📋 Registo Diário'!$Q$7:$Q$646,'📋 Registo Diário'!$D$7:$D$646,'⚙️ Configuração'!C47,'📋 Registo Diário'!$B$7:$B$646,"Semana 7")</f>
        <v>0</v>
      </c>
      <c r="J23" s="86">
        <f>SUMIFS('📋 Registo Diário'!$Q$7:$Q$646,'📋 Registo Diário'!$D$7:$D$646,'⚙️ Configuração'!C47,'📋 Registo Diário'!$B$7:$B$646,"Semana 8")</f>
        <v>0</v>
      </c>
      <c r="K23" s="104">
        <f t="shared" si="0"/>
        <v>0</v>
      </c>
      <c r="M23" s="88">
        <f>K23+'💱 Pontos Transitados'!K23</f>
        <v>0</v>
      </c>
    </row>
    <row r="24" spans="2:13" ht="21.75" customHeight="1" x14ac:dyDescent="0.2">
      <c r="B24" s="80" t="str">
        <f>'⚙️ Configuração'!C48</f>
        <v>-</v>
      </c>
      <c r="C24" s="79">
        <f>SUMIFS('📋 Registo Diário'!$Q$7:$Q$646,'📋 Registo Diário'!$D$7:$D$646,'⚙️ Configuração'!C48,'📋 Registo Diário'!$B$7:$B$646,"Semana 1")</f>
        <v>0</v>
      </c>
      <c r="D24" s="79">
        <f>SUMIFS('📋 Registo Diário'!$Q$7:$Q$646,'📋 Registo Diário'!$D$7:$D$646,'⚙️ Configuração'!C48,'📋 Registo Diário'!$B$7:$B$646,"Semana 2")</f>
        <v>0</v>
      </c>
      <c r="E24" s="79">
        <f>SUMIFS('📋 Registo Diário'!$Q$7:$Q$646,'📋 Registo Diário'!$D$7:$D$646,'⚙️ Configuração'!C48,'📋 Registo Diário'!$B$7:$B$646,"Semana 3")</f>
        <v>0</v>
      </c>
      <c r="F24" s="79">
        <f>SUMIFS('📋 Registo Diário'!$Q$7:$Q$646,'📋 Registo Diário'!$D$7:$D$646,'⚙️ Configuração'!C48,'📋 Registo Diário'!$B$7:$B$646,"Semana 4")</f>
        <v>0</v>
      </c>
      <c r="G24" s="79">
        <f>SUMIFS('📋 Registo Diário'!$Q$7:$Q$646,'📋 Registo Diário'!$D$7:$D$646,'⚙️ Configuração'!C48,'📋 Registo Diário'!$B$7:$B$646,"Semana 5")</f>
        <v>0</v>
      </c>
      <c r="H24" s="79">
        <f>SUMIFS('📋 Registo Diário'!$Q$7:$Q$646,'📋 Registo Diário'!$D$7:$D$646,'⚙️ Configuração'!C48,'📋 Registo Diário'!$B$7:$B$646,"Semana 6")</f>
        <v>0</v>
      </c>
      <c r="I24" s="79">
        <f>SUMIFS('📋 Registo Diário'!$Q$7:$Q$646,'📋 Registo Diário'!$D$7:$D$646,'⚙️ Configuração'!C48,'📋 Registo Diário'!$B$7:$B$646,"Semana 7")</f>
        <v>0</v>
      </c>
      <c r="J24" s="79">
        <f>SUMIFS('📋 Registo Diário'!$Q$7:$Q$646,'📋 Registo Diário'!$D$7:$D$646,'⚙️ Configuração'!C48,'📋 Registo Diário'!$B$7:$B$646,"Semana 8")</f>
        <v>0</v>
      </c>
      <c r="K24" s="104">
        <f t="shared" si="0"/>
        <v>0</v>
      </c>
      <c r="M24" s="88">
        <f>K24+'💱 Pontos Transitados'!K24</f>
        <v>0</v>
      </c>
    </row>
    <row r="25" spans="2:13" ht="21.75" customHeight="1" x14ac:dyDescent="0.2">
      <c r="B25" s="87" t="str">
        <f>'⚙️ Configuração'!C49</f>
        <v>-</v>
      </c>
      <c r="C25" s="86">
        <f>SUMIFS('📋 Registo Diário'!$Q$7:$Q$646,'📋 Registo Diário'!$D$7:$D$646,'⚙️ Configuração'!C49,'📋 Registo Diário'!$B$7:$B$646,"Semana 1")</f>
        <v>0</v>
      </c>
      <c r="D25" s="86">
        <f>SUMIFS('📋 Registo Diário'!$Q$7:$Q$646,'📋 Registo Diário'!$D$7:$D$646,'⚙️ Configuração'!C49,'📋 Registo Diário'!$B$7:$B$646,"Semana 2")</f>
        <v>0</v>
      </c>
      <c r="E25" s="86">
        <f>SUMIFS('📋 Registo Diário'!$Q$7:$Q$646,'📋 Registo Diário'!$D$7:$D$646,'⚙️ Configuração'!C49,'📋 Registo Diário'!$B$7:$B$646,"Semana 3")</f>
        <v>0</v>
      </c>
      <c r="F25" s="86">
        <f>SUMIFS('📋 Registo Diário'!$Q$7:$Q$646,'📋 Registo Diário'!$D$7:$D$646,'⚙️ Configuração'!C49,'📋 Registo Diário'!$B$7:$B$646,"Semana 4")</f>
        <v>0</v>
      </c>
      <c r="G25" s="86">
        <f>SUMIFS('📋 Registo Diário'!$Q$7:$Q$646,'📋 Registo Diário'!$D$7:$D$646,'⚙️ Configuração'!C49,'📋 Registo Diário'!$B$7:$B$646,"Semana 5")</f>
        <v>0</v>
      </c>
      <c r="H25" s="86">
        <f>SUMIFS('📋 Registo Diário'!$Q$7:$Q$646,'📋 Registo Diário'!$D$7:$D$646,'⚙️ Configuração'!C49,'📋 Registo Diário'!$B$7:$B$646,"Semana 6")</f>
        <v>0</v>
      </c>
      <c r="I25" s="86">
        <f>SUMIFS('📋 Registo Diário'!$Q$7:$Q$646,'📋 Registo Diário'!$D$7:$D$646,'⚙️ Configuração'!C49,'📋 Registo Diário'!$B$7:$B$646,"Semana 7")</f>
        <v>0</v>
      </c>
      <c r="J25" s="86">
        <f>SUMIFS('📋 Registo Diário'!$Q$7:$Q$646,'📋 Registo Diário'!$D$7:$D$646,'⚙️ Configuração'!C49,'📋 Registo Diário'!$B$7:$B$646,"Semana 8")</f>
        <v>0</v>
      </c>
      <c r="K25" s="104">
        <f t="shared" si="0"/>
        <v>0</v>
      </c>
      <c r="M25" s="88">
        <f>K25+'💱 Pontos Transitados'!K25</f>
        <v>0</v>
      </c>
    </row>
    <row r="26" spans="2:13" ht="15.75" customHeight="1" x14ac:dyDescent="0.2"/>
    <row r="27" spans="2:13" ht="15.75" customHeight="1" x14ac:dyDescent="0.2"/>
    <row r="28" spans="2:13" ht="15.75" customHeight="1" x14ac:dyDescent="0.2"/>
    <row r="29" spans="2:13" ht="15.75" customHeight="1" x14ac:dyDescent="0.2"/>
    <row r="30" spans="2:13" ht="15.75" customHeight="1" x14ac:dyDescent="0.2"/>
    <row r="31" spans="2:13" ht="15.75" customHeight="1" x14ac:dyDescent="0.2"/>
    <row r="32" spans="2:13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2">
    <mergeCell ref="B2:M2"/>
    <mergeCell ref="B4:M4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6" customWidth="1"/>
    <col min="3" max="3" width="24" customWidth="1"/>
    <col min="4" max="4" width="16" customWidth="1"/>
    <col min="5" max="6" width="14" customWidth="1"/>
    <col min="7" max="7" width="16" customWidth="1"/>
    <col min="8" max="26" width="8.6640625" customWidth="1"/>
  </cols>
  <sheetData>
    <row r="1" spans="2:7" x14ac:dyDescent="0.2">
      <c r="B1" s="105" t="s">
        <v>3</v>
      </c>
      <c r="C1" s="105" t="s">
        <v>4</v>
      </c>
      <c r="D1" s="105" t="s">
        <v>250</v>
      </c>
      <c r="E1" s="105" t="s">
        <v>5</v>
      </c>
      <c r="F1" s="105" t="s">
        <v>6</v>
      </c>
      <c r="G1" s="105" t="s">
        <v>7</v>
      </c>
    </row>
    <row r="2" spans="2:7" ht="45" customHeight="1" x14ac:dyDescent="0.2">
      <c r="B2" s="156" t="s">
        <v>251</v>
      </c>
      <c r="C2" s="132"/>
      <c r="D2" s="132"/>
      <c r="E2" s="132"/>
      <c r="F2" s="132"/>
      <c r="G2" s="133"/>
    </row>
    <row r="3" spans="2:7" x14ac:dyDescent="0.2">
      <c r="B3" s="157" t="s">
        <v>252</v>
      </c>
      <c r="C3" s="158"/>
      <c r="D3" s="158"/>
      <c r="E3" s="158"/>
      <c r="F3" s="158"/>
      <c r="G3" s="158"/>
    </row>
    <row r="4" spans="2:7" ht="24.75" customHeight="1" x14ac:dyDescent="0.2">
      <c r="B4" s="36">
        <v>1</v>
      </c>
      <c r="C4" s="106" t="str">
        <f>'⚙️ Configuração'!C30</f>
        <v>Carla Cantante</v>
      </c>
      <c r="D4" s="107" t="str">
        <f t="shared" ref="D4:D23" si="0">"Ver 🔄 Rotação"</f>
        <v>Ver 🔄 Rotação</v>
      </c>
      <c r="E4" s="108">
        <f>SUMIF('📋 Registo Diário'!$D$7:$D$646,'⚙️ Configuração'!C30,'📋 Registo Diário'!$Q$7:$Q$646)</f>
        <v>45</v>
      </c>
      <c r="F4" s="109">
        <f>'💱 Pontos Transitados'!K6</f>
        <v>43</v>
      </c>
      <c r="G4" s="110">
        <f t="shared" ref="G4:G23" si="1">E4+F4</f>
        <v>88</v>
      </c>
    </row>
    <row r="5" spans="2:7" ht="34.5" customHeight="1" x14ac:dyDescent="0.2">
      <c r="B5" s="47">
        <v>2</v>
      </c>
      <c r="C5" s="87" t="str">
        <f>'⚙️ Configuração'!C31</f>
        <v>Elisabete Mendes</v>
      </c>
      <c r="D5" s="111" t="str">
        <f t="shared" si="0"/>
        <v>Ver 🔄 Rotação</v>
      </c>
      <c r="E5" s="86">
        <f>SUMIF('📋 Registo Diário'!$D$7:$D$646,'⚙️ Configuração'!C31,'📋 Registo Diário'!$Q$7:$Q$646)</f>
        <v>23</v>
      </c>
      <c r="F5" s="84">
        <f>'💱 Pontos Transitados'!K7</f>
        <v>31</v>
      </c>
      <c r="G5" s="99">
        <f t="shared" si="1"/>
        <v>54</v>
      </c>
    </row>
    <row r="6" spans="2:7" ht="21.75" customHeight="1" x14ac:dyDescent="0.2">
      <c r="B6" s="36">
        <v>3</v>
      </c>
      <c r="C6" s="80" t="str">
        <f>'⚙️ Configuração'!C32</f>
        <v>Filipa Cunha</v>
      </c>
      <c r="D6" s="112" t="str">
        <f t="shared" si="0"/>
        <v>Ver 🔄 Rotação</v>
      </c>
      <c r="E6" s="79">
        <f>SUMIF('📋 Registo Diário'!$D$7:$D$646,'⚙️ Configuração'!C32,'📋 Registo Diário'!$Q$7:$Q$646)</f>
        <v>74</v>
      </c>
      <c r="F6" s="84">
        <f>'💱 Pontos Transitados'!K8</f>
        <v>56</v>
      </c>
      <c r="G6" s="99">
        <f t="shared" si="1"/>
        <v>130</v>
      </c>
    </row>
    <row r="7" spans="2:7" ht="21.75" customHeight="1" x14ac:dyDescent="0.2">
      <c r="B7" s="47">
        <v>4</v>
      </c>
      <c r="C7" s="87" t="str">
        <f>'⚙️ Configuração'!C33</f>
        <v>Helena Rocha</v>
      </c>
      <c r="D7" s="111" t="str">
        <f t="shared" si="0"/>
        <v>Ver 🔄 Rotação</v>
      </c>
      <c r="E7" s="86">
        <f>SUMIF('📋 Registo Diário'!$D$7:$D$646,'⚙️ Configuração'!C33,'📋 Registo Diário'!$Q$7:$Q$646)</f>
        <v>40</v>
      </c>
      <c r="F7" s="84">
        <f>'💱 Pontos Transitados'!K9</f>
        <v>32</v>
      </c>
      <c r="G7" s="99">
        <f t="shared" si="1"/>
        <v>72</v>
      </c>
    </row>
    <row r="8" spans="2:7" ht="21.75" customHeight="1" x14ac:dyDescent="0.2">
      <c r="B8" s="36">
        <v>5</v>
      </c>
      <c r="C8" s="80" t="str">
        <f>'⚙️ Configuração'!C34</f>
        <v>João Xavier</v>
      </c>
      <c r="D8" s="112" t="str">
        <f t="shared" si="0"/>
        <v>Ver 🔄 Rotação</v>
      </c>
      <c r="E8" s="79">
        <f>SUMIF('📋 Registo Diário'!$D$7:$D$646,'⚙️ Configuração'!C34,'📋 Registo Diário'!$Q$7:$Q$646)</f>
        <v>83</v>
      </c>
      <c r="F8" s="84">
        <f>'💱 Pontos Transitados'!K10</f>
        <v>68</v>
      </c>
      <c r="G8" s="99">
        <f t="shared" si="1"/>
        <v>151</v>
      </c>
    </row>
    <row r="9" spans="2:7" ht="21.75" customHeight="1" x14ac:dyDescent="0.2">
      <c r="B9" s="47">
        <v>6</v>
      </c>
      <c r="C9" s="87" t="str">
        <f>'⚙️ Configuração'!C35</f>
        <v>Tomás Carlos</v>
      </c>
      <c r="D9" s="111" t="str">
        <f t="shared" si="0"/>
        <v>Ver 🔄 Rotação</v>
      </c>
      <c r="E9" s="86">
        <f>SUMIF('📋 Registo Diário'!$D$7:$D$646,'⚙️ Configuração'!C35,'📋 Registo Diário'!$Q$7:$Q$646)</f>
        <v>50</v>
      </c>
      <c r="F9" s="84">
        <f>'💱 Pontos Transitados'!K11</f>
        <v>46</v>
      </c>
      <c r="G9" s="99">
        <f t="shared" si="1"/>
        <v>96</v>
      </c>
    </row>
    <row r="10" spans="2:7" ht="21.75" customHeight="1" x14ac:dyDescent="0.2">
      <c r="B10" s="36">
        <v>7</v>
      </c>
      <c r="C10" s="80" t="str">
        <f>'⚙️ Configuração'!C36</f>
        <v>Alexandra Correia</v>
      </c>
      <c r="D10" s="112" t="str">
        <f t="shared" si="0"/>
        <v>Ver 🔄 Rotação</v>
      </c>
      <c r="E10" s="79">
        <f>SUMIF('📋 Registo Diário'!$D$7:$D$646,'⚙️ Configuração'!C36,'📋 Registo Diário'!$Q$7:$Q$646)</f>
        <v>47</v>
      </c>
      <c r="F10" s="84">
        <f>'💱 Pontos Transitados'!K12</f>
        <v>55</v>
      </c>
      <c r="G10" s="99">
        <f t="shared" si="1"/>
        <v>102</v>
      </c>
    </row>
    <row r="11" spans="2:7" ht="21.75" customHeight="1" x14ac:dyDescent="0.2">
      <c r="B11" s="47">
        <v>8</v>
      </c>
      <c r="C11" s="87" t="str">
        <f>'⚙️ Configuração'!C37</f>
        <v>Carla Barata</v>
      </c>
      <c r="D11" s="111" t="str">
        <f t="shared" si="0"/>
        <v>Ver 🔄 Rotação</v>
      </c>
      <c r="E11" s="86">
        <f>SUMIF('📋 Registo Diário'!$D$7:$D$646,'⚙️ Configuração'!C37,'📋 Registo Diário'!$Q$7:$Q$646)</f>
        <v>23</v>
      </c>
      <c r="F11" s="84">
        <f>'💱 Pontos Transitados'!K13</f>
        <v>21</v>
      </c>
      <c r="G11" s="99">
        <f t="shared" si="1"/>
        <v>44</v>
      </c>
    </row>
    <row r="12" spans="2:7" ht="21.75" customHeight="1" x14ac:dyDescent="0.2">
      <c r="B12" s="36">
        <v>9</v>
      </c>
      <c r="C12" s="80" t="str">
        <f>'⚙️ Configuração'!C38</f>
        <v>Denise Filipe</v>
      </c>
      <c r="D12" s="112" t="str">
        <f t="shared" si="0"/>
        <v>Ver 🔄 Rotação</v>
      </c>
      <c r="E12" s="79">
        <f>SUMIF('📋 Registo Diário'!$D$7:$D$646,'⚙️ Configuração'!C38,'📋 Registo Diário'!$Q$7:$Q$646)</f>
        <v>42</v>
      </c>
      <c r="F12" s="84">
        <f>'💱 Pontos Transitados'!K14</f>
        <v>44</v>
      </c>
      <c r="G12" s="99">
        <f t="shared" si="1"/>
        <v>86</v>
      </c>
    </row>
    <row r="13" spans="2:7" ht="21.75" customHeight="1" x14ac:dyDescent="0.2">
      <c r="B13" s="47">
        <v>10</v>
      </c>
      <c r="C13" s="87" t="str">
        <f>'⚙️ Configuração'!C39</f>
        <v>Fátima Rodriguez</v>
      </c>
      <c r="D13" s="111" t="str">
        <f t="shared" si="0"/>
        <v>Ver 🔄 Rotação</v>
      </c>
      <c r="E13" s="86">
        <f>SUMIF('📋 Registo Diário'!$D$7:$D$646,'⚙️ Configuração'!C39,'📋 Registo Diário'!$Q$7:$Q$646)</f>
        <v>69</v>
      </c>
      <c r="F13" s="84">
        <f>'💱 Pontos Transitados'!K15</f>
        <v>0</v>
      </c>
      <c r="G13" s="99">
        <f t="shared" si="1"/>
        <v>69</v>
      </c>
    </row>
    <row r="14" spans="2:7" ht="21.75" customHeight="1" x14ac:dyDescent="0.2">
      <c r="B14" s="36">
        <v>11</v>
      </c>
      <c r="C14" s="80" t="str">
        <f>'⚙️ Configuração'!C40</f>
        <v>Maria João Travassos</v>
      </c>
      <c r="D14" s="112" t="str">
        <f t="shared" si="0"/>
        <v>Ver 🔄 Rotação</v>
      </c>
      <c r="E14" s="79">
        <f>SUMIF('📋 Registo Diário'!$D$7:$D$646,'⚙️ Configuração'!C40,'📋 Registo Diário'!$Q$7:$Q$646)</f>
        <v>38</v>
      </c>
      <c r="F14" s="84">
        <f>'💱 Pontos Transitados'!K16</f>
        <v>56</v>
      </c>
      <c r="G14" s="99">
        <f t="shared" si="1"/>
        <v>94</v>
      </c>
    </row>
    <row r="15" spans="2:7" ht="21.75" customHeight="1" x14ac:dyDescent="0.2">
      <c r="B15" s="47">
        <v>12</v>
      </c>
      <c r="C15" s="87" t="str">
        <f>'⚙️ Configuração'!C41</f>
        <v>Marta Torres</v>
      </c>
      <c r="D15" s="111" t="str">
        <f t="shared" si="0"/>
        <v>Ver 🔄 Rotação</v>
      </c>
      <c r="E15" s="86">
        <f>SUMIF('📋 Registo Diário'!$D$7:$D$646,'⚙️ Configuração'!C41,'📋 Registo Diário'!$Q$7:$Q$646)</f>
        <v>54</v>
      </c>
      <c r="F15" s="84">
        <f>'💱 Pontos Transitados'!K17</f>
        <v>41</v>
      </c>
      <c r="G15" s="99">
        <f t="shared" si="1"/>
        <v>95</v>
      </c>
    </row>
    <row r="16" spans="2:7" ht="21.75" customHeight="1" x14ac:dyDescent="0.2">
      <c r="B16" s="36">
        <v>13</v>
      </c>
      <c r="C16" s="80" t="str">
        <f>'⚙️ Configuração'!C42</f>
        <v>Patricia Isabel Silva</v>
      </c>
      <c r="D16" s="112" t="str">
        <f t="shared" si="0"/>
        <v>Ver 🔄 Rotação</v>
      </c>
      <c r="E16" s="79">
        <f>SUMIF('📋 Registo Diário'!$D$7:$D$646,'⚙️ Configuração'!C42,'📋 Registo Diário'!$Q$7:$Q$646)</f>
        <v>41</v>
      </c>
      <c r="F16" s="84">
        <f>'💱 Pontos Transitados'!K18</f>
        <v>45</v>
      </c>
      <c r="G16" s="99">
        <f t="shared" si="1"/>
        <v>86</v>
      </c>
    </row>
    <row r="17" spans="2:7" ht="21.75" customHeight="1" x14ac:dyDescent="0.2">
      <c r="B17" s="47">
        <v>14</v>
      </c>
      <c r="C17" s="87" t="str">
        <f>'⚙️ Configuração'!C43</f>
        <v>Paula Martins</v>
      </c>
      <c r="D17" s="111" t="str">
        <f t="shared" si="0"/>
        <v>Ver 🔄 Rotação</v>
      </c>
      <c r="E17" s="86">
        <f>SUMIF('📋 Registo Diário'!$D$7:$D$646,'⚙️ Configuração'!C43,'📋 Registo Diário'!$Q$7:$Q$646)</f>
        <v>20</v>
      </c>
      <c r="F17" s="84">
        <f>'💱 Pontos Transitados'!K19</f>
        <v>22</v>
      </c>
      <c r="G17" s="99">
        <f t="shared" si="1"/>
        <v>42</v>
      </c>
    </row>
    <row r="18" spans="2:7" ht="21.75" customHeight="1" x14ac:dyDescent="0.2">
      <c r="B18" s="36">
        <v>15</v>
      </c>
      <c r="C18" s="80" t="str">
        <f>'⚙️ Configuração'!C44</f>
        <v>Paula Miabara</v>
      </c>
      <c r="D18" s="112" t="str">
        <f t="shared" si="0"/>
        <v>Ver 🔄 Rotação</v>
      </c>
      <c r="E18" s="79">
        <f>SUMIF('📋 Registo Diário'!$D$7:$D$646,'⚙️ Configuração'!C44,'📋 Registo Diário'!$Q$7:$Q$646)</f>
        <v>28</v>
      </c>
      <c r="F18" s="84">
        <f>'💱 Pontos Transitados'!K20</f>
        <v>41</v>
      </c>
      <c r="G18" s="99">
        <f t="shared" si="1"/>
        <v>69</v>
      </c>
    </row>
    <row r="19" spans="2:7" ht="21.75" customHeight="1" x14ac:dyDescent="0.2">
      <c r="B19" s="47">
        <v>16</v>
      </c>
      <c r="C19" s="87" t="str">
        <f>'⚙️ Configuração'!C45</f>
        <v>Rita Carmo</v>
      </c>
      <c r="D19" s="111" t="str">
        <f t="shared" si="0"/>
        <v>Ver 🔄 Rotação</v>
      </c>
      <c r="E19" s="86">
        <f>SUMIF('📋 Registo Diário'!$D$7:$D$646,'⚙️ Configuração'!C45,'📋 Registo Diário'!$Q$7:$Q$646)</f>
        <v>53</v>
      </c>
      <c r="F19" s="84">
        <f>'💱 Pontos Transitados'!K21</f>
        <v>68</v>
      </c>
      <c r="G19" s="99">
        <f t="shared" si="1"/>
        <v>121</v>
      </c>
    </row>
    <row r="20" spans="2:7" ht="21.75" customHeight="1" x14ac:dyDescent="0.2">
      <c r="B20" s="36">
        <v>17</v>
      </c>
      <c r="C20" s="80" t="str">
        <f>'⚙️ Configuração'!C46</f>
        <v>William Fernandes</v>
      </c>
      <c r="D20" s="112" t="str">
        <f t="shared" si="0"/>
        <v>Ver 🔄 Rotação</v>
      </c>
      <c r="E20" s="79">
        <f>SUMIF('📋 Registo Diário'!$D$7:$D$646,'⚙️ Configuração'!C46,'📋 Registo Diário'!$Q$7:$Q$646)</f>
        <v>63</v>
      </c>
      <c r="F20" s="84">
        <f>'💱 Pontos Transitados'!K22</f>
        <v>55</v>
      </c>
      <c r="G20" s="99">
        <f t="shared" si="1"/>
        <v>118</v>
      </c>
    </row>
    <row r="21" spans="2:7" ht="21.75" customHeight="1" x14ac:dyDescent="0.2">
      <c r="B21" s="47">
        <v>18</v>
      </c>
      <c r="C21" s="87" t="str">
        <f>'⚙️ Configuração'!C47</f>
        <v>-</v>
      </c>
      <c r="D21" s="111" t="str">
        <f t="shared" si="0"/>
        <v>Ver 🔄 Rotação</v>
      </c>
      <c r="E21" s="86">
        <f>SUMIF('📋 Registo Diário'!$D$7:$D$646,'⚙️ Configuração'!C47,'📋 Registo Diário'!$Q$7:$Q$646)</f>
        <v>0</v>
      </c>
      <c r="F21" s="84">
        <f>'💱 Pontos Transitados'!K23</f>
        <v>0</v>
      </c>
      <c r="G21" s="99">
        <f t="shared" si="1"/>
        <v>0</v>
      </c>
    </row>
    <row r="22" spans="2:7" ht="21.75" customHeight="1" x14ac:dyDescent="0.2">
      <c r="B22" s="36">
        <v>19</v>
      </c>
      <c r="C22" s="80" t="str">
        <f>'⚙️ Configuração'!C48</f>
        <v>-</v>
      </c>
      <c r="D22" s="112" t="str">
        <f t="shared" si="0"/>
        <v>Ver 🔄 Rotação</v>
      </c>
      <c r="E22" s="79">
        <f>SUMIF('📋 Registo Diário'!$D$7:$D$646,'⚙️ Configuração'!C48,'📋 Registo Diário'!$Q$7:$Q$646)</f>
        <v>0</v>
      </c>
      <c r="F22" s="84">
        <f>'💱 Pontos Transitados'!K24</f>
        <v>0</v>
      </c>
      <c r="G22" s="99">
        <f t="shared" si="1"/>
        <v>0</v>
      </c>
    </row>
    <row r="23" spans="2:7" ht="21.75" customHeight="1" x14ac:dyDescent="0.2">
      <c r="B23" s="47">
        <v>20</v>
      </c>
      <c r="C23" s="87" t="str">
        <f>'⚙️ Configuração'!C49</f>
        <v>-</v>
      </c>
      <c r="D23" s="111" t="str">
        <f t="shared" si="0"/>
        <v>Ver 🔄 Rotação</v>
      </c>
      <c r="E23" s="86">
        <f>SUMIF('📋 Registo Diário'!$D$7:$D$646,'⚙️ Configuração'!C49,'📋 Registo Diário'!$Q$7:$Q$646)</f>
        <v>0</v>
      </c>
      <c r="F23" s="84">
        <f>'💱 Pontos Transitados'!K25</f>
        <v>0</v>
      </c>
      <c r="G23" s="99">
        <f t="shared" si="1"/>
        <v>0</v>
      </c>
    </row>
    <row r="24" spans="2:7" ht="21.75" customHeight="1" x14ac:dyDescent="0.2">
      <c r="B24" s="113"/>
      <c r="C24" s="113"/>
      <c r="D24" s="113"/>
      <c r="E24" s="113"/>
      <c r="F24" s="113"/>
      <c r="G24" s="113"/>
    </row>
    <row r="25" spans="2:7" ht="21.75" customHeight="1" x14ac:dyDescent="0.2">
      <c r="B25" s="113"/>
      <c r="C25" s="113"/>
      <c r="D25" s="113"/>
      <c r="E25" s="113"/>
      <c r="F25" s="113"/>
      <c r="G25" s="113"/>
    </row>
    <row r="26" spans="2:7" ht="15.75" customHeight="1" x14ac:dyDescent="0.2"/>
    <row r="27" spans="2:7" ht="15.75" customHeight="1" x14ac:dyDescent="0.2"/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2">
    <mergeCell ref="B2:G2"/>
    <mergeCell ref="B3:G3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000"/>
  <sheetViews>
    <sheetView showGridLines="0" workbookViewId="0">
      <selection activeCell="G11" sqref="G11"/>
    </sheetView>
  </sheetViews>
  <sheetFormatPr baseColWidth="10" defaultColWidth="14.5" defaultRowHeight="15" customHeight="1" x14ac:dyDescent="0.2"/>
  <cols>
    <col min="1" max="1" width="3" customWidth="1"/>
    <col min="2" max="2" width="6" customWidth="1"/>
    <col min="3" max="3" width="14" customWidth="1"/>
    <col min="4" max="5" width="22" customWidth="1"/>
    <col min="6" max="7" width="14" customWidth="1"/>
    <col min="8" max="8" width="16" customWidth="1"/>
    <col min="9" max="26" width="8.6640625" customWidth="1"/>
  </cols>
  <sheetData>
    <row r="1" spans="2:8" ht="9.75" customHeight="1" x14ac:dyDescent="0.2"/>
    <row r="2" spans="2:8" ht="45" customHeight="1" x14ac:dyDescent="0.2">
      <c r="B2" s="143" t="s">
        <v>253</v>
      </c>
      <c r="C2" s="132"/>
      <c r="D2" s="132"/>
      <c r="E2" s="132"/>
      <c r="F2" s="132"/>
      <c r="G2" s="132"/>
      <c r="H2" s="133"/>
    </row>
    <row r="3" spans="2:8" ht="9.75" customHeight="1" x14ac:dyDescent="0.2"/>
    <row r="4" spans="2:8" ht="64.5" customHeight="1" x14ac:dyDescent="0.2">
      <c r="B4" s="121" t="s">
        <v>254</v>
      </c>
      <c r="C4" s="119"/>
      <c r="D4" s="119"/>
      <c r="E4" s="119"/>
      <c r="F4" s="119"/>
      <c r="G4" s="119"/>
      <c r="H4" s="120"/>
    </row>
    <row r="5" spans="2:8" ht="30" customHeight="1" x14ac:dyDescent="0.2">
      <c r="B5" s="159" t="s">
        <v>255</v>
      </c>
      <c r="C5" s="120"/>
      <c r="D5" s="114">
        <v>1</v>
      </c>
    </row>
    <row r="6" spans="2:8" ht="34.5" customHeight="1" x14ac:dyDescent="0.2">
      <c r="B6" s="9" t="s">
        <v>3</v>
      </c>
      <c r="C6" s="9" t="s">
        <v>256</v>
      </c>
      <c r="D6" s="9" t="s">
        <v>174</v>
      </c>
      <c r="E6" s="9" t="s">
        <v>175</v>
      </c>
      <c r="F6" s="9" t="s">
        <v>257</v>
      </c>
      <c r="G6" s="9" t="s">
        <v>258</v>
      </c>
      <c r="H6" s="9" t="s">
        <v>259</v>
      </c>
    </row>
    <row r="7" spans="2:8" ht="21.75" customHeight="1" x14ac:dyDescent="0.2">
      <c r="B7" s="36">
        <v>1</v>
      </c>
      <c r="C7" s="79" t="str">
        <f>"Dupla 1"</f>
        <v>Dupla 1</v>
      </c>
      <c r="D7" s="115" t="str">
        <f>CHOOSE($D$5,'🔄 Rotação Duplas'!C8,'🔄 Rotação Duplas'!C22,'🔄 Rotação Duplas'!C36,'🔄 Rotação Duplas'!C50,'🔄 Rotação Duplas'!C64,'🔄 Rotação Duplas'!C78,'🔄 Rotação Duplas'!C92,'🔄 Rotação Duplas'!C106)</f>
        <v>Carla Cantante</v>
      </c>
      <c r="E7" s="115" t="str">
        <f>CHOOSE($D$5,'🔄 Rotação Duplas'!D8,'🔄 Rotação Duplas'!D22,'🔄 Rotação Duplas'!D36,'🔄 Rotação Duplas'!D50,'🔄 Rotação Duplas'!D64,'🔄 Rotação Duplas'!D78,'🔄 Rotação Duplas'!D92,'🔄 Rotação Duplas'!D106)</f>
        <v>Denise Filipe</v>
      </c>
      <c r="F7" s="81">
        <f>IF(D7="",0,SUMIFS('📋 Registo Diário'!$Q$7:$Q$646,'📋 Registo Diário'!$D$7:$D$646,D7,'📋 Registo Diário'!$B$7:$B$646,"Semana "&amp;$D$5))</f>
        <v>45</v>
      </c>
      <c r="G7" s="81">
        <f>IF(E7="",0,SUMIFS('📋 Registo Diário'!$Q$7:$Q$646,'📋 Registo Diário'!$D$7:$D$646,E7,'📋 Registo Diário'!$B$7:$B$646,"Semana "&amp;$D$5))</f>
        <v>42</v>
      </c>
      <c r="H7" s="99">
        <f t="shared" ref="H7:H16" si="0">F7+G7</f>
        <v>87</v>
      </c>
    </row>
    <row r="8" spans="2:8" ht="21.75" customHeight="1" x14ac:dyDescent="0.2">
      <c r="B8" s="47">
        <v>2</v>
      </c>
      <c r="C8" s="86" t="str">
        <f>"Dupla 2"</f>
        <v>Dupla 2</v>
      </c>
      <c r="D8" s="116" t="str">
        <f>CHOOSE($D$5,'🔄 Rotação Duplas'!C9,'🔄 Rotação Duplas'!C23,'🔄 Rotação Duplas'!C37,'🔄 Rotação Duplas'!C51,'🔄 Rotação Duplas'!C65,'🔄 Rotação Duplas'!C79,'🔄 Rotação Duplas'!C93,'🔄 Rotação Duplas'!C107)</f>
        <v>Filipa Cunha</v>
      </c>
      <c r="E8" s="116" t="str">
        <f>CHOOSE($D$5,'🔄 Rotação Duplas'!D9,'🔄 Rotação Duplas'!D23,'🔄 Rotação Duplas'!D37,'🔄 Rotação Duplas'!D51,'🔄 Rotação Duplas'!D65,'🔄 Rotação Duplas'!D79,'🔄 Rotação Duplas'!D93,'🔄 Rotação Duplas'!D107)</f>
        <v>Maria João Travassos</v>
      </c>
      <c r="F8" s="117">
        <f>IF(D8="",0,SUMIFS('📋 Registo Diário'!$Q$7:$Q$646,'📋 Registo Diário'!$D$7:$D$646,D8,'📋 Registo Diário'!$B$7:$B$646,"Semana "&amp;$D$5))</f>
        <v>74</v>
      </c>
      <c r="G8" s="117">
        <f>IF(E8="",0,SUMIFS('📋 Registo Diário'!$Q$7:$Q$646,'📋 Registo Diário'!$D$7:$D$646,E8,'📋 Registo Diário'!$B$7:$B$646,"Semana "&amp;$D$5))</f>
        <v>38</v>
      </c>
      <c r="H8" s="99">
        <f t="shared" si="0"/>
        <v>112</v>
      </c>
    </row>
    <row r="9" spans="2:8" ht="21.75" customHeight="1" x14ac:dyDescent="0.2">
      <c r="B9" s="36">
        <v>3</v>
      </c>
      <c r="C9" s="79" t="str">
        <f>"Dupla 3"</f>
        <v>Dupla 3</v>
      </c>
      <c r="D9" s="115" t="str">
        <f>CHOOSE($D$5,'🔄 Rotação Duplas'!C10,'🔄 Rotação Duplas'!C24,'🔄 Rotação Duplas'!C38,'🔄 Rotação Duplas'!C52,'🔄 Rotação Duplas'!C66,'🔄 Rotação Duplas'!C80,'🔄 Rotação Duplas'!C94,'🔄 Rotação Duplas'!C108)</f>
        <v>João Xavier</v>
      </c>
      <c r="E9" s="115" t="str">
        <f>CHOOSE($D$5,'🔄 Rotação Duplas'!D10,'🔄 Rotação Duplas'!D24,'🔄 Rotação Duplas'!D38,'🔄 Rotação Duplas'!D52,'🔄 Rotação Duplas'!D66,'🔄 Rotação Duplas'!D80,'🔄 Rotação Duplas'!D94,'🔄 Rotação Duplas'!D108)</f>
        <v>Rita Carmo</v>
      </c>
      <c r="F9" s="81">
        <f>IF(D9="",0,SUMIFS('📋 Registo Diário'!$Q$7:$Q$646,'📋 Registo Diário'!$D$7:$D$646,D9,'📋 Registo Diário'!$B$7:$B$646,"Semana "&amp;$D$5))</f>
        <v>83</v>
      </c>
      <c r="G9" s="81">
        <f>IF(E9="",0,SUMIFS('📋 Registo Diário'!$Q$7:$Q$646,'📋 Registo Diário'!$D$7:$D$646,E9,'📋 Registo Diário'!$B$7:$B$646,"Semana "&amp;$D$5))</f>
        <v>53</v>
      </c>
      <c r="H9" s="99">
        <f t="shared" si="0"/>
        <v>136</v>
      </c>
    </row>
    <row r="10" spans="2:8" ht="21.75" customHeight="1" x14ac:dyDescent="0.2">
      <c r="B10" s="47">
        <v>4</v>
      </c>
      <c r="C10" s="86" t="str">
        <f>"Dupla 4"</f>
        <v>Dupla 4</v>
      </c>
      <c r="D10" s="116" t="str">
        <f>CHOOSE($D$5,'🔄 Rotação Duplas'!C11,'🔄 Rotação Duplas'!C25,'🔄 Rotação Duplas'!C39,'🔄 Rotação Duplas'!C53,'🔄 Rotação Duplas'!C67,'🔄 Rotação Duplas'!C81,'🔄 Rotação Duplas'!C95,'🔄 Rotação Duplas'!C109)</f>
        <v>Alexandra Correia</v>
      </c>
      <c r="E10" s="116" t="str">
        <f>CHOOSE($D$5,'🔄 Rotação Duplas'!D11,'🔄 Rotação Duplas'!D25,'🔄 Rotação Duplas'!D39,'🔄 Rotação Duplas'!D53,'🔄 Rotação Duplas'!D67,'🔄 Rotação Duplas'!D81,'🔄 Rotação Duplas'!D95,'🔄 Rotação Duplas'!D109)</f>
        <v>William Fernandes</v>
      </c>
      <c r="F10" s="117">
        <f>IF(D10="",0,SUMIFS('📋 Registo Diário'!$Q$7:$Q$646,'📋 Registo Diário'!$D$7:$D$646,D10,'📋 Registo Diário'!$B$7:$B$646,"Semana "&amp;$D$5))</f>
        <v>47</v>
      </c>
      <c r="G10" s="117">
        <f>IF(E10="",0,SUMIFS('📋 Registo Diário'!$Q$7:$Q$646,'📋 Registo Diário'!$D$7:$D$646,E10,'📋 Registo Diário'!$B$7:$B$646,"Semana "&amp;$D$5))</f>
        <v>63</v>
      </c>
      <c r="H10" s="99">
        <f t="shared" si="0"/>
        <v>110</v>
      </c>
    </row>
    <row r="11" spans="2:8" ht="21.75" customHeight="1" x14ac:dyDescent="0.2">
      <c r="B11" s="36">
        <v>5</v>
      </c>
      <c r="C11" s="79" t="str">
        <f>"Dupla 5"</f>
        <v>Dupla 5</v>
      </c>
      <c r="D11" s="115">
        <f>CHOOSE($D$5,'🔄 Rotação Duplas'!C12,'🔄 Rotação Duplas'!C26,'🔄 Rotação Duplas'!C40,'🔄 Rotação Duplas'!C54,'🔄 Rotação Duplas'!C68,'🔄 Rotação Duplas'!C82,'🔄 Rotação Duplas'!C96,'🔄 Rotação Duplas'!C110)</f>
        <v>0</v>
      </c>
      <c r="E11" s="115" t="str">
        <f>CHOOSE($D$5,'🔄 Rotação Duplas'!D12,'🔄 Rotação Duplas'!D26,'🔄 Rotação Duplas'!D40,'🔄 Rotação Duplas'!D54,'🔄 Rotação Duplas'!D68,'🔄 Rotação Duplas'!D82,'🔄 Rotação Duplas'!D96,'🔄 Rotação Duplas'!D110)</f>
        <v>Fátima Rodriguez</v>
      </c>
      <c r="F11" s="81">
        <f>IF(D11="",0,SUMIFS('📋 Registo Diário'!$Q$7:$Q$646,'📋 Registo Diário'!$D$7:$D$646,D11,'📋 Registo Diário'!$B$7:$B$646,"Semana "&amp;$D$5))</f>
        <v>0</v>
      </c>
      <c r="G11" s="81">
        <f>IF(E11="",0,SUMIFS('📋 Registo Diário'!$Q$7:$Q$646,'📋 Registo Diário'!$D$7:$D$646,E11,'📋 Registo Diário'!$B$7:$B$646,"Semana "&amp;$D$5))</f>
        <v>69</v>
      </c>
      <c r="H11" s="99">
        <f t="shared" si="0"/>
        <v>69</v>
      </c>
    </row>
    <row r="12" spans="2:8" ht="21.75" customHeight="1" x14ac:dyDescent="0.2">
      <c r="B12" s="47">
        <v>6</v>
      </c>
      <c r="C12" s="86" t="str">
        <f>"Dupla 6"</f>
        <v>Dupla 6</v>
      </c>
      <c r="D12" s="116" t="str">
        <f>CHOOSE($D$5,'🔄 Rotação Duplas'!C13,'🔄 Rotação Duplas'!C27,'🔄 Rotação Duplas'!C41,'🔄 Rotação Duplas'!C55,'🔄 Rotação Duplas'!C69,'🔄 Rotação Duplas'!C83,'🔄 Rotação Duplas'!C97,'🔄 Rotação Duplas'!C111)</f>
        <v>Paula Miabara</v>
      </c>
      <c r="E12" s="116" t="str">
        <f>CHOOSE($D$5,'🔄 Rotação Duplas'!D13,'🔄 Rotação Duplas'!D27,'🔄 Rotação Duplas'!D41,'🔄 Rotação Duplas'!D55,'🔄 Rotação Duplas'!D69,'🔄 Rotação Duplas'!D83,'🔄 Rotação Duplas'!D97,'🔄 Rotação Duplas'!D111)</f>
        <v>Marta Torres</v>
      </c>
      <c r="F12" s="117">
        <f>IF(D12="",0,SUMIFS('📋 Registo Diário'!$Q$7:$Q$646,'📋 Registo Diário'!$D$7:$D$646,D12,'📋 Registo Diário'!$B$7:$B$646,"Semana "&amp;$D$5))</f>
        <v>28</v>
      </c>
      <c r="G12" s="117">
        <f>IF(E12="",0,SUMIFS('📋 Registo Diário'!$Q$7:$Q$646,'📋 Registo Diário'!$D$7:$D$646,E12,'📋 Registo Diário'!$B$7:$B$646,"Semana "&amp;$D$5))</f>
        <v>54</v>
      </c>
      <c r="H12" s="99">
        <f t="shared" si="0"/>
        <v>82</v>
      </c>
    </row>
    <row r="13" spans="2:8" ht="21.75" customHeight="1" x14ac:dyDescent="0.2">
      <c r="B13" s="36">
        <v>7</v>
      </c>
      <c r="C13" s="79" t="str">
        <f>"Dupla 7"</f>
        <v>Dupla 7</v>
      </c>
      <c r="D13" s="115" t="str">
        <f>CHOOSE($D$5,'🔄 Rotação Duplas'!C14,'🔄 Rotação Duplas'!C28,'🔄 Rotação Duplas'!C42,'🔄 Rotação Duplas'!C56,'🔄 Rotação Duplas'!C70,'🔄 Rotação Duplas'!C84,'🔄 Rotação Duplas'!C98,'🔄 Rotação Duplas'!C112)</f>
        <v>Patricia Isabel Silva</v>
      </c>
      <c r="E13" s="115" t="str">
        <f>CHOOSE($D$5,'🔄 Rotação Duplas'!D14,'🔄 Rotação Duplas'!D28,'🔄 Rotação Duplas'!D42,'🔄 Rotação Duplas'!D56,'🔄 Rotação Duplas'!D70,'🔄 Rotação Duplas'!D84,'🔄 Rotação Duplas'!D98,'🔄 Rotação Duplas'!D112)</f>
        <v>Tomás Carlos</v>
      </c>
      <c r="F13" s="81">
        <f>IF(D13="",0,SUMIFS('📋 Registo Diário'!$Q$7:$Q$646,'📋 Registo Diário'!$D$7:$D$646,D13,'📋 Registo Diário'!$B$7:$B$646,"Semana "&amp;$D$5))</f>
        <v>41</v>
      </c>
      <c r="G13" s="81">
        <f>IF(E13="",0,SUMIFS('📋 Registo Diário'!$Q$7:$Q$646,'📋 Registo Diário'!$D$7:$D$646,E13,'📋 Registo Diário'!$B$7:$B$646,"Semana "&amp;$D$5))</f>
        <v>50</v>
      </c>
      <c r="H13" s="99">
        <f t="shared" si="0"/>
        <v>91</v>
      </c>
    </row>
    <row r="14" spans="2:8" ht="21.75" customHeight="1" x14ac:dyDescent="0.2">
      <c r="B14" s="47">
        <v>8</v>
      </c>
      <c r="C14" s="86" t="str">
        <f>"Dupla 8"</f>
        <v>Dupla 8</v>
      </c>
      <c r="D14" s="116" t="str">
        <f>CHOOSE($D$5,'🔄 Rotação Duplas'!C15,'🔄 Rotação Duplas'!C29,'🔄 Rotação Duplas'!C43,'🔄 Rotação Duplas'!C57,'🔄 Rotação Duplas'!C71,'🔄 Rotação Duplas'!C85,'🔄 Rotação Duplas'!C99,'🔄 Rotação Duplas'!C113)</f>
        <v>Carla Barata</v>
      </c>
      <c r="E14" s="116" t="str">
        <f>CHOOSE($D$5,'🔄 Rotação Duplas'!D15,'🔄 Rotação Duplas'!D29,'🔄 Rotação Duplas'!D43,'🔄 Rotação Duplas'!D57,'🔄 Rotação Duplas'!D71,'🔄 Rotação Duplas'!D85,'🔄 Rotação Duplas'!D99,'🔄 Rotação Duplas'!D113)</f>
        <v>Paula Martins</v>
      </c>
      <c r="F14" s="117">
        <f>IF(D14="",0,SUMIFS('📋 Registo Diário'!$Q$7:$Q$646,'📋 Registo Diário'!$D$7:$D$646,D14,'📋 Registo Diário'!$B$7:$B$646,"Semana "&amp;$D$5))</f>
        <v>23</v>
      </c>
      <c r="G14" s="117">
        <f>IF(E14="",0,SUMIFS('📋 Registo Diário'!$Q$7:$Q$646,'📋 Registo Diário'!$D$7:$D$646,E14,'📋 Registo Diário'!$B$7:$B$646,"Semana "&amp;$D$5))</f>
        <v>20</v>
      </c>
      <c r="H14" s="99">
        <f t="shared" si="0"/>
        <v>43</v>
      </c>
    </row>
    <row r="15" spans="2:8" ht="21.75" customHeight="1" x14ac:dyDescent="0.2">
      <c r="B15" s="36">
        <v>9</v>
      </c>
      <c r="C15" s="79" t="str">
        <f>"Dupla 9"</f>
        <v>Dupla 9</v>
      </c>
      <c r="D15" s="115" t="str">
        <f>CHOOSE($D$5,'🔄 Rotação Duplas'!C16,'🔄 Rotação Duplas'!C30,'🔄 Rotação Duplas'!C44,'🔄 Rotação Duplas'!C58,'🔄 Rotação Duplas'!C72,'🔄 Rotação Duplas'!C86,'🔄 Rotação Duplas'!C100,'🔄 Rotação Duplas'!C114)</f>
        <v>Elisabete Mendes</v>
      </c>
      <c r="E15" s="115" t="str">
        <f>CHOOSE($D$5,'🔄 Rotação Duplas'!D16,'🔄 Rotação Duplas'!D30,'🔄 Rotação Duplas'!D44,'🔄 Rotação Duplas'!D58,'🔄 Rotação Duplas'!D72,'🔄 Rotação Duplas'!D86,'🔄 Rotação Duplas'!D100,'🔄 Rotação Duplas'!D114)</f>
        <v>Helena Rocha</v>
      </c>
      <c r="F15" s="81">
        <f>IF(D15="",0,SUMIFS('📋 Registo Diário'!$Q$7:$Q$646,'📋 Registo Diário'!$D$7:$D$646,D15,'📋 Registo Diário'!$B$7:$B$646,"Semana "&amp;$D$5))</f>
        <v>23</v>
      </c>
      <c r="G15" s="81">
        <f>IF(E15="",0,SUMIFS('📋 Registo Diário'!$Q$7:$Q$646,'📋 Registo Diário'!$D$7:$D$646,E15,'📋 Registo Diário'!$B$7:$B$646,"Semana "&amp;$D$5))</f>
        <v>40</v>
      </c>
      <c r="H15" s="99">
        <f t="shared" si="0"/>
        <v>63</v>
      </c>
    </row>
    <row r="16" spans="2:8" ht="21.75" customHeight="1" x14ac:dyDescent="0.2">
      <c r="B16" s="47">
        <v>10</v>
      </c>
      <c r="C16" s="86" t="str">
        <f>"Dupla 10"</f>
        <v>Dupla 10</v>
      </c>
      <c r="D16" s="116" t="str">
        <f>CHOOSE($D$5,'🔄 Rotação Duplas'!C17,'🔄 Rotação Duplas'!C31,'🔄 Rotação Duplas'!C45,'🔄 Rotação Duplas'!C59,'🔄 Rotação Duplas'!C73,'🔄 Rotação Duplas'!C87,'🔄 Rotação Duplas'!C101,'🔄 Rotação Duplas'!C115)</f>
        <v>-</v>
      </c>
      <c r="E16" s="116" t="str">
        <f>CHOOSE($D$5,'🔄 Rotação Duplas'!D17,'🔄 Rotação Duplas'!D31,'🔄 Rotação Duplas'!D45,'🔄 Rotação Duplas'!D59,'🔄 Rotação Duplas'!D73,'🔄 Rotação Duplas'!D87,'🔄 Rotação Duplas'!D101,'🔄 Rotação Duplas'!D115)</f>
        <v>-</v>
      </c>
      <c r="F16" s="117">
        <f>IF(D16="",0,SUMIFS('📋 Registo Diário'!$Q$7:$Q$646,'📋 Registo Diário'!$D$7:$D$646,D16,'📋 Registo Diário'!$B$7:$B$646,"Semana "&amp;$D$5))</f>
        <v>0</v>
      </c>
      <c r="G16" s="117">
        <f>IF(E16="",0,SUMIFS('📋 Registo Diário'!$Q$7:$Q$646,'📋 Registo Diário'!$D$7:$D$646,E16,'📋 Registo Diário'!$B$7:$B$646,"Semana "&amp;$D$5))</f>
        <v>0</v>
      </c>
      <c r="H16" s="99">
        <f t="shared" si="0"/>
        <v>0</v>
      </c>
    </row>
    <row r="21" customFormat="1" ht="15.75" customHeight="1" x14ac:dyDescent="0.2"/>
    <row r="22" customFormat="1" ht="15.75" customHeight="1" x14ac:dyDescent="0.2"/>
    <row r="23" customFormat="1" ht="15.75" customHeight="1" x14ac:dyDescent="0.2"/>
    <row r="24" customFormat="1" ht="15.75" customHeight="1" x14ac:dyDescent="0.2"/>
    <row r="25" customFormat="1" ht="15.75" customHeight="1" x14ac:dyDescent="0.2"/>
    <row r="26" customFormat="1" ht="15.7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75" customHeight="1" x14ac:dyDescent="0.2"/>
    <row r="31" customFormat="1" ht="15.75" customHeight="1" x14ac:dyDescent="0.2"/>
    <row r="32" customFormat="1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 formatColumns="0" formatRows="0" sort="0" autoFilter="0"/>
  <mergeCells count="3">
    <mergeCell ref="B2:H2"/>
    <mergeCell ref="B4:H4"/>
    <mergeCell ref="B5:C5"/>
  </mergeCells>
  <dataValidations count="1">
    <dataValidation type="decimal" allowBlank="1" sqref="D5" xr:uid="{00000000-0002-0000-0800-000000000000}">
      <formula1>1</formula1>
      <formula2>8</formula2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🏆 Dashboard</vt:lpstr>
      <vt:lpstr>⚙️ Configuração</vt:lpstr>
      <vt:lpstr>🔄 Rotação Duplas</vt:lpstr>
      <vt:lpstr>💱 Pontos Transitados</vt:lpstr>
      <vt:lpstr>📋 Registo Diário</vt:lpstr>
      <vt:lpstr>📈 Taxas de Conversão</vt:lpstr>
      <vt:lpstr>📊 Resumo Semanal</vt:lpstr>
      <vt:lpstr>👤 Ranking Individual</vt:lpstr>
      <vt:lpstr>👥 Ranking Duplas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Carlos</cp:lastModifiedBy>
  <dcterms:created xsi:type="dcterms:W3CDTF">2026-03-25T18:47:27Z</dcterms:created>
  <dcterms:modified xsi:type="dcterms:W3CDTF">2026-04-19T10:06:05Z</dcterms:modified>
</cp:coreProperties>
</file>